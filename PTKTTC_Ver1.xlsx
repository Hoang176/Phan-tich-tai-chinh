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0af4faa9a540b3" /></Relationships>
</file>

<file path=xl/workbook.xml><?xml version="1.0" encoding="utf-8"?>
<x:workbook xmlns:x="http://schemas.openxmlformats.org/spreadsheetml/2006/main">
  <x:sheets>
    <x:sheet xmlns:r="http://schemas.openxmlformats.org/officeDocument/2006/relationships" name="Abbreviations" sheetId="11" r:id="Rce61850ea3634e7c"/>
    <x:sheet xmlns:r="http://schemas.openxmlformats.org/officeDocument/2006/relationships" name="Input" sheetId="1" r:id="R4b668049b5a44975"/>
    <x:sheet xmlns:r="http://schemas.openxmlformats.org/officeDocument/2006/relationships" name="Summary" sheetId="2" r:id="R31ce923055174da1"/>
    <x:sheet xmlns:r="http://schemas.openxmlformats.org/officeDocument/2006/relationships" name="CAPEX" sheetId="3" r:id="Rb0ba4824b1ed4a4d"/>
    <x:sheet xmlns:r="http://schemas.openxmlformats.org/officeDocument/2006/relationships" name="Energy_Revenue" sheetId="4" r:id="R5b97fd8d2b3d439d"/>
    <x:sheet xmlns:r="http://schemas.openxmlformats.org/officeDocument/2006/relationships" name="Debt" sheetId="5" r:id="R1fe5e5d5798e45dd"/>
    <x:sheet xmlns:r="http://schemas.openxmlformats.org/officeDocument/2006/relationships" name="Dep_Tax" sheetId="6" r:id="Rf2a43dd1c8904dcd"/>
    <x:sheet xmlns:r="http://schemas.openxmlformats.org/officeDocument/2006/relationships" name="Income_Statement" sheetId="7" r:id="Reb2a9398f8904b23"/>
    <x:sheet xmlns:r="http://schemas.openxmlformats.org/officeDocument/2006/relationships" name="Project_CF" sheetId="8" r:id="R7942bfe92a1b4b7b"/>
    <x:sheet xmlns:r="http://schemas.openxmlformats.org/officeDocument/2006/relationships" name="Equity_CF" sheetId="9" r:id="R740080f9dbe74d93"/>
    <x:sheet xmlns:r="http://schemas.openxmlformats.org/officeDocument/2006/relationships" name="Sensitivity" sheetId="10" r:id="R5891e95bfc7c44fe"/>
  </x:sheets>
</x:workbook>
</file>

<file path=xl/sharedStrings.xml><?xml version="1.0" encoding="utf-8"?>
<x:sst xmlns:x="http://schemas.openxmlformats.org/spreadsheetml/2006/main">
  <x:si>
    <x:t xml:space="preserve">DANH MỤC TỪ VIẾT TẮT / LIST OF ABBREVIATIONS</x:t>
  </x:si>
  <x:si>
    <x:t xml:space="preserve">Mô hình phân tích kinh tế – tài chính dự án năng lượng tái tạo</x:t>
  </x:si>
  <x:si>
    <x:t xml:space="preserve">STT</x:t>
  </x:si>
  <x:si>
    <x:t xml:space="preserve">Từ viết tắt</x:t>
  </x:si>
  <x:si>
    <x:t xml:space="preserve">Tên đầy đủ tiếng Anh</x:t>
  </x:si>
  <x:si>
    <x:t xml:space="preserve">Tên tiếng Việt</x:t>
  </x:si>
  <x:si>
    <x:t xml:space="preserve">Giải thích / Cách sử dụng trong mô hình</x:t>
  </x:si>
  <x:si>
    <x:t xml:space="preserve">AEP</x:t>
  </x:si>
  <x:si>
    <x:t xml:space="preserve">Annual Energy Production</x:t>
  </x:si>
  <x:si>
    <x:t xml:space="preserve">Sản lượng điện năng hằng năm</x:t>
  </x:si>
  <x:si>
    <x:t xml:space="preserve">Sản lượng điện dự kiến phát trong một năm.</x:t>
  </x:si>
  <x:si>
    <x:t xml:space="preserve">CAPEX</x:t>
  </x:si>
  <x:si>
    <x:t xml:space="preserve">Capital Expenditure</x:t>
  </x:si>
  <x:si>
    <x:t xml:space="preserve">Chi phí đầu tư / Tổng mức đầu tư</x:t>
  </x:si>
  <x:si>
    <x:t xml:space="preserve">Chi phí hình thành tài sản của dự án, gồm nhà máy điện và đấu nối.</x:t>
  </x:si>
  <x:si>
    <x:t xml:space="preserve">CF</x:t>
  </x:si>
  <x:si>
    <x:t xml:space="preserve">Capacity Factor</x:t>
  </x:si>
  <x:si>
    <x:t xml:space="preserve">Hệ số công suất</x:t>
  </x:si>
  <x:si>
    <x:t xml:space="preserve">Tỷ lệ giữa sản lượng thực tế và sản lượng lý thuyết ở công suất định mức.</x:t>
  </x:si>
  <x:si>
    <x:t xml:space="preserve">CFADS</x:t>
  </x:si>
  <x:si>
    <x:t xml:space="preserve">Cash Flow Available for Debt Service</x:t>
  </x:si>
  <x:si>
    <x:t xml:space="preserve">Dòng tiền sẵn có để trả nợ</x:t>
  </x:si>
  <x:si>
    <x:t xml:space="preserve">Dòng tiền dùng để thanh toán gốc và lãi vay.</x:t>
  </x:si>
  <x:si>
    <x:t xml:space="preserve">COD</x:t>
  </x:si>
  <x:si>
    <x:t xml:space="preserve">Commercial Operation Date</x:t>
  </x:si>
  <x:si>
    <x:t xml:space="preserve">Ngày vận hành thương mại</x:t>
  </x:si>
  <x:si>
    <x:t xml:space="preserve">Thời điểm dự án bắt đầu vận hành và ghi nhận doanh thu.</x:t>
  </x:si>
  <x:si>
    <x:t xml:space="preserve">CIT</x:t>
  </x:si>
  <x:si>
    <x:t xml:space="preserve">Corporate Income Tax</x:t>
  </x:si>
  <x:si>
    <x:t xml:space="preserve">Thuế thu nhập doanh nghiệp (TNDN)</x:t>
  </x:si>
  <x:si>
    <x:t xml:space="preserve">Thuế tính trên thu nhập chịu thuế của doanh nghiệp dự án.</x:t>
  </x:si>
  <x:si>
    <x:t xml:space="preserve">DCF</x:t>
  </x:si>
  <x:si>
    <x:t xml:space="preserve">Discounted Cash Flow</x:t>
  </x:si>
  <x:si>
    <x:t xml:space="preserve">Dòng tiền chiết khấu</x:t>
  </x:si>
  <x:si>
    <x:t xml:space="preserve">Phương pháp quy đổi dòng tiền tương lai về giá trị hiện tại.</x:t>
  </x:si>
  <x:si>
    <x:t xml:space="preserve">Dep.</x:t>
  </x:si>
  <x:si>
    <x:t xml:space="preserve">Depreciation</x:t>
  </x:si>
  <x:si>
    <x:t xml:space="preserve">Khấu hao</x:t>
  </x:si>
  <x:si>
    <x:t xml:space="preserve">Phân bổ nguyên giá tài sản cố định vào chi phí qua thời gian.</x:t>
  </x:si>
  <x:si>
    <x:t xml:space="preserve">DSCR</x:t>
  </x:si>
  <x:si>
    <x:t xml:space="preserve">Debt Service Coverage Ratio</x:t>
  </x:si>
  <x:si>
    <x:t xml:space="preserve">Hệ số khả năng trả nợ</x:t>
  </x:si>
  <x:si>
    <x:t xml:space="preserve">CFADS chia cho tổng gốc và lãi phải trả trong kỳ.</x:t>
  </x:si>
  <x:si>
    <x:t xml:space="preserve">EBIT</x:t>
  </x:si>
  <x:si>
    <x:t xml:space="preserve">Earnings Before Interest and Taxes</x:t>
  </x:si>
  <x:si>
    <x:t xml:space="preserve">Lợi nhuận trước lãi vay và thuế</x:t>
  </x:si>
  <x:si>
    <x:t xml:space="preserve">Doanh thu trừ chi phí hoạt động và khấu hao.</x:t>
  </x:si>
  <x:si>
    <x:t xml:space="preserve">EBITDA</x:t>
  </x:si>
  <x:si>
    <x:t xml:space="preserve">Earnings Before Interest, Taxes, Depreciation and Amortization</x:t>
  </x:si>
  <x:si>
    <x:t xml:space="preserve">Lợi nhuận trước lãi vay, thuế và khấu hao</x:t>
  </x:si>
  <x:si>
    <x:t xml:space="preserve">Chỉ tiêu phản ánh hiệu quả hoạt động trước chi phí tài trợ và khấu hao.</x:t>
  </x:si>
  <x:si>
    <x:t xml:space="preserve">EIRR</x:t>
  </x:si>
  <x:si>
    <x:t xml:space="preserve">Economic Internal Rate of Return</x:t>
  </x:si>
  <x:si>
    <x:t xml:space="preserve">Tỷ suất hoàn vốn nội bộ kinh tế</x:t>
  </x:si>
  <x:si>
    <x:t xml:space="preserve">IRR theo góc nhìn kinh tế – xã hội, nếu có phân tích kinh tế.</x:t>
  </x:si>
  <x:si>
    <x:t xml:space="preserve">ENPV</x:t>
  </x:si>
  <x:si>
    <x:t xml:space="preserve">Economic Net Present Value</x:t>
  </x:si>
  <x:si>
    <x:t xml:space="preserve">Giá trị hiện tại thuần kinh tế</x:t>
  </x:si>
  <x:si>
    <x:t xml:space="preserve">NPV theo góc nhìn kinh tế – xã hội, nếu có phân tích kinh tế.</x:t>
  </x:si>
  <x:si>
    <x:t xml:space="preserve">Equity CF</x:t>
  </x:si>
  <x:si>
    <x:t xml:space="preserve">Equity Cash Flow</x:t>
  </x:si>
  <x:si>
    <x:t xml:space="preserve">Dòng tiền vốn chủ sở hữu</x:t>
  </x:si>
  <x:si>
    <x:t xml:space="preserve">Dòng tiền còn lại cho chủ đầu tư sau tài trợ, trả nợ và thuế.</x:t>
  </x:si>
  <x:si>
    <x:t xml:space="preserve">Equity IRR</x:t>
  </x:si>
  <x:si>
    <x:t xml:space="preserve">Equity Internal Rate of Return</x:t>
  </x:si>
  <x:si>
    <x:t xml:space="preserve">Tỷ suất hoàn vốn nội bộ vốn chủ sở hữu</x:t>
  </x:si>
  <x:si>
    <x:t xml:space="preserve">Mức sinh lời nội bộ của phần vốn chủ sở hữu.</x:t>
  </x:si>
  <x:si>
    <x:t xml:space="preserve">Equity NPV</x:t>
  </x:si>
  <x:si>
    <x:t xml:space="preserve">Equity Net Present Value</x:t>
  </x:si>
  <x:si>
    <x:t xml:space="preserve">Giá trị hiện tại thuần vốn chủ sở hữu</x:t>
  </x:si>
  <x:si>
    <x:t xml:space="preserve">Giá trị hiện tại của dòng tiền vốn chủ sau khi trừ vốn góp ban đầu.</x:t>
  </x:si>
  <x:si>
    <x:t xml:space="preserve">FLH</x:t>
  </x:si>
  <x:si>
    <x:t xml:space="preserve">Full Load Hours</x:t>
  </x:si>
  <x:si>
    <x:t xml:space="preserve">Số giờ vận hành quy đổi toàn tải</x:t>
  </x:si>
  <x:si>
    <x:t xml:space="preserve">AEP chia cho công suất lắp đặt; FLH = CF × 8.760 giờ.</x:t>
  </x:si>
  <x:si>
    <x:t xml:space="preserve">IDC</x:t>
  </x:si>
  <x:si>
    <x:t xml:space="preserve">Interest During Construction</x:t>
  </x:si>
  <x:si>
    <x:t xml:space="preserve">Lãi vay trong thời gian xây dựng</x:t>
  </x:si>
  <x:si>
    <x:t xml:space="preserve">Lãi vay phát sinh trước COD, thường được vốn hóa vào tổng đầu tư.</x:t>
  </x:si>
  <x:si>
    <x:t xml:space="preserve">IRR</x:t>
  </x:si>
  <x:si>
    <x:t xml:space="preserve">Internal Rate of Return</x:t>
  </x:si>
  <x:si>
    <x:t xml:space="preserve">Tỷ suất hoàn vốn nội bộ</x:t>
  </x:si>
  <x:si>
    <x:t xml:space="preserve">Tỷ lệ chiết khấu làm NPV của dòng tiền bằng 0.</x:t>
  </x:si>
  <x:si>
    <x:t xml:space="preserve">kWh</x:t>
  </x:si>
  <x:si>
    <x:t xml:space="preserve">Kilowatt-hour</x:t>
  </x:si>
  <x:si>
    <x:t xml:space="preserve">Kilôwatt giờ</x:t>
  </x:si>
  <x:si>
    <x:t xml:space="preserve">Đơn vị điện năng.</x:t>
  </x:si>
  <x:si>
    <x:t xml:space="preserve">LCOE</x:t>
  </x:si>
  <x:si>
    <x:t xml:space="preserve">Levelized Cost of Energy</x:t>
  </x:si>
  <x:si>
    <x:t xml:space="preserve">Chi phí điện quy dẫn</x:t>
  </x:si>
  <x:si>
    <x:t xml:space="preserve">Chi phí bình quân chiết khấu để sản xuất một đơn vị điện năng.</x:t>
  </x:si>
  <x:si>
    <x:t xml:space="preserve">LLCR</x:t>
  </x:si>
  <x:si>
    <x:t xml:space="preserve">Loan Life Coverage Ratio</x:t>
  </x:si>
  <x:si>
    <x:t xml:space="preserve">Hệ số bảo đảm trả nợ trong thời hạn vay</x:t>
  </x:si>
  <x:si>
    <x:t xml:space="preserve">Giá trị hiện tại của CFADS trong thời hạn vay chia cho dư nợ.</x:t>
  </x:si>
  <x:si>
    <x:t xml:space="preserve">MW</x:t>
  </x:si>
  <x:si>
    <x:t xml:space="preserve">Megawatt</x:t>
  </x:si>
  <x:si>
    <x:t xml:space="preserve">Đơn vị công suất, bằng 1.000 kW.</x:t>
  </x:si>
  <x:si>
    <x:t xml:space="preserve">MWh</x:t>
  </x:si>
  <x:si>
    <x:t xml:space="preserve">Megawatt-hour</x:t>
  </x:si>
  <x:si>
    <x:t xml:space="preserve">Megawatt giờ</x:t>
  </x:si>
  <x:si>
    <x:t xml:space="preserve">Đơn vị điện năng, bằng 1.000 kWh.</x:t>
  </x:si>
  <x:si>
    <x:t xml:space="preserve">NPV</x:t>
  </x:si>
  <x:si>
    <x:t xml:space="preserve">Net Present Value</x:t>
  </x:si>
  <x:si>
    <x:t xml:space="preserve">Giá trị hiện tại thuần</x:t>
  </x:si>
  <x:si>
    <x:t xml:space="preserve">Tổng giá trị hiện tại của dòng tiền vào trừ dòng tiền ra.</x:t>
  </x:si>
  <x:si>
    <x:t xml:space="preserve">O&amp;M</x:t>
  </x:si>
  <x:si>
    <x:t xml:space="preserve">Operation and Maintenance</x:t>
  </x:si>
  <x:si>
    <x:t xml:space="preserve">Vận hành và bảo dưỡng</x:t>
  </x:si>
  <x:si>
    <x:t xml:space="preserve">Chi phí vận hành, bảo dưỡng hằng năm; mô hình nhập theo % CAPEX/năm.</x:t>
  </x:si>
  <x:si>
    <x:t xml:space="preserve">P50</x:t>
  </x:si>
  <x:si>
    <x:t xml:space="preserve">50% Probability of Exceedance</x:t>
  </x:si>
  <x:si>
    <x:t xml:space="preserve">Mức sản lượng có xác suất vượt 50%</x:t>
  </x:si>
  <x:si>
    <x:t xml:space="preserve">Kịch bản sản lượng cơ sở/trung vị.</x:t>
  </x:si>
  <x:si>
    <x:t xml:space="preserve">P75</x:t>
  </x:si>
  <x:si>
    <x:t xml:space="preserve">75% Probability of Exceedance</x:t>
  </x:si>
  <x:si>
    <x:t xml:space="preserve">Mức sản lượng có xác suất vượt 75%</x:t>
  </x:si>
  <x:si>
    <x:t xml:space="preserve">Kịch bản sản lượng thận trọng hơn P50.</x:t>
  </x:si>
  <x:si>
    <x:t xml:space="preserve">P90</x:t>
  </x:si>
  <x:si>
    <x:t xml:space="preserve">90% Probability of Exceedance</x:t>
  </x:si>
  <x:si>
    <x:t xml:space="preserve">Mức sản lượng có xác suất vượt 90%</x:t>
  </x:si>
  <x:si>
    <x:t xml:space="preserve">Kịch bản bảo thủ thường dùng để kiểm tra khả năng trả nợ.</x:t>
  </x:si>
  <x:si>
    <x:t xml:space="preserve">PPA</x:t>
  </x:si>
  <x:si>
    <x:t xml:space="preserve">Power Purchase Agreement</x:t>
  </x:si>
  <x:si>
    <x:t xml:space="preserve">Hợp đồng mua bán điện</x:t>
  </x:si>
  <x:si>
    <x:t xml:space="preserve">Quy định giá điện, sản lượng và các điều kiện thương mại.</x:t>
  </x:si>
  <x:si>
    <x:t xml:space="preserve">Project CF</x:t>
  </x:si>
  <x:si>
    <x:t xml:space="preserve">Project Cash Flow</x:t>
  </x:si>
  <x:si>
    <x:t xml:space="preserve">Dòng tiền toàn dự án</x:t>
  </x:si>
  <x:si>
    <x:t xml:space="preserve">Dòng tiền trước tài trợ, không phụ thuộc cơ cấu vay và vốn chủ.</x:t>
  </x:si>
  <x:si>
    <x:t xml:space="preserve">Project IRR</x:t>
  </x:si>
  <x:si>
    <x:t xml:space="preserve">Project Internal Rate of Return</x:t>
  </x:si>
  <x:si>
    <x:t xml:space="preserve">Tỷ suất hoàn vốn nội bộ dự án</x:t>
  </x:si>
  <x:si>
    <x:t xml:space="preserve">IRR của dòng tiền toàn dự án trước tài trợ.</x:t>
  </x:si>
  <x:si>
    <x:t xml:space="preserve">Project NPV</x:t>
  </x:si>
  <x:si>
    <x:t xml:space="preserve">Project Net Present Value</x:t>
  </x:si>
  <x:si>
    <x:t xml:space="preserve">Giá trị hiện tại thuần dự án</x:t>
  </x:si>
  <x:si>
    <x:t xml:space="preserve">NPV của dòng tiền toàn dự án tại tỷ lệ chiết khấu dự án.</x:t>
  </x:si>
  <x:si>
    <x:t xml:space="preserve">VAT</x:t>
  </x:si>
  <x:si>
    <x:t xml:space="preserve">Value Added Tax</x:t>
  </x:si>
  <x:si>
    <x:t xml:space="preserve">Thuế giá trị gia tăng (GTGT)</x:t>
  </x:si>
  <x:si>
    <x:t xml:space="preserve">Thuế gián thu áp dụng cho hàng hóa và dịch vụ.</x:t>
  </x:si>
  <x:si>
    <x:t xml:space="preserve">WACC</x:t>
  </x:si>
  <x:si>
    <x:t xml:space="preserve">Weighted Average Cost of Capital</x:t>
  </x:si>
  <x:si>
    <x:t xml:space="preserve">Chi phí sử dụng vốn bình quân gia quyền</x:t>
  </x:si>
  <x:si>
    <x:t xml:space="preserve">Tỷ lệ chiết khấu phản ánh chi phí bình quân của vốn vay và vốn chủ.</x:t>
  </x:si>
  <x:si>
    <x:t xml:space="preserve">DỮ LIỆU ĐẦU VÀO – PHÂN TÍCH KINH TẾ TÀI CHÍNH DỰ ÁN NĂNG LƯỢNG TÁI TẠO</x:t>
  </x:si>
  <x:si>
    <x:t xml:space="preserve">Áp dụng chung cho dự án điện gió và điện mặt trời; chỉ sử dụng các giả định phục vụ tính toán kinh tế – tài chính.</x:t>
  </x:si>
  <x:si>
    <x:t xml:space="preserve">QUY ƯỚC MÀU</x:t>
  </x:si>
  <x:si>
    <x:t xml:space="preserve">KẾT QUẢ TÍNH NHANH</x:t>
  </x:si>
  <x:si>
    <x:t xml:space="preserve">Số liệu phải nhập</x:t>
  </x:si>
  <x:si>
    <x:t xml:space="preserve">123</x:t>
  </x:si>
  <x:si>
    <x:t xml:space="preserve">Chữ đậm: thông số hoặc kết quả quan trọng</x:t>
  </x:si>
  <x:si>
    <x:t xml:space="preserve">Chỉ tiêu</x:t>
  </x:si>
  <x:si>
    <x:t xml:space="preserve">Giá trị</x:t>
  </x:si>
  <x:si>
    <x:t xml:space="preserve">Đơn vị</x:t>
  </x:si>
  <x:si>
    <x:t xml:space="preserve">Kết quả tính toán</x:t>
  </x:si>
  <x:si>
    <x:t xml:space="preserve">Ô để trống hoặc ghi 0 nếu nội dung tùy chọn không áp dụng.</x:t>
  </x:si>
  <x:si>
    <x:t xml:space="preserve">Công suất lắp đặt</x:t>
  </x:si>
  <x:si>
    <x:t xml:space="preserve">Năm COD</x:t>
  </x:si>
  <x:si>
    <x:t xml:space="preserve">Năm</x:t>
  </x:si>
  <x:si>
    <x:t xml:space="preserve">Mã</x:t>
  </x:si>
  <x:si>
    <x:t xml:space="preserve">Thông số</x:t>
  </x:si>
  <x:si>
    <x:t xml:space="preserve">Ký hiệu</x:t>
  </x:si>
  <x:si>
    <x:t xml:space="preserve">Trạng thái</x:t>
  </x:si>
  <x:si>
    <x:t xml:space="preserve">Ghi chú</x:t>
  </x:si>
  <x:si>
    <x:t xml:space="preserve">Năm kết thúc vận hành</x:t>
  </x:si>
  <x:si>
    <x:t xml:space="preserve">1. THÔNG TIN CHUNG VÀ TIẾN ĐỘ DỰ ÁN</x:t>
  </x:si>
  <x:si>
    <x:t xml:space="preserve">GEN-01</x:t>
  </x:si>
  <x:si>
    <x:t xml:space="preserve">Tên dự án</x:t>
  </x:si>
  <x:si>
    <x:t xml:space="preserve">Project</x:t>
  </x:si>
  <x:si>
    <x:t xml:space="preserve">Dự án Nhà máy điện gió Vân Canh 2</x:t>
  </x:si>
  <x:si>
    <x:t xml:space="preserve">-</x:t>
  </x:si>
  <x:si>
    <x:t xml:space="preserve">Bắt buộc</x:t>
  </x:si>
  <x:si>
    <x:t xml:space="preserve">Theo thông tin do người dùng cung cấp.</x:t>
  </x:si>
  <x:si>
    <x:t xml:space="preserve">GEN-02</x:t>
  </x:si>
  <x:si>
    <x:t xml:space="preserve">Capacity</x:t>
  </x:si>
  <x:si>
    <x:t xml:space="preserve">Dùng tính vốn đầu tư và sản lượng điện.</x:t>
  </x:si>
  <x:si>
    <x:t xml:space="preserve">GEN-03</x:t>
  </x:si>
  <x:si>
    <x:t xml:space="preserve">Năm cơ sở của giá</x:t>
  </x:si>
  <x:si>
    <x:t xml:space="preserve">Base year</x:t>
  </x:si>
  <x:si>
    <x:t xml:space="preserve">Giá điện và các giả định đầu vào được quy về mặt bằng năm 2025.</x:t>
  </x:si>
  <x:si>
    <x:t xml:space="preserve">GEN-04</x:t>
  </x:si>
  <x:si>
    <x:t xml:space="preserve">Năm bắt đầu đầu tư</x:t>
  </x:si>
  <x:si>
    <x:t xml:space="preserve">Start year</x:t>
  </x:si>
  <x:si>
    <x:t xml:space="preserve">Giả định cơ sở để thiết lập tiến độ dự án.</x:t>
  </x:si>
  <x:si>
    <x:t xml:space="preserve">GEN-05</x:t>
  </x:si>
  <x:si>
    <x:t xml:space="preserve">Thời gian xây dựng</x:t>
  </x:si>
  <x:si>
    <x:t xml:space="preserve">Construction</x:t>
  </x:si>
  <x:si>
    <x:t xml:space="preserve">Giả định typical; tối đa 5 năm trong Ver1.</x:t>
  </x:si>
  <x:si>
    <x:t xml:space="preserve">GEN-06</x:t>
  </x:si>
  <x:si>
    <x:t xml:space="preserve">Năm vận hành thương mại</x:t>
  </x:si>
  <x:si>
    <x:t xml:space="preserve">COD year</x:t>
  </x:si>
  <x:si>
    <x:t xml:space="preserve">Tự tính</x:t>
  </x:si>
  <x:si>
    <x:t xml:space="preserve">Năm bắt đầu ghi nhận sản lượng và doanh thu.</x:t>
  </x:si>
  <x:si>
    <x:t xml:space="preserve">GEN-07</x:t>
  </x:si>
  <x:si>
    <x:t xml:space="preserve">Thời gian vận hành</x:t>
  </x:si>
  <x:si>
    <x:t xml:space="preserve">Operating life</x:t>
  </x:si>
  <x:si>
    <x:t xml:space="preserve">Giả định typical cho mô hình cơ sở.</x:t>
  </x:si>
  <x:si>
    <x:t xml:space="preserve">CHỈ TIÊU HIỆU QUẢ</x:t>
  </x:si>
  <x:si>
    <x:t xml:space="preserve">GEN-08</x:t>
  </x:si>
  <x:si>
    <x:t xml:space="preserve">End year</x:t>
  </x:si>
  <x:si>
    <x:t xml:space="preserve">Năm cuối cùng của thời gian phân tích.</x:t>
  </x:si>
  <x:si>
    <x:t xml:space="preserve">2. VỐN ĐẦU TƯ</x:t>
  </x:si>
  <x:si>
    <x:t xml:space="preserve">CAP-01</x:t>
  </x:si>
  <x:si>
    <x:t xml:space="preserve">Tổng vốn đầu tư dự án chưa VAT</x:t>
  </x:si>
  <x:si>
    <x:t xml:space="preserve">Total project CAPEX</x:t>
  </x:si>
  <x:si>
    <x:t xml:space="preserve">Tỷ VND</x:t>
  </x:si>
  <x:si>
    <x:t xml:space="preserve">Tổng phần nhà máy điện và phần đấu nối; chưa bao gồm VAT và lãi vay xây dựng.</x:t>
  </x:si>
  <x:si>
    <x:t xml:space="preserve">CAP-02</x:t>
  </x:si>
  <x:si>
    <x:t xml:space="preserve">Suất vốn đầu tư</x:t>
  </x:si>
  <x:si>
    <x:t xml:space="preserve">Unit CAPEX</x:t>
  </x:si>
  <x:si>
    <x:t xml:space="preserve">Tỷ VND/MW</x:t>
  </x:si>
  <x:si>
    <x:t xml:space="preserve">CAP-03</x:t>
  </x:si>
  <x:si>
    <x:t xml:space="preserve">Thuế suất VAT đầu tư</x:t>
  </x:si>
  <x:si>
    <x:t xml:space="preserve">VAT capex</x:t>
  </x:si>
  <x:si>
    <x:t xml:space="preserve">%</x:t>
  </x:si>
  <x:si>
    <x:t xml:space="preserve">Giả định cơ sở; cần cập nhật theo hợp đồng và quy định áp dụng.</x:t>
  </x:si>
  <x:si>
    <x:t xml:space="preserve">CAP-04</x:t>
  </x:si>
  <x:si>
    <x:t xml:space="preserve">Tỷ lệ VAT được khấu trừ/hoàn</x:t>
  </x:si>
  <x:si>
    <x:t xml:space="preserve">VAT recoverable</x:t>
  </x:si>
  <x:si>
    <x:t xml:space="preserve">Giả định toàn bộ VAT đầu vào đủ điều kiện được khấu trừ/hoàn.</x:t>
  </x:si>
  <x:si>
    <x:t xml:space="preserve">CAP-05</x:t>
  </x:si>
  <x:si>
    <x:t xml:space="preserve">Tổng vốn đầu tư bao gồm VAT</x:t>
  </x:si>
  <x:si>
    <x:t xml:space="preserve">CAPEX incl. VAT</x:t>
  </x:si>
  <x:si>
    <x:t xml:space="preserve">Tổng nhu cầu tiền đầu tư trước khi nhận hoàn VAT.</x:t>
  </x:si>
  <x:si>
    <x:t xml:space="preserve">CAP-06</x:t>
  </x:si>
  <x:si>
    <x:t xml:space="preserve">Cơ sở vốn đầu tư kinh tế</x:t>
  </x:si>
  <x:si>
    <x:t xml:space="preserve">Economic CAPEX</x:t>
  </x:si>
  <x:si>
    <x:t xml:space="preserve">CAPEX chưa VAT cộng phần VAT không được khấu trừ/hoàn.</x:t>
  </x:si>
  <x:si>
    <x:t xml:space="preserve">CAP-07</x:t>
  </x:si>
  <x:si>
    <x:t xml:space="preserve">Thời gian hoàn VAT</x:t>
  </x:si>
  <x:si>
    <x:t xml:space="preserve">VAT lag</x:t>
  </x:si>
  <x:si>
    <x:t xml:space="preserve">Tùy chọn</x:t>
  </x:si>
  <x:si>
    <x:t xml:space="preserve">Giả định hoàn/khấu trừ VAT sau 1 năm.</x:t>
  </x:si>
  <x:si>
    <x:t xml:space="preserve">CAP-08</x:t>
  </x:si>
  <x:si>
    <x:t xml:space="preserve">Giá trị thu hồi ròng cuối dự án</x:t>
  </x:si>
  <x:si>
    <x:t xml:space="preserve">Net terminal value</x:t>
  </x:si>
  <x:si>
    <x:t xml:space="preserve">Giá trị thu hồi trừ chi phí tháo dỡ; giả định cơ sở bằng 0.</x:t>
  </x:si>
  <x:si>
    <x:t xml:space="preserve">CAP-09</x:t>
  </x:si>
  <x:si>
    <x:t xml:space="preserve">3. TIẾN ĐỘ GIẢI NGÂN VỐN ĐẦU TƯ</x:t>
  </x:si>
  <x:si>
    <x:t xml:space="preserve">Năm xây dựng</x:t>
  </x:si>
  <x:si>
    <x:t xml:space="preserve">Tỷ lệ giải ngân</x:t>
  </x:si>
  <x:si>
    <x:t xml:space="preserve">DIS-01</x:t>
  </x:si>
  <x:si>
    <x:t xml:space="preserve">Năm xây dựng 1</x:t>
  </x:si>
  <x:si>
    <x:t xml:space="preserve">Year 1</x:t>
  </x:si>
  <x:si>
    <x:t xml:space="preserve">Giả định typical: giải ngân 40% năm 1 và 60% năm 2.</x:t>
  </x:si>
  <x:si>
    <x:t xml:space="preserve">DIS-02</x:t>
  </x:si>
  <x:si>
    <x:t xml:space="preserve">Năm xây dựng 2</x:t>
  </x:si>
  <x:si>
    <x:t xml:space="preserve">Year 2</x:t>
  </x:si>
  <x:si>
    <x:t xml:space="preserve">DIS-03</x:t>
  </x:si>
  <x:si>
    <x:t xml:space="preserve">Năm xây dựng 3</x:t>
  </x:si>
  <x:si>
    <x:t xml:space="preserve">Year 3</x:t>
  </x:si>
  <x:si>
    <x:t xml:space="preserve">Không phát sinh trong kịch bản cơ sở.</x:t>
  </x:si>
  <x:si>
    <x:t xml:space="preserve">DIS-04</x:t>
  </x:si>
  <x:si>
    <x:t xml:space="preserve">Năm xây dựng 4</x:t>
  </x:si>
  <x:si>
    <x:t xml:space="preserve">Year 4</x:t>
  </x:si>
  <x:si>
    <x:t xml:space="preserve">DIS-05</x:t>
  </x:si>
  <x:si>
    <x:t xml:space="preserve">Năm xây dựng 5</x:t>
  </x:si>
  <x:si>
    <x:t xml:space="preserve">Year 5</x:t>
  </x:si>
  <x:si>
    <x:t xml:space="preserve">DIS-06</x:t>
  </x:si>
  <x:si>
    <x:t xml:space="preserve">Tổng tỷ lệ giải ngân</x:t>
  </x:si>
  <x:si>
    <x:t xml:space="preserve">Total</x:t>
  </x:si>
  <x:si>
    <x:t xml:space="preserve">Kiểm tra</x:t>
  </x:si>
  <x:si>
    <x:t xml:space="preserve">Phải bằng 100%.</x:t>
  </x:si>
  <x:si>
    <x:t xml:space="preserve">4. SẢN LƯỢNG VÀ DOANH THU</x:t>
  </x:si>
  <x:si>
    <x:t xml:space="preserve">REV-01</x:t>
  </x:si>
  <x:si>
    <x:t xml:space="preserve">Kịch bản sản lượng</x:t>
  </x:si>
  <x:si>
    <x:t xml:space="preserve">Energy case</x:t>
  </x:si>
  <x:si>
    <x:t xml:space="preserve">Chọn P50, P75, P90 hoặc Khác.</x:t>
  </x:si>
  <x:si>
    <x:t xml:space="preserve">REV-02</x:t>
  </x:si>
  <x:si>
    <x:t xml:space="preserve">Hệ số công suất ròng</x:t>
  </x:si>
  <x:si>
    <x:t xml:space="preserve">Net capacity factor</x:t>
  </x:si>
  <x:si>
    <x:t xml:space="preserve">Giả định typical để lập mô hình sơ bộ; thay bằng AEP P50 từ báo cáo năng lượng khi có.</x:t>
  </x:si>
  <x:si>
    <x:t xml:space="preserve">REV-03</x:t>
  </x:si>
  <x:si>
    <x:t xml:space="preserve">Số giờ phát công suất lớn nhất (FLH)</x:t>
  </x:si>
  <x:si>
    <x:t xml:space="preserve">Giờ/năm</x:t>
  </x:si>
  <x:si>
    <x:t xml:space="preserve">REV-04</x:t>
  </x:si>
  <x:si>
    <x:t xml:space="preserve">Sản lượng điện thương phẩm năm đầu</x:t>
  </x:si>
  <x:si>
    <x:t xml:space="preserve">AEP net</x:t>
  </x:si>
  <x:si>
    <x:t xml:space="preserve">MWh/năm</x:t>
  </x:si>
  <x:si>
    <x:t xml:space="preserve">Công suất × 8.760 giờ × hệ số công suất ròng.</x:t>
  </x:si>
  <x:si>
    <x:t xml:space="preserve">REV-05</x:t>
  </x:si>
  <x:si>
    <x:t xml:space="preserve">Tỷ lệ suy giảm sản lượng hằng năm</x:t>
  </x:si>
  <x:si>
    <x:t xml:space="preserve">Degradation</x:t>
  </x:si>
  <x:si>
    <x:t xml:space="preserve">%/năm</x:t>
  </x:si>
  <x:si>
    <x:t xml:space="preserve">Giả định typical 0,2%/năm.</x:t>
  </x:si>
  <x:si>
    <x:t xml:space="preserve">REV-06</x:t>
  </x:si>
  <x:si>
    <x:t xml:space="preserve">Giá bán điện năm đầu, chưa VAT</x:t>
  </x:si>
  <x:si>
    <x:t xml:space="preserve">Tariff</x:t>
  </x:si>
  <x:si>
    <x:t xml:space="preserve">VND/kWh</x:t>
  </x:si>
  <x:si>
    <x:t xml:space="preserve">Giá tối đa điện gió trên đất liền miền Trung năm 2025 theo QĐ 1508/QĐ-BCT; không mặc nhiên là giá PPA.</x:t>
  </x:si>
  <x:si>
    <x:t xml:space="preserve">REV-07</x:t>
  </x:si>
  <x:si>
    <x:t xml:space="preserve">Tỷ lệ tăng giá điện hằng năm</x:t>
  </x:si>
  <x:si>
    <x:t xml:space="preserve">Tariff escalation</x:t>
  </x:si>
  <x:si>
    <x:t xml:space="preserve">Giả định giá cố định; cập nhật theo PPA thực tế.</x:t>
  </x:si>
  <x:si>
    <x:t xml:space="preserve">REV-08</x:t>
  </x:si>
  <x:si>
    <x:t xml:space="preserve">Doanh thu năm vận hành đầu tiên</x:t>
  </x:si>
  <x:si>
    <x:t xml:space="preserve">Revenue Y1</x:t>
  </x:si>
  <x:si>
    <x:t xml:space="preserve">Doanh thu điện cộng doanh thu khác tại dòng kế tiếp.</x:t>
  </x:si>
  <x:si>
    <x:t xml:space="preserve">REV-09</x:t>
  </x:si>
  <x:si>
    <x:t xml:space="preserve">Trong đó: Doanh thu khác năm đầu</x:t>
  </x:si>
  <x:si>
    <x:t xml:space="preserve">Other revenue</x:t>
  </x:si>
  <x:si>
    <x:t xml:space="preserve">Tỷ VND/năm</x:t>
  </x:si>
  <x:si>
    <x:t xml:space="preserve">Chưa xét REC, I-REC, tín chỉ carbon hoặc nguồn thu khác.</x:t>
  </x:si>
  <x:si>
    <x:t xml:space="preserve">5. CHI PHÍ VẬN HÀNH</x:t>
  </x:si>
  <x:si>
    <x:t xml:space="preserve">OPE-01</x:t>
  </x:si>
  <x:si>
    <x:t xml:space="preserve">Tỷ lệ O&amp;M năm đầu trên CAPEX</x:t>
  </x:si>
  <x:si>
    <x:t xml:space="preserve">O&amp;M rate Y1</x:t>
  </x:si>
  <x:si>
    <x:t xml:space="preserve">% CAPEX/năm</x:t>
  </x:si>
  <x:si>
    <x:t xml:space="preserve">Giả định typical 2% CAPEX/năm; thay bằng tỷ lệ O&amp;M thực tế.</x:t>
  </x:si>
  <x:si>
    <x:t xml:space="preserve">OPE-02</x:t>
  </x:si>
  <x:si>
    <x:t xml:space="preserve">Tỷ lệ tăng O&amp;M hằng năm</x:t>
  </x:si>
  <x:si>
    <x:t xml:space="preserve">O&amp;M escalation</x:t>
  </x:si>
  <x:si>
    <x:t xml:space="preserve">Giả định typical 3%/năm.</x:t>
  </x:si>
  <x:si>
    <x:t xml:space="preserve">OPE-03</x:t>
  </x:si>
  <x:si>
    <x:t xml:space="preserve">EBITDA năm vận hành đầu tiên</x:t>
  </x:si>
  <x:si>
    <x:t xml:space="preserve">EBITDA Y1</x:t>
  </x:si>
  <x:si>
    <x:t xml:space="preserve">Chưa xét khấu hao, lãi vay và thuế.</x:t>
  </x:si>
  <x:si>
    <x:t xml:space="preserve">6. CƠ CẤU VỐN VÀ KHOẢN VAY</x:t>
  </x:si>
  <x:si>
    <x:t xml:space="preserve">FIN-01</x:t>
  </x:si>
  <x:si>
    <x:t xml:space="preserve">Tỷ lệ vốn vay</x:t>
  </x:si>
  <x:si>
    <x:t xml:space="preserve">Debt ratio</x:t>
  </x:si>
  <x:si>
    <x:t xml:space="preserve">Giả định typical 70% vốn vay.</x:t>
  </x:si>
  <x:si>
    <x:t xml:space="preserve">FIN-02</x:t>
  </x:si>
  <x:si>
    <x:t xml:space="preserve">Tỷ lệ vốn chủ sở hữu</x:t>
  </x:si>
  <x:si>
    <x:t xml:space="preserve">Equity ratio</x:t>
  </x:si>
  <x:si>
    <x:t xml:space="preserve">Bằng 100% trừ tỷ lệ vốn vay.</x:t>
  </x:si>
  <x:si>
    <x:t xml:space="preserve">FIN-03</x:t>
  </x:si>
  <x:si>
    <x:t xml:space="preserve">Lãi suất vay</x:t>
  </x:si>
  <x:si>
    <x:t xml:space="preserve">Interest rate</x:t>
  </x:si>
  <x:si>
    <x:t xml:space="preserve">Giả định typical 10%/năm, lãi suất cố định trong Ver1.</x:t>
  </x:si>
  <x:si>
    <x:t xml:space="preserve">FIN-04</x:t>
  </x:si>
  <x:si>
    <x:t xml:space="preserve">Thời hạn vay</x:t>
  </x:si>
  <x:si>
    <x:t xml:space="preserve">Debt tenor</x:t>
  </x:si>
  <x:si>
    <x:t xml:space="preserve">Giả định typical, tính từ thời điểm bắt đầu trả nợ.</x:t>
  </x:si>
  <x:si>
    <x:t xml:space="preserve">FIN-05</x:t>
  </x:si>
  <x:si>
    <x:t xml:space="preserve">Thời gian ân hạn gốc</x:t>
  </x:si>
  <x:si>
    <x:t xml:space="preserve">Grace period</x:t>
  </x:si>
  <x:si>
    <x:t xml:space="preserve">Giả định bằng thời gian xây dựng.</x:t>
  </x:si>
  <x:si>
    <x:t xml:space="preserve">FIN-06</x:t>
  </x:si>
  <x:si>
    <x:t xml:space="preserve">Phương thức trả gốc</x:t>
  </x:si>
  <x:si>
    <x:t xml:space="preserve">Repayment</x:t>
  </x:si>
  <x:si>
    <x:t xml:space="preserve">Gốc đều</x:t>
  </x:si>
  <x:si>
    <x:t xml:space="preserve">Chọn Gốc đều hoặc Niên kim.</x:t>
  </x:si>
  <x:si>
    <x:t xml:space="preserve">FIN-07</x:t>
  </x:si>
  <x:si>
    <x:t xml:space="preserve">Phí thu xếp khoản vay</x:t>
  </x:si>
  <x:si>
    <x:t xml:space="preserve">Upfront fee</x:t>
  </x:si>
  <x:si>
    <x:t xml:space="preserve">% khoản vay</x:t>
  </x:si>
  <x:si>
    <x:t xml:space="preserve">Giả định typical 1% giá trị khoản vay.</x:t>
  </x:si>
  <x:si>
    <x:t xml:space="preserve">FIN-08</x:t>
  </x:si>
  <x:si>
    <x:t xml:space="preserve">DSCR tối thiểu yêu cầu</x:t>
  </x:si>
  <x:si>
    <x:t xml:space="preserve">Minimum DSCR</x:t>
  </x:si>
  <x:si>
    <x:t xml:space="preserve">Lần</x:t>
  </x:si>
  <x:si>
    <x:t xml:space="preserve">Giả định ngưỡng kiểm tra khả năng trả nợ.</x:t>
  </x:si>
  <x:si>
    <x:t xml:space="preserve">FIN-09</x:t>
  </x:si>
  <x:si>
    <x:t xml:space="preserve">Giá trị khoản vay</x:t>
  </x:si>
  <x:si>
    <x:t xml:space="preserve">Debt amount</x:t>
  </x:si>
  <x:si>
    <x:t xml:space="preserve">Chưa bao gồm lãi vay trong xây dựng và phí thu xếp vốn.</x:t>
  </x:si>
  <x:si>
    <x:t xml:space="preserve">FIN-10</x:t>
  </x:si>
  <x:si>
    <x:t xml:space="preserve">Vốn chủ sở hữu ban đầu</x:t>
  </x:si>
  <x:si>
    <x:t xml:space="preserve">Equity amount</x:t>
  </x:si>
  <x:si>
    <x:t xml:space="preserve">Phần cơ sở vốn đầu tư kinh tế không được tài trợ bằng khoản vay.</x:t>
  </x:si>
  <x:si>
    <x:t xml:space="preserve">7. THUẾ, KHẤU HAO VÀ TỶ LỆ CHIẾT KHẤU</x:t>
  </x:si>
  <x:si>
    <x:t xml:space="preserve">TAX-01</x:t>
  </x:si>
  <x:si>
    <x:t xml:space="preserve">Thuế suất thuế TNDN thông thường</x:t>
  </x:si>
  <x:si>
    <x:t xml:space="preserve">CIT standard</x:t>
  </x:si>
  <x:si>
    <x:t xml:space="preserve">Thuế suất phổ thông dùng làm giả định cơ sở.</x:t>
  </x:si>
  <x:si>
    <x:t xml:space="preserve">TAX-02</x:t>
  </x:si>
  <x:si>
    <x:t xml:space="preserve">Thuế suất thuế TNDN ưu đãi</x:t>
  </x:si>
  <x:si>
    <x:t xml:space="preserve">CIT incentive</x:t>
  </x:si>
  <x:si>
    <x:t xml:space="preserve">Giả định dự án đầu tư mới năng lượng tái tạo đủ điều kiện; cần xác minh pháp lý.</x:t>
  </x:si>
  <x:si>
    <x:t xml:space="preserve">TAX-03</x:t>
  </x:si>
  <x:si>
    <x:t xml:space="preserve">Thời gian áp dụng thuế suất ưu đãi</x:t>
  </x:si>
  <x:si>
    <x:t xml:space="preserve">Incentive period</x:t>
  </x:si>
  <x:si>
    <x:t xml:space="preserve">Giả định ưu đãi 10% trong 15 năm.</x:t>
  </x:si>
  <x:si>
    <x:t xml:space="preserve">TAX-04</x:t>
  </x:si>
  <x:si>
    <x:t xml:space="preserve">Thời gian miễn thuế</x:t>
  </x:si>
  <x:si>
    <x:t xml:space="preserve">Tax holiday</x:t>
  </x:si>
  <x:si>
    <x:t xml:space="preserve">Giả định miễn thuế 4 năm; cần xác minh thời điểm bắt đầu ưu đãi.</x:t>
  </x:si>
  <x:si>
    <x:t xml:space="preserve">TAX-05</x:t>
  </x:si>
  <x:si>
    <x:t xml:space="preserve">Thời gian giảm 50% thuế</x:t>
  </x:si>
  <x:si>
    <x:t xml:space="preserve">Tax reduction</x:t>
  </x:si>
  <x:si>
    <x:t xml:space="preserve">Giả định giảm 50% thuế trong 9 năm tiếp theo.</x:t>
  </x:si>
  <x:si>
    <x:t xml:space="preserve">TAX-06</x:t>
  </x:si>
  <x:si>
    <x:t xml:space="preserve">Thời gian khấu hao tài sản</x:t>
  </x:si>
  <x:si>
    <x:t xml:space="preserve">Depreciation life</x:t>
  </x:si>
  <x:si>
    <x:t xml:space="preserve">Giả định khấu hao đường thẳng theo thời gian vận hành.</x:t>
  </x:si>
  <x:si>
    <x:t xml:space="preserve">TAX-07</x:t>
  </x:si>
  <x:si>
    <x:t xml:space="preserve">Thời gian chuyển lỗ tối đa</x:t>
  </x:si>
  <x:si>
    <x:t xml:space="preserve">Loss carryforward</x:t>
  </x:si>
  <x:si>
    <x:t xml:space="preserve">Giả định cơ sở; cần cập nhật theo quy định áp dụng.</x:t>
  </x:si>
  <x:si>
    <x:t xml:space="preserve">VAL-01</x:t>
  </x:si>
  <x:si>
    <x:t xml:space="preserve">Tỷ lệ chiết khấu dự án</x:t>
  </x:si>
  <x:si>
    <x:t xml:space="preserve">Project discount</x:t>
  </x:si>
  <x:si>
    <x:t xml:space="preserve">Giả định typical dùng tính Project NPV.</x:t>
  </x:si>
  <x:si>
    <x:t xml:space="preserve">VAL-02</x:t>
  </x:si>
  <x:si>
    <x:t xml:space="preserve">Tỷ lệ chiết khấu vốn chủ sở hữu</x:t>
  </x:si>
  <x:si>
    <x:t xml:space="preserve">Equity discount</x:t>
  </x:si>
  <x:si>
    <x:t xml:space="preserve">Giả định typical dùng tính Equity NPV.</x:t>
  </x:si>
  <x:si>
    <x:t xml:space="preserve">Ghi chú: các giả định pháp lý, thuế, giá điện và ưu đãi phải được cập nhật theo hồ sơ và quy định áp dụng cho từng dự án.</x:t>
  </x:si>
  <x:si>
    <x:t xml:space="preserve">TỔNG HỢP PHÂN TÍCH KINH TẾ TÀI CHÍNH</x:t>
  </x:si>
  <x:si>
    <x:t xml:space="preserve">THÔNG TIN DỰ ÁN</x:t>
  </x:si>
  <x:si>
    <x:t xml:space="preserve">Công suất</x:t>
  </x:si>
  <x:si>
    <x:t xml:space="preserve">Tổng vốn đầu tư dự án gồm VAT</x:t>
  </x:si>
  <x:si>
    <x:t xml:space="preserve">Sản lượng năm đầu</x:t>
  </x:si>
  <x:si>
    <x:t xml:space="preserve">Giá bán điện</x:t>
  </x:si>
  <x:si>
    <x:t xml:space="preserve">CHỈ TIÊU HIỆU QUẢ ĐẦU TƯ</x:t>
  </x:si>
  <x:si>
    <x:t xml:space="preserve">Hoàn vốn dự án</x:t>
  </x:si>
  <x:si>
    <x:t xml:space="preserve">Hoàn vốn vốn CSH</x:t>
  </x:si>
  <x:si>
    <x:t xml:space="preserve">DSCR tối thiểu</x:t>
  </x:si>
  <x:si>
    <x:t xml:space="preserve">DSCR bình quân</x:t>
  </x:si>
  <x:si>
    <x:t xml:space="preserve">Giá điện hòa vốn</x:t>
  </x:si>
  <x:si>
    <x:t xml:space="preserve">Biên EBITDA năm đầu</x:t>
  </x:si>
  <x:si>
    <x:t xml:space="preserve">Tổng lãi vay</x:t>
  </x:si>
  <x:si>
    <x:t xml:space="preserve">Tổng thuế TNDN</x:t>
  </x:si>
  <x:si>
    <x:t xml:space="preserve">Tổng vốn CSH thực góp</x:t>
  </x:si>
  <x:si>
    <x:t xml:space="preserve">EBITDA năm đầu</x:t>
  </x:si>
  <x:si>
    <x:t xml:space="preserve">Doanh thu năm đầu</x:t>
  </x:si>
  <x:si>
    <x:t xml:space="preserve">NPV chênh lệch CSH/Dự án</x:t>
  </x:si>
  <x:si>
    <x:t xml:space="preserve">KẾT LUẬN HIỆU QUẢ ĐẦU TƯ</x:t>
  </x:si>
  <x:si>
    <x:t xml:space="preserve">Nhóm chỉ tiêu dự án</x:t>
  </x:si>
  <x:si>
    <x:t xml:space="preserve">Nhóm chỉ tiêu vốn chủ sở hữu</x:t>
  </x:si>
  <x:si>
    <x:t xml:space="preserve">Khả năng trả nợ</x:t>
  </x:si>
  <x:si>
    <x:t xml:space="preserve">Đánh giá chung</x:t>
  </x:si>
  <x:si>
    <x:t xml:space="preserve">Số nhóm chưa đạt</x:t>
  </x:si>
  <x:si>
    <x:t xml:space="preserve">Project IRR và NPV đạt yêu cầu</x:t>
  </x:si>
  <x:si>
    <x:t xml:space="preserve">Equity IRR và NPV đạt yêu cầu</x:t>
  </x:si>
  <x:si>
    <x:t xml:space="preserve">DSCR tối thiểu đạt yêu cầu</x:t>
  </x:si>
  <x:si>
    <x:t xml:space="preserve">KIỂM TRA MÔ HÌNH</x:t>
  </x:si>
  <x:si>
    <x:t xml:space="preserve">Nội dung kiểm tra</x:t>
  </x:si>
  <x:si>
    <x:t xml:space="preserve">Kết quả</x:t>
  </x:si>
  <x:si>
    <x:t xml:space="preserve">CHK-01</x:t>
  </x:si>
  <x:si>
    <x:t xml:space="preserve">Tỷ lệ giải ngân bằng 100%</x:t>
  </x:si>
  <x:si>
    <x:t xml:space="preserve">TRẠNG THÁI TOÀN MÔ HÌNH</x:t>
  </x:si>
  <x:si>
    <x:t xml:space="preserve">CHK-02</x:t>
  </x:si>
  <x:si>
    <x:t xml:space="preserve">Tổng CAPEX khớp dữ liệu đầu vào</x:t>
  </x:si>
  <x:si>
    <x:t xml:space="preserve">CHK-03</x:t>
  </x:si>
  <x:si>
    <x:t xml:space="preserve">Tổng giải ngân vay khớp khoản vay</x:t>
  </x:si>
  <x:si>
    <x:t xml:space="preserve">CHK-04</x:t>
  </x:si>
  <x:si>
    <x:t xml:space="preserve">Dư nợ cuối kỳ bằng 0</x:t>
  </x:si>
  <x:si>
    <x:t xml:space="preserve">CHK-05</x:t>
  </x:si>
  <x:si>
    <x:t xml:space="preserve">Dòng tiền có cả giá trị âm và dương</x:t>
  </x:si>
  <x:si>
    <x:t xml:space="preserve">CHK-06</x:t>
  </x:si>
  <x:si>
    <x:t xml:space="preserve">Lưu ý: kết quả phụ thuộc vào các giả định đầu vào. Giá điện, ưu đãi thuế, điều kiện vay và sản lượng P50/P90 phải được cập nhật theo PPA, hợp đồng tín dụng và báo cáo năng lượng của dự án.</x:t>
  </x:si>
  <x:si>
    <x:t xml:space="preserve">VỐN ĐẦU TƯ VÀ TIẾN ĐỘ GIẢI NGÂN</x:t>
  </x:si>
  <x:si>
    <x:t xml:space="preserve">Tổng hợp CAPEX, VAT, giải ngân vốn vay, lãi vay xây dựng và nhu cầu vốn chủ sở hữu.</x:t>
  </x:si>
  <x:si>
    <x:t xml:space="preserve">Đơn vị tiền tệ: tỷ VND, trừ khi ghi khác  |  Số màu xanh: kết quả tính toán</x:t>
  </x:si>
  <x:si>
    <x:t xml:space="preserve">Kỳ dự án</x:t>
  </x:si>
  <x:si>
    <x:t xml:space="preserve">Cờ xây dựng</x:t>
  </x:si>
  <x:si>
    <x:t xml:space="preserve">Năm vận hành</x:t>
  </x:si>
  <x:si>
    <x:t xml:space="preserve">1. TIẾN ĐỘ VỐN ĐẦU TƯ</x:t>
  </x:si>
  <x:si>
    <x:t xml:space="preserve">CAPEX chưa VAT</x:t>
  </x:si>
  <x:si>
    <x:t xml:space="preserve">VAT đầu vào</x:t>
  </x:si>
  <x:si>
    <x:t xml:space="preserve">Chi đầu tư bao gồm VAT</x:t>
  </x:si>
  <x:si>
    <x:t xml:space="preserve">VAT đủ điều kiện hoàn/khấu trừ</x:t>
  </x:si>
  <x:si>
    <x:t xml:space="preserve">VAT nhận hoàn/khấu trừ</x:t>
  </x:si>
  <x:si>
    <x:t xml:space="preserve">VAT không được hoàn</x:t>
  </x:si>
  <x:si>
    <x:t xml:space="preserve">CAPEX kinh tế</x:t>
  </x:si>
  <x:si>
    <x:t xml:space="preserve">Giải ngân vốn vay</x:t>
  </x:si>
  <x:si>
    <x:t xml:space="preserve">CAP-10</x:t>
  </x:si>
  <x:si>
    <x:t xml:space="preserve">Vốn chủ sở hữu cơ sở</x:t>
  </x:si>
  <x:si>
    <x:t xml:space="preserve">CAP-11</x:t>
  </x:si>
  <x:si>
    <x:t xml:space="preserve">CAP-12</x:t>
  </x:si>
  <x:si>
    <x:t xml:space="preserve">Lãi vay trong xây dựng</x:t>
  </x:si>
  <x:si>
    <x:t xml:space="preserve">CAP-13</x:t>
  </x:si>
  <x:si>
    <x:t xml:space="preserve">Nhu cầu vốn chủ sở hữu thực tế</x:t>
  </x:si>
  <x:si>
    <x:t xml:space="preserve">2. TỔNG HỢP VÀ KIỂM TRA</x:t>
  </x:si>
  <x:si>
    <x:t xml:space="preserve">Tổng vốn vay giải ngân</x:t>
  </x:si>
  <x:si>
    <x:t xml:space="preserve">Tổng lãi vay xây dựng</x:t>
  </x:si>
  <x:si>
    <x:t xml:space="preserve">Vốn đầu tư phần nhà máy điện</x:t>
  </x:si>
  <x:si>
    <x:t xml:space="preserve">Vốn đầu tư phần đấu nối</x:t>
  </x:si>
  <x:si>
    <x:t xml:space="preserve">SẢN LƯỢNG, DOANH THU VÀ CHI PHÍ VẬN HÀNH</x:t>
  </x:si>
  <x:si>
    <x:t xml:space="preserve">Dự báo sản lượng điện thương phẩm, giá bán điện, doanh thu và O&amp;M theo toàn bộ vòng đời dự án.</x:t>
  </x:si>
  <x:si>
    <x:t xml:space="preserve">1. SẢN LƯỢNG VÀ DOANH THU</x:t>
  </x:si>
  <x:si>
    <x:t xml:space="preserve">Sản lượng điện thương phẩm (MWh)</x:t>
  </x:si>
  <x:si>
    <x:t xml:space="preserve">Hệ số suy giảm lũy kế</x:t>
  </x:si>
  <x:si>
    <x:t xml:space="preserve">Giá bán điện (VND/kWh)</x:t>
  </x:si>
  <x:si>
    <x:t xml:space="preserve">Doanh thu bán điện</x:t>
  </x:si>
  <x:si>
    <x:t xml:space="preserve">Doanh thu khác</x:t>
  </x:si>
  <x:si>
    <x:t xml:space="preserve">Tổng doanh thu</x:t>
  </x:si>
  <x:si>
    <x:t xml:space="preserve">2. CHI PHÍ VẬN HÀNH</x:t>
  </x:si>
  <x:si>
    <x:t xml:space="preserve">Chi phí O&amp;M</x:t>
  </x:si>
  <x:si>
    <x:t xml:space="preserve">Biên EBITDA</x:t>
  </x:si>
  <x:si>
    <x:t xml:space="preserve">3. TỔNG HỢP</x:t>
  </x:si>
  <x:si>
    <x:t xml:space="preserve">SUM-01</x:t>
  </x:si>
  <x:si>
    <x:t xml:space="preserve">Tổng sản lượng vòng đời (MWh)</x:t>
  </x:si>
  <x:si>
    <x:t xml:space="preserve">SUM-02</x:t>
  </x:si>
  <x:si>
    <x:t xml:space="preserve">Tổng doanh thu vòng đời</x:t>
  </x:si>
  <x:si>
    <x:t xml:space="preserve">SUM-03</x:t>
  </x:si>
  <x:si>
    <x:t xml:space="preserve">Tổng O&amp;M vòng đời</x:t>
  </x:si>
  <x:si>
    <x:t xml:space="preserve">SUM-04</x:t>
  </x:si>
  <x:si>
    <x:t xml:space="preserve">EBITDA vòng đời</x:t>
  </x:si>
  <x:si>
    <x:t xml:space="preserve">LỊCH GIẢI NGÂN VÀ TRẢ NỢ</x:t>
  </x:si>
  <x:si>
    <x:t xml:space="preserve">Khoản vay được giải ngân theo tiến độ CAPEX; hỗ trợ phương thức gốc đều hoặc niên kim.</x:t>
  </x:si>
  <x:si>
    <x:t xml:space="preserve">1. LỊCH VAY VÀ TRẢ NỢ</x:t>
  </x:si>
  <x:si>
    <x:t xml:space="preserve">DEB-01</x:t>
  </x:si>
  <x:si>
    <x:t xml:space="preserve">Dư nợ đầu kỳ</x:t>
  </x:si>
  <x:si>
    <x:t xml:space="preserve">DEB-02</x:t>
  </x:si>
  <x:si>
    <x:t xml:space="preserve">DEB-03</x:t>
  </x:si>
  <x:si>
    <x:t xml:space="preserve">Kỳ trả nợ</x:t>
  </x:si>
  <x:si>
    <x:t xml:space="preserve">DEB-04</x:t>
  </x:si>
  <x:si>
    <x:t xml:space="preserve">Khoản trả niên kim</x:t>
  </x:si>
  <x:si>
    <x:t xml:space="preserve">DEB-05</x:t>
  </x:si>
  <x:si>
    <x:t xml:space="preserve">Trả nợ gốc</x:t>
  </x:si>
  <x:si>
    <x:t xml:space="preserve">DEB-06</x:t>
  </x:si>
  <x:si>
    <x:t xml:space="preserve">Chi phí lãi vay</x:t>
  </x:si>
  <x:si>
    <x:t xml:space="preserve">DEB-07</x:t>
  </x:si>
  <x:si>
    <x:t xml:space="preserve">Nghĩa vụ trả nợ trong vận hành</x:t>
  </x:si>
  <x:si>
    <x:t xml:space="preserve">DEB-08</x:t>
  </x:si>
  <x:si>
    <x:t xml:space="preserve">Dư nợ cuối kỳ</x:t>
  </x:si>
  <x:si>
    <x:t xml:space="preserve">DEB-09</x:t>
  </x:si>
  <x:si>
    <x:t xml:space="preserve">2. KHẢ NĂNG TRẢ NỢ</x:t>
  </x:si>
  <x:si>
    <x:t xml:space="preserve">DEB-10</x:t>
  </x:si>
  <x:si>
    <x:t xml:space="preserve">DEB-11</x:t>
  </x:si>
  <x:si>
    <x:t xml:space="preserve">DEB-12</x:t>
  </x:si>
  <x:si>
    <x:t xml:space="preserve">DSCR dùng tính tối thiểu</x:t>
  </x:si>
  <x:si>
    <x:t xml:space="preserve">DEB-13</x:t>
  </x:si>
  <x:si>
    <x:t xml:space="preserve">PV CFADS trong thời hạn vay</x:t>
  </x:si>
  <x:si>
    <x:t xml:space="preserve">3. CHỈ TIÊU VÀ KIỂM TRA</x:t>
  </x:si>
  <x:si>
    <x:t xml:space="preserve">KPI-01</x:t>
  </x:si>
  <x:si>
    <x:t xml:space="preserve">KPI-02</x:t>
  </x:si>
  <x:si>
    <x:t xml:space="preserve">KPI-03</x:t>
  </x:si>
  <x:si>
    <x:t xml:space="preserve">Tổng nợ gốc đã trả</x:t>
  </x:si>
  <x:si>
    <x:t xml:space="preserve">KPI-04</x:t>
  </x:si>
  <x:si>
    <x:t xml:space="preserve">KPI-05</x:t>
  </x:si>
  <x:si>
    <x:t xml:space="preserve">DSCR bình quân gia quyền</x:t>
  </x:si>
  <x:si>
    <x:t xml:space="preserve">KPI-06</x:t>
  </x:si>
  <x:si>
    <x:t xml:space="preserve">Kiểm tra dư nợ cuối kỳ</x:t>
  </x:si>
  <x:si>
    <x:t xml:space="preserve">KHẤU HAO VÀ THUẾ THU NHẬP DOANH NGHIỆP</x:t>
  </x:si>
  <x:si>
    <x:t xml:space="preserve">Khấu hao đường thẳng; ưu đãi thuế tính từ năm vận hành đầu tiên; chuyển lỗ theo số dư đơn giản.</x:t>
  </x:si>
  <x:si>
    <x:t xml:space="preserve">1. KHẤU HAO</x:t>
  </x:si>
  <x:si>
    <x:t xml:space="preserve">Cơ sở khấu hao</x:t>
  </x:si>
  <x:si>
    <x:t xml:space="preserve">Chi phí khấu hao</x:t>
  </x:si>
  <x:si>
    <x:t xml:space="preserve">2. THU NHẬP CHỊU THUẾ VÀ THUẾ TNDN</x:t>
  </x:si>
  <x:si>
    <x:t xml:space="preserve">Thu nhập trước chuyển lỗ</x:t>
  </x:si>
  <x:si>
    <x:t xml:space="preserve">Số dư lỗ đầu kỳ</x:t>
  </x:si>
  <x:si>
    <x:t xml:space="preserve">TAX-08</x:t>
  </x:si>
  <x:si>
    <x:t xml:space="preserve">Lỗ phát sinh trong kỳ</x:t>
  </x:si>
  <x:si>
    <x:t xml:space="preserve">TAX-09</x:t>
  </x:si>
  <x:si>
    <x:t xml:space="preserve">Lỗ được sử dụng</x:t>
  </x:si>
  <x:si>
    <x:t xml:space="preserve">TAX-10</x:t>
  </x:si>
  <x:si>
    <x:t xml:space="preserve">Số dư lỗ cuối kỳ</x:t>
  </x:si>
  <x:si>
    <x:t xml:space="preserve">TAX-11</x:t>
  </x:si>
  <x:si>
    <x:t xml:space="preserve">Thu nhập tính thuế</x:t>
  </x:si>
  <x:si>
    <x:t xml:space="preserve">TAX-12</x:t>
  </x:si>
  <x:si>
    <x:t xml:space="preserve">Thuế suất TNDN hiệu dụng</x:t>
  </x:si>
  <x:si>
    <x:t xml:space="preserve">TAX-13</x:t>
  </x:si>
  <x:si>
    <x:t xml:space="preserve">Thuế TNDN phải nộp</x:t>
  </x:si>
  <x:si>
    <x:t xml:space="preserve">TAX-14</x:t>
  </x:si>
  <x:si>
    <x:t xml:space="preserve">Lợi nhuận sau thuế</x:t>
  </x:si>
  <x:si>
    <x:t xml:space="preserve">Lưu ý: Ver1 theo dõi chuyển lỗ theo số dư liên tục. Khi lập hồ sơ thuế chính thức cần bổ sung bảng theo từng niên độ để kiểm soát thời hạn chuyển lỗ.</x:t>
  </x:si>
  <x:si>
    <x:t xml:space="preserve">DỰ TOÁN KẾT QUẢ KINH DOANH</x:t>
  </x:si>
  <x:si>
    <x:t xml:space="preserve">Báo cáo lợi nhuận hằng năm từ doanh thu đến lợi nhuận sau thuế.</x:t>
  </x:si>
  <x:si>
    <x:t xml:space="preserve">BÁO CÁO KẾT QUẢ KINH DOANH</x:t>
  </x:si>
  <x:si>
    <x:t xml:space="preserve">IS-01</x:t>
  </x:si>
  <x:si>
    <x:t xml:space="preserve">IS-02</x:t>
  </x:si>
  <x:si>
    <x:t xml:space="preserve">IS-03</x:t>
  </x:si>
  <x:si>
    <x:t xml:space="preserve">IS-04</x:t>
  </x:si>
  <x:si>
    <x:t xml:space="preserve">IS-05</x:t>
  </x:si>
  <x:si>
    <x:t xml:space="preserve">IS-06</x:t>
  </x:si>
  <x:si>
    <x:t xml:space="preserve">IS-07</x:t>
  </x:si>
  <x:si>
    <x:t xml:space="preserve">Lợi nhuận trước thuế</x:t>
  </x:si>
  <x:si>
    <x:t xml:space="preserve">IS-08</x:t>
  </x:si>
  <x:si>
    <x:t xml:space="preserve">IS-09</x:t>
  </x:si>
  <x:si>
    <x:t xml:space="preserve">IS-10</x:t>
  </x:si>
  <x:si>
    <x:t xml:space="preserve">Thuế TNDN</x:t>
  </x:si>
  <x:si>
    <x:t xml:space="preserve">IS-11</x:t>
  </x:si>
  <x:si>
    <x:t xml:space="preserve">TỔNG HỢP VÒNG ĐỜI</x:t>
  </x:si>
  <x:si>
    <x:t xml:space="preserve">IS-S1</x:t>
  </x:si>
  <x:si>
    <x:t xml:space="preserve">IS-S2</x:t>
  </x:si>
  <x:si>
    <x:t xml:space="preserve">Tổng EBITDA</x:t>
  </x:si>
  <x:si>
    <x:t xml:space="preserve">IS-S3</x:t>
  </x:si>
  <x:si>
    <x:t xml:space="preserve">IS-S4</x:t>
  </x:si>
  <x:si>
    <x:t xml:space="preserve">Tổng lợi nhuận sau thuế</x:t>
  </x:si>
  <x:si>
    <x:t xml:space="preserve">DÒNG TIỀN TOÀN DỰ ÁN</x:t>
  </x:si>
  <x:si>
    <x:t xml:space="preserve">Dòng tiền không xét cơ cấu tài trợ; dùng để xác định Project IRR, Project NPV và LCOE.</x:t>
  </x:si>
  <x:si>
    <x:t xml:space="preserve">1. DÒNG TIỀN HOẠT ĐỘNG</x:t>
  </x:si>
  <x:si>
    <x:t xml:space="preserve">PCF-01</x:t>
  </x:si>
  <x:si>
    <x:t xml:space="preserve">Sản lượng điện (MWh)</x:t>
  </x:si>
  <x:si>
    <x:t xml:space="preserve">PCF-02</x:t>
  </x:si>
  <x:si>
    <x:t xml:space="preserve">PCF-03</x:t>
  </x:si>
  <x:si>
    <x:t xml:space="preserve">PCF-04</x:t>
  </x:si>
  <x:si>
    <x:t xml:space="preserve">PCF-05</x:t>
  </x:si>
  <x:si>
    <x:t xml:space="preserve">PCF-06</x:t>
  </x:si>
  <x:si>
    <x:t xml:space="preserve">PCF-07</x:t>
  </x:si>
  <x:si>
    <x:t xml:space="preserve">Thuế TNDN theo góc nhìn dự án</x:t>
  </x:si>
  <x:si>
    <x:t xml:space="preserve">PCF-08</x:t>
  </x:si>
  <x:si>
    <x:t xml:space="preserve">2. DÒNG TIỀN ĐẦU TƯ VÀ FCFF</x:t>
  </x:si>
  <x:si>
    <x:t xml:space="preserve">PCF-09</x:t>
  </x:si>
  <x:si>
    <x:t xml:space="preserve">PCF-10</x:t>
  </x:si>
  <x:si>
    <x:t xml:space="preserve">PCF-11</x:t>
  </x:si>
  <x:si>
    <x:t xml:space="preserve">Giá trị thu hồi ròng</x:t>
  </x:si>
  <x:si>
    <x:t xml:space="preserve">PCF-12</x:t>
  </x:si>
  <x:si>
    <x:t xml:space="preserve">Dòng tiền tự do dự án (FCFF)</x:t>
  </x:si>
  <x:si>
    <x:t xml:space="preserve">PCF-13</x:t>
  </x:si>
  <x:si>
    <x:t xml:space="preserve">Hệ số chiết khấu</x:t>
  </x:si>
  <x:si>
    <x:t xml:space="preserve">PCF-14</x:t>
  </x:si>
  <x:si>
    <x:t xml:space="preserve">Giá trị hiện tại FCFF</x:t>
  </x:si>
  <x:si>
    <x:t xml:space="preserve">PCF-15</x:t>
  </x:si>
  <x:si>
    <x:t xml:space="preserve">Dòng tiền tích lũy</x:t>
  </x:si>
  <x:si>
    <x:t xml:space="preserve">PCF-16</x:t>
  </x:si>
  <x:si>
    <x:t xml:space="preserve">Năm hoàn vốn hỗ trợ</x:t>
  </x:si>
  <x:si>
    <x:t xml:space="preserve">PCF-17</x:t>
  </x:si>
  <x:si>
    <x:t xml:space="preserve">PV chi phí cho LCOE</x:t>
  </x:si>
  <x:si>
    <x:t xml:space="preserve">PCF-18</x:t>
  </x:si>
  <x:si>
    <x:t xml:space="preserve">PV sản lượng điện</x:t>
  </x:si>
  <x:si>
    <x:t xml:space="preserve">PCF-19</x:t>
  </x:si>
  <x:si>
    <x:t xml:space="preserve">PV sản lượng có hệ số giá</x:t>
  </x:si>
  <x:si>
    <x:t xml:space="preserve">3. CHỈ TIÊU HIỆU QUẢ DỰ ÁN</x:t>
  </x:si>
  <x:si>
    <x:t xml:space="preserve">Năm hoàn vốn</x:t>
  </x:si>
  <x:si>
    <x:t xml:space="preserve">Thời gian hoàn vốn</x:t>
  </x:si>
  <x:si>
    <x:t xml:space="preserve">Giá điện hòa vốn trước thuế</x:t>
  </x:si>
  <x:si>
    <x:t xml:space="preserve">DÒNG TIỀN VỐN CHỦ SỞ HỮU</x:t>
  </x:si>
  <x:si>
    <x:t xml:space="preserve">Dòng tiền sau vay, trả nợ và thuế; dùng để xác định Equity IRR và Equity NPV.</x:t>
  </x:si>
  <x:si>
    <x:t xml:space="preserve">1. DÒNG TIỀN VỐN CHỦ SỞ HỮU</x:t>
  </x:si>
  <x:si>
    <x:t xml:space="preserve">ECF-01</x:t>
  </x:si>
  <x:si>
    <x:t xml:space="preserve">ECF-02</x:t>
  </x:si>
  <x:si>
    <x:t xml:space="preserve">ECF-03</x:t>
  </x:si>
  <x:si>
    <x:t xml:space="preserve">ECF-04</x:t>
  </x:si>
  <x:si>
    <x:t xml:space="preserve">ECF-05</x:t>
  </x:si>
  <x:si>
    <x:t xml:space="preserve">ECF-06</x:t>
  </x:si>
  <x:si>
    <x:t xml:space="preserve">ECF-07</x:t>
  </x:si>
  <x:si>
    <x:t xml:space="preserve">ECF-08</x:t>
  </x:si>
  <x:si>
    <x:t xml:space="preserve">ECF-09</x:t>
  </x:si>
  <x:si>
    <x:t xml:space="preserve">ECF-10</x:t>
  </x:si>
  <x:si>
    <x:t xml:space="preserve">ECF-11</x:t>
  </x:si>
  <x:si>
    <x:t xml:space="preserve">ECF-12</x:t>
  </x:si>
  <x:si>
    <x:t xml:space="preserve">Giá trị hiện tại dòng tiền vốn CSH</x:t>
  </x:si>
  <x:si>
    <x:t xml:space="preserve">ECF-13</x:t>
  </x:si>
  <x:si>
    <x:t xml:space="preserve">ECF-14</x:t>
  </x:si>
  <x:si>
    <x:t xml:space="preserve">2. CHỈ TIÊU VỐN CHỦ SỞ HỮU</x:t>
  </x:si>
  <x:si>
    <x:t xml:space="preserve">Năm hoàn vốn vốn CSH</x:t>
  </x:si>
  <x:si>
    <x:t xml:space="preserve">Thời gian hoàn vốn vốn CSH</x:t>
  </x:si>
  <x:si>
    <x:t xml:space="preserve">PHÂN TÍCH ĐỘ NHẠY</x:t>
  </x:si>
  <x:si>
    <x:t xml:space="preserve">Phân tích một biến tại một thời điểm; các dòng tiền điều chỉnh được tính lại từ mô hình cơ sở.</x:t>
  </x:si>
  <x:si>
    <x:t xml:space="preserve">1. ĐỘ NHẠY PROJECT IRR</x:t>
  </x:si>
  <x:si>
    <x:t xml:space="preserve">Biến số</x:t>
  </x:si>
  <x:si>
    <x:t xml:space="preserve">-10%</x:t>
  </x:si>
  <x:si>
    <x:t xml:space="preserve">-5%</x:t>
  </x:si>
  <x:si>
    <x:t xml:space="preserve">Cơ sở</x:t>
  </x:si>
  <x:si>
    <x:t xml:space="preserve">+5%</x:t>
  </x:si>
  <x:si>
    <x:t xml:space="preserve">+10%</x:t>
  </x:si>
  <x:si>
    <x:t xml:space="preserve">SEN-01</x:t>
  </x:si>
  <x:si>
    <x:t xml:space="preserve">Sản lượng điện</x:t>
  </x:si>
  <x:si>
    <x:t xml:space="preserve">SEN-02</x:t>
  </x:si>
  <x:si>
    <x:t xml:space="preserve">SEN-03</x:t>
  </x:si>
  <x:si>
    <x:t xml:space="preserve">Tổng vốn đầu tư</x:t>
  </x:si>
  <x:si>
    <x:t xml:space="preserve">SEN-04</x:t>
  </x:si>
  <x:si>
    <x:t xml:space="preserve">SEN-05</x:t>
  </x:si>
  <x:si>
    <x:t xml:space="preserve">2. ĐỘ NHẠY EQUITY IRR</x:t>
  </x:si>
  <x:si>
    <x:t xml:space="preserve">Phương pháp: sản lượng, giá điện và O&amp;M điều chỉnh EBITDA sau thuế; CAPEX điều chỉnh chi đầu tư, VAT, khấu hao và phần vốn vay tương ứng; lãi suất chỉ ảnh hưởng dòng tiền vốn chủ sở hữu. Đây là phân tích một biến, không thay thế kịch bản tổng hợp.</x:t>
  </x:si>
  <x:si>
    <x:t xml:space="preserve">KHỐI TÍNH TOÁN HỖ TRỢ – phục vụ kiểm toán công thức độ nhạy</x:t>
  </x:si>
  <x:si>
    <x:t xml:space="preserve">SEN-01-1</x:t>
  </x:si>
  <x:si>
    <x:t xml:space="preserve">Project CF × 90%</x:t>
  </x:si>
  <x:si>
    <x:t xml:space="preserve">SEN-01-2</x:t>
  </x:si>
  <x:si>
    <x:t xml:space="preserve">Project CF × 95%</x:t>
  </x:si>
  <x:si>
    <x:t xml:space="preserve">SEN-01-3</x:t>
  </x:si>
  <x:si>
    <x:t xml:space="preserve">Project CF × 100%</x:t>
  </x:si>
  <x:si>
    <x:t xml:space="preserve">SEN-01-4</x:t>
  </x:si>
  <x:si>
    <x:t xml:space="preserve">Project CF × 105%</x:t>
  </x:si>
  <x:si>
    <x:t xml:space="preserve">SEN-01-5</x:t>
  </x:si>
  <x:si>
    <x:t xml:space="preserve">Project CF × 110%</x:t>
  </x:si>
  <x:si>
    <x:t xml:space="preserve">SEN-02-1</x:t>
  </x:si>
  <x:si>
    <x:t xml:space="preserve">SEN-02-2</x:t>
  </x:si>
  <x:si>
    <x:t xml:space="preserve">SEN-02-3</x:t>
  </x:si>
  <x:si>
    <x:t xml:space="preserve">SEN-02-4</x:t>
  </x:si>
  <x:si>
    <x:t xml:space="preserve">SEN-02-5</x:t>
  </x:si>
  <x:si>
    <x:t xml:space="preserve">SEN-03-1</x:t>
  </x:si>
  <x:si>
    <x:t xml:space="preserve">SEN-03-2</x:t>
  </x:si>
  <x:si>
    <x:t xml:space="preserve">SEN-03-3</x:t>
  </x:si>
  <x:si>
    <x:t xml:space="preserve">SEN-03-4</x:t>
  </x:si>
  <x:si>
    <x:t xml:space="preserve">SEN-03-5</x:t>
  </x:si>
  <x:si>
    <x:t xml:space="preserve">SEN-04-1</x:t>
  </x:si>
  <x:si>
    <x:t xml:space="preserve">SEN-04-2</x:t>
  </x:si>
  <x:si>
    <x:t xml:space="preserve">SEN-04-3</x:t>
  </x:si>
  <x:si>
    <x:t xml:space="preserve">SEN-04-4</x:t>
  </x:si>
  <x:si>
    <x:t xml:space="preserve">SEN-04-5</x:t>
  </x:si>
  <x:si>
    <x:t xml:space="preserve">SEN-05-1</x:t>
  </x:si>
  <x:si>
    <x:t xml:space="preserve">SEN-05-2</x:t>
  </x:si>
  <x:si>
    <x:t xml:space="preserve">SEN-05-3</x:t>
  </x:si>
  <x:si>
    <x:t xml:space="preserve">SEN-05-4</x:t>
  </x:si>
  <x:si>
    <x:t xml:space="preserve">SEN-05-5</x:t>
  </x:si>
  <x:si>
    <x:t xml:space="preserve">Equity CF × 90%</x:t>
  </x:si>
  <x:si>
    <x:t xml:space="preserve">Equity CF × 95%</x:t>
  </x:si>
  <x:si>
    <x:t xml:space="preserve">Equity CF × 100%</x:t>
  </x:si>
  <x:si>
    <x:t xml:space="preserve">Equity CF × 105%</x:t>
  </x:si>
  <x:si>
    <x:t xml:space="preserve">Equity CF × 110%</x:t>
  </x:si>
</x:sst>
</file>

<file path=xl/styles.xml><?xml version="1.0" encoding="utf-8"?>
<x:styleSheet xmlns:x="http://schemas.openxmlformats.org/spreadsheetml/2006/main">
  <x:numFmts count="14">
    <x:numFmt numFmtId="164" formatCode="#,##0.0;[Red]\(#,##0.0\);\-"/>
    <x:numFmt numFmtId="165" formatCode="#,##0.00;[Red]\(#,##0.00\);\-"/>
    <x:numFmt numFmtId="166" formatCode="0.0%"/>
    <x:numFmt numFmtId="167" formatCode="0.0"/>
    <x:numFmt numFmtId="168" formatCode="#,##0;[Red]\(#,##0\);\-"/>
    <x:numFmt numFmtId="169" formatCode="0.00\x"/>
    <x:numFmt numFmtId="170" formatCode="#,##0.0"/>
    <x:numFmt numFmtId="171" formatCode="0.0%;[Red]\(0.0%\);\-"/>
    <x:numFmt numFmtId="172" formatCode="0.00\x;[Red]\(0.00\x\);\-"/>
    <x:numFmt numFmtId="173" formatCode="0.00%;[Red]\(0.00%\);\-"/>
    <x:numFmt numFmtId="174" formatCode="0.0000\x"/>
    <x:numFmt numFmtId="200" formatCode="#,##0.00"/>
    <x:numFmt numFmtId="201" formatCode="#,##0"/>
    <x:numFmt numFmtId="202" formatCode="0.00%"/>
  </x:numFmts>
  <x:fonts count="29">
    <x:font>
      <x:sz val="11"/>
      <x:name val="Carlito"/>
    </x:font>
    <x:font>
      <x:sz val="10"/>
      <x:color rgb="FF222222"/>
      <x:name val="Arial"/>
    </x:font>
    <x:font>
      <x:b/>
      <x:sz val="15"/>
      <x:color rgb="FFFFFFFF"/>
      <x:name val="Arial"/>
    </x:font>
    <x:font>
      <x:i/>
      <x:sz val="10"/>
      <x:color rgb="FF666666"/>
      <x:name val="Arial"/>
    </x:font>
    <x:font>
      <x:sz val="9"/>
      <x:color rgb="FF666666"/>
      <x:name val="Arial"/>
    </x:font>
    <x:font>
      <x:b/>
      <x:sz val="10"/>
      <x:color rgb="FF4F6D8A"/>
      <x:name val="Arial"/>
    </x:font>
    <x:font>
      <x:b/>
      <x:sz val="10"/>
      <x:color rgb="FFFF0000"/>
      <x:name val="Arial"/>
    </x:font>
    <x:font>
      <x:b/>
      <x:sz val="10"/>
      <x:color rgb="FF0000FF"/>
      <x:name val="Arial"/>
    </x:font>
    <x:font>
      <x:b/>
      <x:sz val="10"/>
      <x:color rgb="FF222222"/>
      <x:name val="Arial"/>
    </x:font>
    <x:font>
      <x:b/>
      <x:sz val="10"/>
      <x:color rgb="FFFFFFFF"/>
      <x:name val="Arial"/>
    </x:font>
    <x:font>
      <x:sz val="10"/>
      <x:color rgb="FFFF0000"/>
      <x:name val="Arial"/>
    </x:font>
    <x:font>
      <x:b/>
      <x:sz val="14"/>
      <x:color rgb="FFFFFFFF"/>
      <x:name val="Arial"/>
    </x:font>
    <x:font>
      <x:i/>
      <x:sz val="9"/>
      <x:color rgb="FF666666"/>
      <x:name val="Arial"/>
    </x:font>
    <x:font>
      <x:sz val="8"/>
      <x:color rgb="FF666666"/>
      <x:name val="Arial"/>
    </x:font>
    <x:font>
      <x:b/>
      <x:sz val="9"/>
      <x:color rgb="FF222222"/>
      <x:name val="Arial"/>
    </x:font>
    <x:font>
      <x:i/>
      <x:sz val="9"/>
      <x:color rgb="FF222222"/>
      <x:name val="Arial"/>
    </x:font>
    <x:font>
      <x:sz val="9"/>
      <x:color rgb="FF222222"/>
      <x:name val="Arial"/>
    </x:font>
    <x:font>
      <x:b/>
      <x:sz val="9"/>
      <x:color rgb="FFFFFFFF"/>
      <x:name val="Arial"/>
    </x:font>
    <x:font>
      <x:sz val="9"/>
      <x:color rgb="FF0000FF"/>
      <x:name val="Arial"/>
    </x:font>
    <x:font>
      <x:b/>
      <x:sz val="9"/>
      <x:color rgb="FF4F6D8A"/>
      <x:name val="Arial"/>
    </x:font>
    <x:font>
      <x:sz val="9"/>
      <x:color rgb="FF0000FF"/>
      <x:name val="Arial"/>
    </x:font>
    <x:font>
      <x:b/>
      <x:sz val="9"/>
      <x:color rgb="FF0000FF"/>
      <x:name val="Arial"/>
    </x:font>
    <x:font>
      <x:b/>
      <x:sz val="11"/>
      <x:color rgb="FF4F6D8A"/>
      <x:name val="Arial"/>
    </x:font>
    <x:font>
      <x:b/>
      <x:sz val="14"/>
      <x:color rgb="FFC00000"/>
      <x:name val="Arial"/>
    </x:font>
    <x:font>
      <x:b/>
      <x:sz val="14"/>
      <x:color rgb="FF0000FF"/>
      <x:name val="Arial"/>
    </x:font>
    <x:font>
      <x:b/>
      <x:sz val="16"/>
      <x:color rgb="FFFFFFFF"/>
      <x:name val="Arial"/>
    </x:font>
    <x:font>
      <x:i/>
      <x:sz val="11"/>
      <x:color rgb="FF17365D"/>
      <x:name val="Arial"/>
    </x:font>
    <x:font>
      <x:sz val="10"/>
      <x:color rgb="FF000000"/>
      <x:name val="Arial"/>
    </x:font>
    <x:font>
      <x:b/>
      <x:sz val="10"/>
      <x:color rgb="FF17365D"/>
      <x:name val="Arial"/>
    </x:font>
  </x:fonts>
  <x:fills count="23">
    <x:fill>
      <x:patternFill patternType="none"/>
    </x:fill>
    <x:fill>
      <x:patternFill patternType="gray125"/>
    </x:fill>
    <x:fill>
      <x:patternFill patternType="solid">
        <x:fgColor rgb="FF4F6D8A"/>
      </x:patternFill>
    </x:fill>
    <x:fill>
      <x:patternFill patternType="solid">
        <x:fgColor rgb="FFEEF5FA"/>
      </x:patternFill>
    </x:fill>
    <x:fill>
      <x:patternFill patternType="solid">
        <x:fgColor rgb="FFD9EAF7"/>
      </x:patternFill>
    </x:fill>
    <x:fill>
      <x:patternFill patternType="solid">
        <x:fgColor rgb="FFFFF9E8"/>
      </x:patternFill>
    </x:fill>
    <x:fill>
      <x:patternFill patternType="solid">
        <x:fgColor rgb="FFF1F6FA"/>
      </x:patternFill>
    </x:fill>
    <x:fill>
      <x:patternFill patternType="solid">
        <x:fgColor rgb="FFF2F2F2"/>
      </x:patternFill>
    </x:fill>
    <x:fill>
      <x:patternFill patternType="solid">
        <x:fgColor rgb="FFFCEFE8"/>
      </x:patternFill>
    </x:fill>
    <x:fill>
      <x:patternFill patternType="solid">
        <x:fgColor rgb="FFD9EAF7"/>
      </x:patternFill>
    </x:fill>
    <x:fill>
      <x:patternFill patternType="solid">
        <x:fgColor rgb="FF587895"/>
      </x:patternFill>
    </x:fill>
    <x:fill>
      <x:patternFill patternType="solid">
        <x:fgColor rgb="FFF1F6FA"/>
      </x:patternFill>
    </x:fill>
    <x:fill>
      <x:patternFill patternType="solid">
        <x:fgColor rgb="FFFDEDEC"/>
      </x:patternFill>
    </x:fill>
    <x:fill>
      <x:patternFill patternType="solid">
        <x:fgColor rgb="FFFFF8F2"/>
      </x:patternFill>
    </x:fill>
    <x:fill>
      <x:patternFill patternType="solid">
        <x:fgColor rgb="FFFFF2E8"/>
      </x:patternFill>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F1F6FA"/>
      </x:patternFill>
    </x:fill>
    <x:fill>
      <x:patternFill patternType="solid">
        <x:fgColor rgb="FFFFF9E8"/>
      </x:patternFill>
    </x:fill>
    <x:fill>
      <x:patternFill patternType="solid">
        <x:fgColor rgb="FFF1F6FA"/>
      </x:patternFill>
    </x:fill>
    <x:fill>
      <x:patternFill patternType="solid">
        <x:fgColor rgb="FF4F6D8A"/>
      </x:patternFill>
    </x:fill>
    <x:fill>
      <x:patternFill patternType="solid">
        <x:fgColor rgb="FFFFF9E8"/>
      </x:patternFill>
    </x:fill>
  </x:fills>
  <x:borders count="12">
    <x:border/>
    <x:border>
      <x:left style="thin">
        <x:color rgb="FFCEDAE3"/>
      </x:left>
      <x:top style="thin">
        <x:color rgb="FFCEDAE3"/>
      </x:top>
      <x:bottom style="thin">
        <x:color rgb="FFCEDAE3"/>
      </x:bottom>
    </x:border>
    <x:border>
      <x:top style="thin">
        <x:color rgb="FFCEDAE3"/>
      </x:top>
      <x:bottom style="thin">
        <x:color rgb="FFCEDAE3"/>
      </x:bottom>
    </x:border>
    <x:border>
      <x:right style="thin">
        <x:color rgb="FFCEDAE3"/>
      </x:right>
      <x:top style="thin">
        <x:color rgb="FFCEDAE3"/>
      </x:top>
      <x:bottom style="thin">
        <x:color rgb="FFCEDAE3"/>
      </x:bottom>
    </x:border>
    <x:border>
      <x:bottom style="thin">
        <x:color rgb="FFD9E1E8"/>
      </x:bottom>
    </x:border>
    <x:border>
      <x:bottom style="thin">
        <x:color rgb="FFCEDAE3"/>
      </x:bottom>
    </x:border>
    <x:border>
      <x:bottom style="thin">
        <x:color rgb="FFE4EAF0"/>
      </x:bottom>
    </x:border>
    <x:border>
      <x:left style="medium">
        <x:color rgb="FFD9B3AE"/>
      </x:left>
      <x:top style="medium">
        <x:color rgb="FFD9B3AE"/>
      </x:top>
      <x:bottom style="medium">
        <x:color rgb="FFD9B3AE"/>
      </x:bottom>
    </x:border>
    <x:border>
      <x:top style="medium">
        <x:color rgb="FFD9B3AE"/>
      </x:top>
      <x:bottom style="medium">
        <x:color rgb="FFD9B3AE"/>
      </x:bottom>
    </x:border>
    <x:border>
      <x:right style="medium">
        <x:color rgb="FFD9B3AE"/>
      </x:right>
      <x:top style="medium">
        <x:color rgb="FFD9B3AE"/>
      </x:top>
      <x:bottom style="medium">
        <x:color rgb="FFD9B3AE"/>
      </x:bottom>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95">
    <x:xf numFmtId="0" fontId="0" fillId="0" borderId="0" xfId="0"/>
    <x:xf numFmtId="0" fontId="1" fillId="0" borderId="0" xfId="0" applyFont="1"/>
    <x:xf numFmtId="0" fontId="9" fillId="2" borderId="1" xfId="0" applyFont="1" applyFill="1" applyBorder="1" applyAlignment="1">
      <x:alignment horizontal="center" vertical="center" wrapText="1"/>
    </x:xf>
    <x:xf numFmtId="0" fontId="9" fillId="2" borderId="2" xfId="0" applyFont="1" applyFill="1" applyBorder="1" applyAlignment="1">
      <x:alignment horizontal="center" vertical="center" wrapText="1"/>
    </x:xf>
    <x:xf numFmtId="0" fontId="9" fillId="2" borderId="3" xfId="0" applyFont="1" applyFill="1" applyBorder="1" applyAlignment="1">
      <x:alignment horizontal="center" vertical="center" wrapText="1"/>
    </x:xf>
    <x:xf numFmtId="0" fontId="1" fillId="0" borderId="4" xfId="0" applyFont="1" applyBorder="1" applyAlignment="1">
      <x:alignment vertical="center" wrapText="1"/>
    </x:xf>
    <x:xf numFmtId="0" fontId="6" fillId="5" borderId="4" xfId="0" applyFont="1" applyFill="1" applyBorder="1" applyAlignment="1">
      <x:alignment horizontal="left" vertical="center" wrapText="1"/>
    </x:xf>
    <x:xf numFmtId="0" fontId="8" fillId="0" borderId="4" xfId="0" applyFont="1" applyBorder="1" applyAlignment="1">
      <x:alignment vertical="center" wrapText="1"/>
    </x:xf>
    <x:xf numFmtId="164" fontId="6" fillId="5" borderId="4" xfId="0" applyNumberFormat="1" applyFont="1" applyFill="1" applyBorder="1" applyAlignment="1">
      <x:alignment horizontal="right" vertical="center" wrapText="1"/>
    </x:xf>
    <x:xf numFmtId="1" fontId="10" fillId="5" borderId="4" xfId="0" applyNumberFormat="1" applyFont="1" applyFill="1" applyBorder="1" applyAlignment="1">
      <x:alignment horizontal="right" vertical="center" wrapText="1"/>
    </x:xf>
    <x:xf numFmtId="1" fontId="6" fillId="5" borderId="4" xfId="0" applyNumberFormat="1" applyFont="1" applyFill="1" applyBorder="1" applyAlignment="1">
      <x:alignment horizontal="right" vertical="center" wrapText="1"/>
    </x:xf>
    <x:xf numFmtId="1" fontId="7" fillId="6" borderId="4" xfId="0" applyNumberFormat="1" applyFont="1" applyFill="1" applyBorder="1" applyAlignment="1">
      <x:alignment horizontal="right" vertical="center" wrapText="1"/>
    </x:xf>
    <x:xf numFmtId="165" fontId="7" fillId="6" borderId="4" xfId="0" applyNumberFormat="1" applyFont="1" applyFill="1" applyBorder="1" applyAlignment="1">
      <x:alignment horizontal="right" vertical="center" wrapText="1"/>
    </x:xf>
    <x:xf numFmtId="165" fontId="6" fillId="5" borderId="4" xfId="0" applyNumberFormat="1" applyFont="1" applyFill="1" applyBorder="1" applyAlignment="1">
      <x:alignment horizontal="right" vertical="center" wrapText="1"/>
    </x:xf>
    <x:xf numFmtId="166" fontId="6" fillId="5" borderId="4" xfId="0" applyNumberFormat="1" applyFont="1" applyFill="1" applyBorder="1" applyAlignment="1">
      <x:alignment horizontal="right" vertical="center" wrapText="1"/>
    </x:xf>
    <x:xf numFmtId="166" fontId="10" fillId="5" borderId="4" xfId="0" applyNumberFormat="1" applyFont="1" applyFill="1" applyBorder="1" applyAlignment="1">
      <x:alignment horizontal="right" vertical="center" wrapText="1"/>
    </x:xf>
    <x:xf numFmtId="167" fontId="10" fillId="5" borderId="4" xfId="0" applyNumberFormat="1" applyFont="1" applyFill="1" applyBorder="1" applyAlignment="1">
      <x:alignment horizontal="right" vertical="center" wrapText="1"/>
    </x:xf>
    <x:xf numFmtId="165" fontId="10" fillId="5" borderId="4" xfId="0" applyNumberFormat="1" applyFont="1" applyFill="1" applyBorder="1" applyAlignment="1">
      <x:alignment horizontal="right" vertical="center" wrapText="1"/>
    </x:xf>
    <x:xf numFmtId="0" fontId="8" fillId="3" borderId="1" xfId="0" applyFont="1" applyFill="1" applyBorder="1" applyAlignment="1">
      <x:alignment horizontal="center" vertical="center"/>
    </x:xf>
    <x:xf numFmtId="0" fontId="8" fillId="3" borderId="2" xfId="0" applyFont="1" applyFill="1" applyBorder="1" applyAlignment="1">
      <x:alignment horizontal="center" vertical="center"/>
    </x:xf>
    <x:xf numFmtId="0" fontId="8" fillId="3" borderId="3" xfId="0" applyFont="1" applyFill="1" applyBorder="1" applyAlignment="1">
      <x:alignment horizontal="center" vertical="center"/>
    </x:xf>
    <x:xf numFmtId="166" fontId="7" fillId="6" borderId="4" xfId="0" applyNumberFormat="1" applyFont="1" applyFill="1" applyBorder="1" applyAlignment="1">
      <x:alignment horizontal="right" vertical="center" wrapText="1"/>
    </x:xf>
    <x:xf numFmtId="0" fontId="10" fillId="5" borderId="4" xfId="0" applyFont="1" applyFill="1" applyBorder="1" applyAlignment="1">
      <x:alignment horizontal="left" vertical="center" wrapText="1"/>
    </x:xf>
    <x:xf numFmtId="10" fontId="10" fillId="5" borderId="4" xfId="0" applyNumberFormat="1" applyFont="1" applyFill="1" applyBorder="1" applyAlignment="1">
      <x:alignment horizontal="right" vertical="center" wrapText="1"/>
    </x:xf>
    <x:xf numFmtId="10" fontId="6" fillId="5" borderId="4" xfId="0" applyNumberFormat="1" applyFont="1" applyFill="1" applyBorder="1" applyAlignment="1">
      <x:alignment horizontal="right" vertical="center" wrapText="1"/>
    </x:xf>
    <x:xf numFmtId="169" fontId="10" fillId="5" borderId="4" xfId="0" applyNumberFormat="1" applyFont="1" applyFill="1" applyBorder="1" applyAlignment="1">
      <x:alignment horizontal="right" vertical="center" wrapText="1"/>
    </x:xf>
    <x:xf numFmtId="0" fontId="1" fillId="0" borderId="4" xfId="0" applyFont="1" applyBorder="1" applyAlignment="1">
      <x:alignment vertical="center"/>
    </x:xf>
    <x:xf numFmtId="170" fontId="7" fillId="6" borderId="4" xfId="0" applyNumberFormat="1" applyFont="1" applyFill="1" applyBorder="1" applyAlignment="1">
      <x:alignment horizontal="right" vertical="center"/>
    </x:xf>
    <x:xf numFmtId="1" fontId="7" fillId="6" borderId="4" xfId="0" applyNumberFormat="1" applyFont="1" applyFill="1" applyBorder="1" applyAlignment="1">
      <x:alignment horizontal="right" vertical="center"/>
    </x:xf>
    <x:xf numFmtId="4" fontId="7" fillId="6" borderId="4" xfId="0" applyNumberFormat="1" applyFont="1" applyFill="1" applyBorder="1" applyAlignment="1">
      <x:alignment horizontal="right" vertical="center"/>
    </x:xf>
    <x:xf numFmtId="49" fontId="7" fillId="6" borderId="4" xfId="0" applyNumberFormat="1" applyFont="1" applyFill="1" applyBorder="1" applyAlignment="1">
      <x:alignment horizontal="center" vertical="center"/>
    </x:xf>
    <x:xf numFmtId="0" fontId="1" fillId="0" borderId="0" xfId="0" applyFont="1" applyAlignment="1">
      <x:alignment vertical="center"/>
    </x:xf>
    <x:xf numFmtId="0" fontId="6" fillId="5" borderId="0" xfId="0" applyFont="1" applyFill="1" applyAlignment="1">
      <x:alignment horizontal="center" vertical="center"/>
    </x:xf>
    <x:xf numFmtId="0" fontId="7" fillId="6" borderId="0" xfId="0" applyFont="1" applyFill="1" applyAlignment="1">
      <x:alignment horizontal="center" vertical="center"/>
    </x:xf>
    <x:xf numFmtId="0" fontId="1" fillId="0" borderId="4" xfId="0" applyFont="1" applyBorder="1" applyAlignment="1">
      <x:alignment horizontal="center" vertical="center" wrapText="1"/>
    </x:xf>
    <x:xf numFmtId="0" fontId="1" fillId="0" borderId="0" xfId="0" applyFont="1" applyAlignment="1">
      <x:alignment horizontal="center" vertical="center"/>
    </x:xf>
    <x:xf numFmtId="0" fontId="1" fillId="0" borderId="0" xfId="0" applyFont="1" applyAlignment="1">
      <x:alignment vertical="center" wrapText="1"/>
    </x:xf>
    <x:xf numFmtId="0" fontId="8" fillId="3" borderId="3" xfId="0" applyFont="1" applyFill="1" applyBorder="1" applyAlignment="1">
      <x:alignment horizontal="center" vertical="center" wrapText="1"/>
    </x:xf>
    <x:xf numFmtId="0" fontId="14" fillId="2" borderId="0" xfId="0" applyFont="1" applyFill="1" applyAlignment="1">
      <x:alignment horizontal="center" vertical="center"/>
    </x:xf>
    <x:xf numFmtId="0" fontId="15" fillId="3" borderId="0" xfId="0" applyFont="1" applyFill="1" applyAlignment="1">
      <x:alignment horizontal="center" vertical="center" wrapText="1"/>
    </x:xf>
    <x:xf numFmtId="0" fontId="16" fillId="0" borderId="0" xfId="0" applyFont="1" applyAlignment="1">
      <x:alignment horizontal="right"/>
    </x:xf>
    <x:xf numFmtId="0" fontId="16" fillId="0" borderId="0" xfId="0" applyFont="1"/>
    <x:xf numFmtId="0" fontId="17" fillId="2" borderId="5" xfId="0" applyFont="1" applyFill="1" applyBorder="1" applyAlignment="1">
      <x:alignment horizontal="right" vertical="center"/>
    </x:xf>
    <x:xf numFmtId="171" fontId="20" fillId="0" borderId="6" xfId="0" applyNumberFormat="1" applyFont="1" applyBorder="1" applyAlignment="1">
      <x:alignment horizontal="right" vertical="center"/>
    </x:xf>
    <x:xf numFmtId="165" fontId="21" fillId="0" borderId="6" xfId="0" applyNumberFormat="1" applyFont="1" applyBorder="1" applyAlignment="1">
      <x:alignment horizontal="right" vertical="center"/>
    </x:xf>
    <x:xf numFmtId="165" fontId="20" fillId="0" borderId="6" xfId="0" applyNumberFormat="1" applyFont="1" applyBorder="1" applyAlignment="1">
      <x:alignment horizontal="right" vertical="center"/>
    </x:xf>
    <x:xf numFmtId="168" fontId="21" fillId="0" borderId="6" xfId="0" applyNumberFormat="1" applyFont="1" applyBorder="1" applyAlignment="1">
      <x:alignment horizontal="right" vertical="center"/>
    </x:xf>
    <x:xf numFmtId="171" fontId="21" fillId="0" borderId="6" xfId="0" applyNumberFormat="1" applyFont="1" applyBorder="1" applyAlignment="1">
      <x:alignment horizontal="right" vertical="center"/>
    </x:xf>
    <x:xf numFmtId="1" fontId="20" fillId="0" borderId="6" xfId="0" applyNumberFormat="1" applyFont="1" applyBorder="1" applyAlignment="1">
      <x:alignment horizontal="right" vertical="center"/>
    </x:xf>
    <x:xf numFmtId="172" fontId="21" fillId="0" borderId="6" xfId="0" applyNumberFormat="1" applyFont="1" applyBorder="1" applyAlignment="1">
      <x:alignment horizontal="right" vertical="center"/>
    </x:xf>
    <x:xf numFmtId="172" fontId="20" fillId="0" borderId="6" xfId="0" applyNumberFormat="1" applyFont="1" applyBorder="1" applyAlignment="1">
      <x:alignment horizontal="right" vertical="center"/>
    </x:xf>
    <x:xf numFmtId="173" fontId="20" fillId="0" borderId="6" xfId="0" applyNumberFormat="1" applyFont="1" applyBorder="1" applyAlignment="1">
      <x:alignment horizontal="right" vertical="center"/>
    </x:xf>
    <x:xf numFmtId="168" fontId="20" fillId="0" borderId="6" xfId="0" applyNumberFormat="1" applyFont="1" applyBorder="1" applyAlignment="1">
      <x:alignment horizontal="right" vertical="center"/>
    </x:xf>
    <x:xf numFmtId="174" fontId="20" fillId="0" borderId="6" xfId="0" applyNumberFormat="1" applyFont="1" applyBorder="1" applyAlignment="1">
      <x:alignment horizontal="right" vertical="center"/>
    </x:xf>
    <x:xf numFmtId="173" fontId="21" fillId="6" borderId="0" xfId="0" applyNumberFormat="1" applyFont="1" applyFill="1" applyAlignment="1">
      <x:alignment horizontal="right"/>
    </x:xf>
    <x:xf numFmtId="0" fontId="17" fillId="2" borderId="0" xfId="0" applyFont="1" applyFill="1" applyAlignment="1">
      <x:alignment horizontal="center"/>
    </x:xf>
    <x:xf numFmtId="165" fontId="16" fillId="0" borderId="0" xfId="0" applyNumberFormat="1" applyFont="1"/>
    <x:xf numFmtId="165" fontId="0" fillId="0" borderId="0" xfId="0" applyNumberFormat="1"/>
    <x:xf numFmtId="170" fontId="7" fillId="6" borderId="0" xfId="0" applyNumberFormat="1" applyFont="1" applyFill="1" applyAlignment="1">
      <x:alignment horizontal="right"/>
    </x:xf>
    <x:xf numFmtId="1" fontId="7" fillId="6" borderId="0" xfId="0" applyNumberFormat="1" applyFont="1" applyFill="1" applyAlignment="1">
      <x:alignment horizontal="right"/>
    </x:xf>
    <x:xf numFmtId="165" fontId="7" fillId="6" borderId="0" xfId="0" applyNumberFormat="1" applyFont="1" applyFill="1" applyAlignment="1">
      <x:alignment horizontal="right"/>
    </x:xf>
    <x:xf numFmtId="168" fontId="7" fillId="6" borderId="0" xfId="0" applyNumberFormat="1" applyFont="1" applyFill="1" applyAlignment="1">
      <x:alignment horizontal="right"/>
    </x:xf>
    <x:xf numFmtId="4" fontId="7" fillId="6" borderId="0" xfId="0" applyNumberFormat="1" applyFont="1" applyFill="1" applyAlignment="1">
      <x:alignment horizontal="right"/>
    </x:xf>
    <x:xf numFmtId="173" fontId="7" fillId="6" borderId="0" xfId="0" applyNumberFormat="1" applyFont="1" applyFill="1" applyAlignment="1">
      <x:alignment horizontal="right"/>
    </x:xf>
    <x:xf numFmtId="172" fontId="7" fillId="6" borderId="0" xfId="0" applyNumberFormat="1" applyFont="1" applyFill="1" applyAlignment="1">
      <x:alignment horizontal="right"/>
    </x:xf>
    <x:xf numFmtId="0" fontId="16" fillId="0" borderId="0" xfId="0" applyFont="1" applyAlignment="1">
      <x:alignment vertical="center"/>
    </x:xf>
    <x:xf numFmtId="1" fontId="18" fillId="3" borderId="0" xfId="0" applyNumberFormat="1" applyFont="1" applyFill="1" applyAlignment="1">
      <x:alignment horizontal="right" vertical="center"/>
    </x:xf>
    <x:xf numFmtId="171" fontId="21" fillId="6" borderId="0" xfId="0" applyNumberFormat="1" applyFont="1" applyFill="1" applyAlignment="1">
      <x:alignment horizontal="right" vertical="center"/>
    </x:xf>
    <x:xf numFmtId="165" fontId="21" fillId="6" borderId="0" xfId="0" applyNumberFormat="1" applyFont="1" applyFill="1" applyAlignment="1">
      <x:alignment horizontal="right" vertical="center"/>
    </x:xf>
    <x:xf numFmtId="0" fontId="21" fillId="6" borderId="0" xfId="0" applyFont="1" applyFill="1" applyAlignment="1">
      <x:alignment horizontal="center" vertical="center"/>
    </x:xf>
    <x:xf numFmtId="0" fontId="16" fillId="0" borderId="0" xfId="0" applyFont="1" applyAlignment="1">
      <x:alignment vertical="center" wrapText="1"/>
    </x:xf>
    <x:xf numFmtId="0" fontId="17" fillId="2" borderId="5" xfId="0" applyFont="1" applyFill="1" applyBorder="1" applyAlignment="1">
      <x:alignment horizontal="left" vertical="center" wrapText="1"/>
    </x:xf>
    <x:xf numFmtId="0" fontId="16" fillId="0" borderId="6" xfId="0" applyFont="1" applyBorder="1" applyAlignment="1">
      <x:alignment vertical="center" wrapText="1"/>
    </x:xf>
    <x:xf numFmtId="0" fontId="14" fillId="0" borderId="6" xfId="0" applyFont="1" applyBorder="1" applyAlignment="1">
      <x:alignment vertical="center" wrapText="1"/>
    </x:xf>
    <x:xf numFmtId="168" fontId="21" fillId="6" borderId="0" xfId="0" applyNumberFormat="1" applyFont="1" applyFill="1" applyAlignment="1">
      <x:alignment horizontal="right" vertical="center"/>
    </x:xf>
    <x:xf numFmtId="172" fontId="21" fillId="6" borderId="0" xfId="0" applyNumberFormat="1" applyFont="1" applyFill="1" applyAlignment="1">
      <x:alignment horizontal="right" vertical="center"/>
    </x:xf>
    <x:xf numFmtId="173" fontId="21" fillId="6" borderId="0" xfId="0" applyNumberFormat="1" applyFont="1" applyFill="1" applyAlignment="1">
      <x:alignment horizontal="right" vertical="center"/>
    </x:xf>
    <x:xf numFmtId="1" fontId="21" fillId="6" borderId="0" xfId="0" applyNumberFormat="1" applyFont="1" applyFill="1" applyAlignment="1">
      <x:alignment horizontal="right" vertical="center"/>
    </x:xf>
    <x:xf numFmtId="10" fontId="7" fillId="6" borderId="4" xfId="0" applyNumberFormat="1" applyFont="1" applyFill="1" applyBorder="1" applyAlignment="1">
      <x:alignment horizontal="right" vertical="center"/>
    </x:xf>
    <x:xf numFmtId="0" fontId="9" fillId="10" borderId="0" xfId="0" applyFont="1" applyFill="1" applyAlignment="1">
      <x:alignment horizontal="center"/>
    </x:xf>
    <x:xf numFmtId="0" fontId="9" fillId="10" borderId="0" xfId="0" applyFont="1" applyFill="1" applyAlignment="1">
      <x:alignment horizontal="center" vertical="center"/>
    </x:xf>
    <x:xf numFmtId="0" fontId="1" fillId="11" borderId="0" xfId="0" applyFont="1" applyFill="1" applyAlignment="1">
      <x:alignment horizontal="center" vertical="center"/>
    </x:xf>
    <x:xf numFmtId="0" fontId="1" fillId="11" borderId="0" xfId="0" applyFont="1" applyFill="1" applyAlignment="1">
      <x:alignment horizontal="center" vertical="center" wrapText="1"/>
    </x:xf>
    <x:xf numFmtId="0" fontId="1" fillId="11" borderId="0" xfId="0" applyFont="1" applyFill="1" applyAlignment="1">
      <x:alignment horizontal="left" vertical="center" wrapText="1"/>
    </x:xf>
    <x:xf numFmtId="0" fontId="7" fillId="11" borderId="0" xfId="0" applyFont="1" applyFill="1" applyAlignment="1">
      <x:alignment horizontal="center" vertical="center"/>
    </x:xf>
    <x:xf numFmtId="0" fontId="7" fillId="0" borderId="0" xfId="0" applyFont="1" applyAlignment="1">
      <x:alignment horizontal="center"/>
    </x:xf>
    <x:xf numFmtId="166" fontId="7" fillId="11" borderId="0" xfId="0" applyNumberFormat="1" applyFont="1" applyFill="1" applyAlignment="1">
      <x:alignment horizontal="center"/>
    </x:xf>
    <x:xf numFmtId="165" fontId="7" fillId="11" borderId="0" xfId="0" applyNumberFormat="1" applyFont="1" applyFill="1" applyAlignment="1">
      <x:alignment horizontal="center"/>
    </x:xf>
    <x:xf numFmtId="1" fontId="7" fillId="11" borderId="0" xfId="0" applyNumberFormat="1" applyFont="1" applyFill="1" applyAlignment="1">
      <x:alignment horizontal="center"/>
    </x:xf>
    <x:xf numFmtId="172" fontId="7" fillId="11" borderId="0" xfId="0" applyNumberFormat="1" applyFont="1" applyFill="1" applyAlignment="1">
      <x:alignment horizontal="center"/>
    </x:xf>
    <x:xf numFmtId="4" fontId="6" fillId="0" borderId="0" xfId="0" applyNumberFormat="1" applyFont="1" applyAlignment="1">
      <x:alignment vertical="center"/>
    </x:xf>
    <x:xf numFmtId="4" fontId="21" fillId="6" borderId="0" xfId="0" applyNumberFormat="1" applyFont="1" applyFill="1" applyAlignment="1">
      <x:alignment horizontal="center" vertical="center"/>
    </x:xf>
    <x:xf numFmtId="4" fontId="21" fillId="0" borderId="0" xfId="0" applyNumberFormat="1" applyFont="1" applyAlignment="1">
      <x:alignment vertical="center"/>
    </x:xf>
    <x:xf numFmtId="0" fontId="9" fillId="17" borderId="10" xfId="0" applyFont="1" applyFill="1" applyBorder="1" applyAlignment="1">
      <x:alignment horizontal="center" vertical="center" wrapText="1"/>
    </x:xf>
    <x:xf numFmtId="0" fontId="27" fillId="0" borderId="11" xfId="0" applyFont="1" applyBorder="1" applyAlignment="1">
      <x:alignment vertical="top" wrapText="1"/>
    </x:xf>
    <x:xf numFmtId="0" fontId="27" fillId="0" borderId="11" xfId="0" applyFont="1" applyBorder="1" applyAlignment="1">
      <x:alignment horizontal="center" vertical="top" wrapText="1"/>
    </x:xf>
    <x:xf numFmtId="0" fontId="28" fillId="0" borderId="11" xfId="0" applyFont="1" applyBorder="1" applyAlignment="1">
      <x:alignment vertical="top" wrapText="1"/>
    </x:xf>
    <x:xf numFmtId="3" fontId="7" fillId="6" borderId="4" xfId="0" applyNumberFormat="1" applyFont="1" applyFill="1" applyBorder="1" applyAlignment="1">
      <x:alignment horizontal="right" vertical="center" wrapText="1"/>
    </x:xf>
    <x:xf numFmtId="4" fontId="10" fillId="5" borderId="4" xfId="0" applyNumberFormat="1" applyFont="1" applyFill="1" applyBorder="1" applyAlignment="1">
      <x:alignment horizontal="right" vertical="center" wrapText="1"/>
    </x:xf>
    <x:xf numFmtId="4" fontId="7" fillId="6" borderId="4" xfId="0" applyNumberFormat="1" applyFont="1" applyFill="1" applyBorder="1" applyAlignment="1">
      <x:alignment horizontal="right" vertical="center" wrapText="1"/>
    </x:xf>
    <x:xf numFmtId="3" fontId="7" fillId="18" borderId="4" xfId="0" applyNumberFormat="1" applyFont="1" applyFill="1" applyBorder="1" applyAlignment="1">
      <x:alignment horizontal="right" vertical="center" wrapText="1"/>
    </x:xf>
    <x:xf numFmtId="4" fontId="10" fillId="19" borderId="0" xfId="0" applyNumberFormat="1" applyFont="1" applyFill="1" applyAlignment="1">
      <x:alignment horizontal="right" vertical="center"/>
    </x:xf>
    <x:xf numFmtId="4" fontId="7" fillId="18" borderId="4" xfId="0" applyNumberFormat="1" applyFont="1" applyFill="1" applyBorder="1" applyAlignment="1">
      <x:alignment horizontal="right" vertical="center"/>
    </x:xf>
    <x:xf numFmtId="3" fontId="7" fillId="18" borderId="4" xfId="0" applyNumberFormat="1" applyFont="1" applyFill="1" applyBorder="1" applyAlignment="1">
      <x:alignment horizontal="right" vertical="center"/>
    </x:xf>
    <x:xf numFmtId="10" fontId="7" fillId="18" borderId="4" xfId="0" applyNumberFormat="1" applyFont="1" applyFill="1" applyBorder="1" applyAlignment="1">
      <x:alignment horizontal="right" vertical="center"/>
    </x:xf>
    <x:xf numFmtId="166" fontId="7" fillId="18" borderId="4" xfId="0" applyNumberFormat="1" applyFont="1" applyFill="1" applyBorder="1" applyAlignment="1">
      <x:alignment horizontal="right" vertical="center"/>
    </x:xf>
    <x:xf numFmtId="4" fontId="7" fillId="18" borderId="0" xfId="0" applyNumberFormat="1" applyFont="1" applyFill="1" applyAlignment="1">
      <x:alignment horizontal="right" vertical="center"/>
    </x:xf>
    <x:xf numFmtId="0" fontId="25" fillId="15" borderId="0" xfId="0" applyFont="1" applyFill="1" applyAlignment="1">
      <x:alignment horizontal="center" vertical="center"/>
    </x:xf>
    <x:xf numFmtId="0" fontId="26" fillId="16" borderId="0" xfId="0" applyFont="1" applyFill="1" applyAlignment="1">
      <x:alignment horizontal="center" vertical="center"/>
    </x:xf>
    <x:xf numFmtId="0" fontId="2" fillId="2" borderId="0" xfId="0" applyFont="1" applyFill="1" applyAlignment="1">
      <x:alignment horizontal="center" vertical="center"/>
    </x:xf>
    <x:xf numFmtId="0" fontId="3" fillId="3" borderId="0" xfId="0" applyFont="1" applyFill="1" applyAlignment="1">
      <x:alignment horizontal="center" vertical="center" wrapText="1"/>
    </x:xf>
    <x:xf numFmtId="0" fontId="4" fillId="0" borderId="0" xfId="0" applyFont="1" applyAlignment="1">
      <x:alignment horizontal="right" vertical="center"/>
    </x:xf>
    <x:xf numFmtId="0" fontId="5" fillId="4" borderId="0" xfId="0" applyFont="1" applyFill="1" applyAlignment="1">
      <x:alignment horizontal="center" vertical="center"/>
    </x:xf>
    <x:xf numFmtId="0" fontId="8" fillId="0" borderId="0" xfId="0" applyFont="1" applyAlignment="1">
      <x:alignment vertical="center"/>
    </x:xf>
    <x:xf numFmtId="0" fontId="9" fillId="2" borderId="0" xfId="0" applyFont="1" applyFill="1" applyAlignment="1">
      <x:alignment horizontal="center" vertical="center"/>
    </x:xf>
    <x:xf numFmtId="0" fontId="3" fillId="0" borderId="0" xfId="0" applyFont="1" applyAlignment="1">
      <x:alignment vertical="center"/>
    </x:xf>
    <x:xf numFmtId="0" fontId="5" fillId="4" borderId="0" xfId="0" applyFont="1" applyFill="1" applyAlignment="1">
      <x:alignment horizontal="left" vertical="center"/>
    </x:xf>
    <x:xf numFmtId="0" fontId="5" fillId="4" borderId="0" xfId="0" applyFont="1" applyFill="1" applyAlignment="1">
      <x:alignment horizontal="left" vertical="center" wrapText="1"/>
    </x:xf>
    <x:xf numFmtId="0" fontId="9" fillId="2" borderId="2" xfId="0" applyFont="1" applyFill="1" applyBorder="1" applyAlignment="1">
      <x:alignment horizontal="center" vertical="center" wrapText="1"/>
    </x:xf>
    <x:xf numFmtId="0" fontId="3" fillId="7" borderId="0" xfId="0" applyFont="1" applyFill="1" applyAlignment="1">
      <x:alignment vertical="center" wrapText="1"/>
    </x:xf>
    <x:xf numFmtId="0" fontId="22" fillId="3" borderId="0" xfId="0" applyFont="1" applyFill="1" applyAlignment="1">
      <x:alignment horizontal="center"/>
    </x:xf>
    <x:xf numFmtId="0" fontId="4" fillId="0" borderId="0" xfId="0" applyFont="1" applyAlignment="1">
      <x:alignment horizontal="right"/>
    </x:xf>
    <x:xf numFmtId="0" fontId="5" fillId="4" borderId="0" xfId="0" applyFont="1" applyFill="1"/>
    <x:xf numFmtId="0" fontId="24" fillId="14" borderId="0" xfId="0" applyFont="1" applyFill="1" applyAlignment="1">
      <x:alignment horizontal="center" vertical="center"/>
    </x:xf>
    <x:xf numFmtId="0" fontId="12" fillId="11" borderId="0" xfId="0" applyFont="1" applyFill="1" applyAlignment="1">
      <x:alignment horizontal="left" vertical="center" wrapText="1"/>
    </x:xf>
    <x:xf numFmtId="0" fontId="5" fillId="9" borderId="0" xfId="0" applyFont="1" applyFill="1" applyAlignment="1">
      <x:alignment horizontal="left" vertical="center"/>
    </x:xf>
    <x:xf numFmtId="0" fontId="23" fillId="12" borderId="7" xfId="0" applyFont="1" applyFill="1" applyBorder="1" applyAlignment="1">
      <x:alignment horizontal="center" vertical="center" wrapText="1"/>
    </x:xf>
    <x:xf numFmtId="0" fontId="23" fillId="12" borderId="8" xfId="0" applyFont="1" applyFill="1" applyBorder="1" applyAlignment="1">
      <x:alignment horizontal="center" vertical="center" wrapText="1"/>
    </x:xf>
    <x:xf numFmtId="0" fontId="23" fillId="12" borderId="9" xfId="0" applyFont="1" applyFill="1" applyBorder="1" applyAlignment="1">
      <x:alignment horizontal="center" vertical="center" wrapText="1"/>
    </x:xf>
    <x:xf numFmtId="0" fontId="12" fillId="13" borderId="0" xfId="0" applyFont="1" applyFill="1" applyAlignment="1">
      <x:alignment horizontal="center" vertical="center" wrapText="1"/>
    </x:xf>
    <x:xf numFmtId="0" fontId="9" fillId="10" borderId="0" xfId="0" applyFont="1" applyFill="1" applyAlignment="1">
      <x:alignment horizontal="center" vertical="center"/>
    </x:xf>
    <x:xf numFmtId="0" fontId="14" fillId="2" borderId="0" xfId="0" applyFont="1" applyFill="1" applyAlignment="1">
      <x:alignment horizontal="center" vertical="center" wrapText="1"/>
    </x:xf>
    <x:xf numFmtId="0" fontId="14" fillId="2" borderId="0" xfId="0" applyFont="1" applyFill="1" applyAlignment="1">
      <x:alignment horizontal="center" vertical="center"/>
    </x:xf>
    <x:xf numFmtId="0" fontId="15" fillId="3" borderId="0" xfId="0" applyFont="1" applyFill="1" applyAlignment="1">
      <x:alignment horizontal="center" vertical="center" wrapText="1"/>
    </x:xf>
    <x:xf numFmtId="0" fontId="16" fillId="0" borderId="0" xfId="0" applyFont="1" applyAlignment="1">
      <x:alignment horizontal="right" vertical="center" wrapText="1"/>
    </x:xf>
    <x:xf numFmtId="0" fontId="16" fillId="0" borderId="0" xfId="0" applyFont="1" applyAlignment="1">
      <x:alignment horizontal="right" vertical="center"/>
    </x:xf>
    <x:xf numFmtId="0" fontId="19" fillId="4" borderId="0" xfId="0" applyFont="1" applyFill="1" applyAlignment="1">
      <x:alignment horizontal="left" vertical="center" wrapText="1"/>
    </x:xf>
    <x:xf numFmtId="0" fontId="19" fillId="4" borderId="0" xfId="0" applyFont="1" applyFill="1" applyAlignment="1">
      <x:alignment horizontal="left" vertical="center"/>
    </x:xf>
    <x:xf numFmtId="0" fontId="12" fillId="8" borderId="0" xfId="0" applyFont="1" applyFill="1" applyAlignment="1">
      <x:alignment vertical="center" wrapText="1"/>
    </x:xf>
    <x:xf numFmtId="0" fontId="12" fillId="3" borderId="0" xfId="0" applyFont="1" applyFill="1" applyAlignment="1">
      <x:alignment vertical="center" wrapText="1"/>
    </x:xf>
    <x:xf numFmtId="0" fontId="19" fillId="4" borderId="0" xfId="0" applyFont="1" applyFill="1"/>
    <x:xf numFmtId="0" fontId="11" fillId="2" borderId="0" xfId="0" applyFont="1" applyFill="1" applyAlignment="1">
      <x:alignment horizontal="center" vertical="center"/>
    </x:xf>
    <x:xf numFmtId="0" fontId="12" fillId="3" borderId="0" xfId="0" applyFont="1" applyFill="1" applyAlignment="1">
      <x:alignment horizontal="center" vertical="center" wrapText="1"/>
    </x:xf>
    <x:xf numFmtId="0" fontId="13" fillId="0" borderId="0" xfId="0" applyFont="1" applyAlignment="1">
      <x:alignment horizontal="right"/>
    </x:xf>
    <x:xf numFmtId="4" fontId="6" fillId="20" borderId="0" xfId="0" applyNumberFormat="1" applyFont="1" applyFill="1" applyBorder="1" applyAlignment="1">
      <x:alignment vertical="center"/>
    </x:xf>
    <x:xf numFmtId="4" fontId="7" fillId="20" borderId="0" xfId="0" applyNumberFormat="1" applyFont="1" applyFill="1" applyBorder="1" applyAlignment="1">
      <x:alignment vertical="center"/>
    </x:xf>
    <x:xf numFmtId="200" fontId="7" fillId="20" borderId="0" xfId="0" applyNumberFormat="1" applyFont="1" applyFill="1" applyBorder="1" applyAlignment="1">
      <x:alignment vertical="center"/>
    </x:xf>
    <x:xf numFmtId="200" fontId="7" fillId="20" borderId="0" xfId="0" applyNumberFormat="1" applyFont="1" applyFill="1" applyBorder="1" applyAlignment="1">
      <x:alignment horizontal="right" vertical="center"/>
    </x:xf>
    <x:xf numFmtId="0" fontId="8"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1" borderId="0" xfId="0" applyNumberFormat="1" applyFont="1" applyFill="1" applyBorder="1" applyAlignment="1">
      <x:alignment vertical="center"/>
    </x:xf>
    <x:xf numFmtId="0" fontId="9" fillId="21" borderId="0" xfId="0" applyNumberFormat="1" applyFont="1" applyFill="1" applyBorder="1" applyAlignment="1">
      <x:alignment vertical="center"/>
    </x:xf>
    <x:xf numFmtId="0" fontId="9" fillId="21"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1" fillId="0" borderId="4" xfId="0" applyNumberFormat="1" applyFont="1" applyFill="1" applyBorder="1" applyAlignment="1">
      <x:alignment vertical="center"/>
    </x:xf>
    <x:xf numFmtId="0" fontId="1" fillId="0" borderId="0" xfId="0" applyNumberFormat="1" applyFont="1" applyFill="1" applyBorder="1" applyAlignment="1">
      <x:alignment horizontal="left" vertical="center"/>
    </x:xf>
    <x:xf numFmtId="0" fontId="1" fillId="0" borderId="4" xfId="0" applyNumberFormat="1" applyFont="1" applyFill="1" applyBorder="1" applyAlignment="1">
      <x:alignment horizontal="left" vertical="center"/>
    </x:xf>
    <x:xf numFmtId="0" fontId="1" fillId="0" borderId="0" xfId="0" applyNumberFormat="1" applyFont="1" applyFill="1" applyBorder="1" applyAlignment="1">
      <x:alignment horizontal="right" vertical="center"/>
    </x:xf>
    <x:xf numFmtId="0" fontId="1" fillId="0" borderId="4" xfId="0" applyNumberFormat="1" applyFont="1" applyFill="1" applyBorder="1" applyAlignment="1">
      <x:alignment horizontal="right" vertical="center"/>
    </x:xf>
    <x:xf numFmtId="0" fontId="1" fillId="22" borderId="0" xfId="0" applyNumberFormat="1" applyFont="1" applyFill="1" applyBorder="1" applyAlignment="1">
      <x:alignment horizontal="right" vertical="center"/>
    </x:xf>
    <x:xf numFmtId="0" fontId="10" fillId="22" borderId="0" xfId="0" applyNumberFormat="1" applyFont="1" applyFill="1" applyBorder="1" applyAlignment="1">
      <x:alignment horizontal="right" vertical="center"/>
    </x:xf>
    <x:xf numFmtId="200" fontId="10" fillId="22" borderId="0" xfId="0" applyNumberFormat="1" applyFont="1" applyFill="1" applyBorder="1" applyAlignment="1">
      <x:alignment horizontal="right" vertical="center"/>
    </x:xf>
    <x:xf numFmtId="0" fontId="1" fillId="20" borderId="0" xfId="0" applyNumberFormat="1" applyFont="1" applyFill="1" applyBorder="1" applyAlignment="1">
      <x:alignment horizontal="right" vertical="center"/>
    </x:xf>
    <x:xf numFmtId="0" fontId="1" fillId="20" borderId="4" xfId="0" applyNumberFormat="1" applyFont="1" applyFill="1" applyBorder="1" applyAlignment="1">
      <x:alignment horizontal="right" vertical="center"/>
    </x:xf>
    <x:xf numFmtId="0" fontId="7" fillId="20" borderId="0" xfId="0" applyNumberFormat="1" applyFont="1" applyFill="1" applyBorder="1" applyAlignment="1">
      <x:alignment horizontal="right" vertical="center"/>
    </x:xf>
    <x:xf numFmtId="0" fontId="7" fillId="20" borderId="4" xfId="0" applyNumberFormat="1" applyFont="1" applyFill="1" applyBorder="1" applyAlignment="1">
      <x:alignment horizontal="right" vertical="center"/>
    </x:xf>
    <x:xf numFmtId="200" fontId="7" fillId="20" borderId="4" xfId="0" applyNumberFormat="1" applyFont="1" applyFill="1" applyBorder="1" applyAlignment="1">
      <x:alignment horizontal="right" vertical="center"/>
    </x:xf>
    <x:xf numFmtId="0" fontId="8" fillId="0" borderId="4" xfId="0" applyNumberFormat="1" applyFont="1" applyFill="1" applyBorder="1" applyAlignment="1">
      <x:alignment horizontal="left" vertical="center"/>
    </x:xf>
    <x:xf numFmtId="4" fontId="7" fillId="6" borderId="0" xfId="0" applyNumberFormat="1" applyFont="1" applyFill="1" applyBorder="1" applyAlignment="1">
      <x:alignment horizontal="right" vertical="center"/>
    </x:xf>
    <x:xf numFmtId="3" fontId="7" fillId="6" borderId="4" xfId="0" applyNumberFormat="1" applyFont="1" applyFill="1" applyBorder="1" applyAlignment="1">
      <x:alignment horizontal="right" vertical="center"/>
    </x:xf>
    <x:xf numFmtId="166" fontId="7" fillId="6" borderId="4" xfId="0" applyNumberFormat="1" applyFont="1" applyFill="1" applyBorder="1" applyAlignment="1">
      <x:alignment horizontal="right" vertical="center"/>
    </x:xf>
    <x:xf numFmtId="4" fontId="7" fillId="20" borderId="4" xfId="0" applyNumberFormat="1" applyFont="1" applyFill="1" applyBorder="1" applyAlignment="1">
      <x:alignment horizontal="right" vertical="center"/>
    </x:xf>
    <x:xf numFmtId="4" fontId="7" fillId="20" borderId="0" xfId="0" applyNumberFormat="1" applyFont="1" applyFill="1" applyBorder="1" applyAlignment="1">
      <x:alignment horizontal="right" vertical="center"/>
    </x:xf>
    <x:xf numFmtId="3" fontId="7" fillId="20" borderId="4" xfId="0" applyNumberFormat="1" applyFont="1" applyFill="1" applyBorder="1" applyAlignment="1">
      <x:alignment horizontal="right" vertical="center"/>
    </x:xf>
    <x:xf numFmtId="10" fontId="7" fillId="20" borderId="4" xfId="0" applyNumberFormat="1" applyFont="1" applyFill="1" applyBorder="1" applyAlignment="1">
      <x:alignment horizontal="right" vertical="center"/>
    </x:xf>
    <x:xf numFmtId="166" fontId="7" fillId="20" borderId="4" xfId="0" applyNumberFormat="1" applyFont="1" applyFill="1" applyBorder="1" applyAlignment="1">
      <x:alignment horizontal="right" vertical="center"/>
    </x:xf>
    <x:xf numFmtId="49" fontId="7" fillId="20" borderId="4" xfId="0" applyNumberFormat="1" applyFont="1" applyFill="1" applyBorder="1" applyAlignment="1">
      <x:alignment horizontal="center" vertical="center"/>
    </x:xf>
    <x:xf numFmtId="0" fontId="1" fillId="20" borderId="0" xfId="0" applyNumberFormat="1" applyFont="1" applyFill="1" applyBorder="1" applyAlignment="1">
      <x:alignment vertical="center"/>
    </x:xf>
    <x:xf numFmtId="0" fontId="1" fillId="20" borderId="4" xfId="0" applyNumberFormat="1" applyFont="1" applyFill="1" applyBorder="1" applyAlignment="1">
      <x:alignment vertical="center"/>
    </x:xf>
    <x:xf numFmtId="0" fontId="7" fillId="20" borderId="0" xfId="0" applyNumberFormat="1" applyFont="1" applyFill="1" applyBorder="1" applyAlignment="1">
      <x:alignment vertical="center"/>
    </x:xf>
    <x:xf numFmtId="0" fontId="7" fillId="20" borderId="4" xfId="0" applyNumberFormat="1" applyFont="1" applyFill="1" applyBorder="1" applyAlignment="1">
      <x:alignment vertical="center"/>
    </x:xf>
    <x:xf numFmtId="49" fontId="7" fillId="20" borderId="4" xfId="0" applyNumberFormat="1" applyFont="1" applyFill="1" applyBorder="1" applyAlignment="1">
      <x:alignment horizontal="right" vertical="center"/>
    </x:xf>
    <x:xf numFmtId="201" fontId="7" fillId="20" borderId="4" xfId="0" applyNumberFormat="1" applyFont="1" applyFill="1" applyBorder="1" applyAlignment="1">
      <x:alignment horizontal="right" vertical="center"/>
    </x:xf>
    <x:xf numFmtId="202" fontId="7" fillId="20" borderId="4" xfId="0" applyNumberFormat="1" applyFont="1" applyFill="1" applyBorder="1" applyAlignment="1">
      <x:alignment horizontal="right" vertical="center"/>
    </x:xf>
    <x:xf numFmtId="166" fontId="7" fillId="20" borderId="0" xfId="0" applyNumberFormat="1" applyFont="1" applyFill="1" applyBorder="1" applyAlignment="1">
      <x:alignment horizontal="right" vertical="center"/>
    </x:xf>
    <x:xf numFmtId="0" fontId="16" fillId="0" borderId="0" xfId="0" applyNumberFormat="1" applyFont="1" applyFill="1" applyBorder="1" applyAlignment="1">
      <x:alignment vertical="center" wrapText="1"/>
    </x:xf>
    <x:xf numFmtId="0" fontId="16" fillId="0" borderId="0" xfId="0" applyNumberFormat="1" applyFont="1" applyFill="1" applyBorder="1" applyAlignment="1">
      <x:alignment vertical="center"/>
    </x:xf>
    <x:xf numFmtId="0" fontId="16" fillId="0" borderId="4" xfId="0" applyNumberFormat="1" applyFont="1" applyFill="1" applyBorder="1" applyAlignment="1">
      <x:alignment vertical="center" wrapText="1"/>
    </x:xf>
    <x:xf numFmtId="0" fontId="16" fillId="0" borderId="4" xfId="0" applyNumberFormat="1" applyFont="1" applyFill="1" applyBorder="1" applyAlignment="1">
      <x:alignment vertical="center"/>
    </x:xf>
    <x:xf numFmtId="0" fontId="21" fillId="0" borderId="0" xfId="0" applyNumberFormat="1" applyFont="1" applyFill="1" applyBorder="1" applyAlignment="1">
      <x:alignment vertical="center"/>
    </x:xf>
    <x:xf numFmtId="0" fontId="21" fillId="0" borderId="4" xfId="0" applyNumberFormat="1" applyFont="1" applyFill="1" applyBorder="1" applyAlignment="1">
      <x:alignment vertical="center"/>
    </x:xf>
    <x:xf numFmtId="200" fontId="21" fillId="0" borderId="0" xfId="0" applyNumberFormat="1" applyFont="1" applyFill="1" applyBorder="1" applyAlignment="1">
      <x:alignment vertical="center"/>
    </x:xf>
    <x:xf numFmtId="200" fontId="21" fillId="0" borderId="4" xfId="0" applyNumberFormat="1" applyFont="1" applyFill="1" applyBorder="1" applyAlignment="1">
      <x:alignment vertical="center"/>
    </x:xf>
    <x:xf numFmtId="200" fontId="21" fillId="0" borderId="0" xfId="0" applyNumberFormat="1" applyFont="1" applyFill="1" applyBorder="1" applyAlignment="1">
      <x:alignment horizontal="right" vertical="center"/>
    </x:xf>
    <x:xf numFmtId="200" fontId="21" fillId="0" borderId="4" xfId="0" applyNumberFormat="1" applyFont="1" applyFill="1" applyBorder="1" applyAlignment="1">
      <x:alignment horizontal="right" vertical="center"/>
    </x:xf>
  </x:cellXfs>
  <x:cellStyles count="1">
    <x:cellStyle name="Normal" xfId="0"/>
  </x:cellStyles>
  <x:dxfs count="21">
    <x:dxf>
      <x:font>
        <x:b/>
        <x:color rgb="FF0000FF"/>
      </x:font>
      <x:fill>
        <x:patternFill>
          <x:bgColor rgb="FFFCEFE8"/>
        </x:patternFill>
      </x:fill>
    </x:dxf>
    <x:dxf>
      <x:font>
        <x:b/>
        <x:color rgb="FF0000FF"/>
      </x:font>
      <x:fill>
        <x:patternFill>
          <x:bgColor rgb="FFEDF6E9"/>
        </x:patternFill>
      </x:fill>
    </x:dxf>
    <x:dxf>
      <x:font>
        <x:b/>
        <x:color rgb="FF0000FF"/>
      </x:font>
      <x:fill>
        <x:patternFill>
          <x:bgColor rgb="FFFCEFE8"/>
        </x:patternFill>
      </x:fill>
    </x:dxf>
    <x:dxf>
      <x:font>
        <x:b/>
        <x:color rgb="FF0000FF"/>
      </x:font>
      <x:fill>
        <x:patternFill>
          <x:bgColor rgb="FFEDF6E9"/>
        </x:patternFill>
      </x:fill>
    </x:dxf>
    <x:dxf>
      <x:font>
        <x:b/>
        <x:color rgb="FFC00000"/>
      </x:font>
      <x:fill>
        <x:patternFill>
          <x:bgColor rgb="FFFDE9E7"/>
        </x:patternFill>
      </x:fill>
    </x:dxf>
    <x:dxf>
      <x:font>
        <x:b/>
        <x:color rgb="FF008000"/>
      </x:font>
      <x:fill>
        <x:patternFill>
          <x:bgColor rgb="FFE2F0D9"/>
        </x:patternFill>
      </x:fill>
    </x:dxf>
    <x:dxf>
      <x:font>
        <x:b/>
        <x:color rgb="FF0000FF"/>
      </x:font>
      <x:fill>
        <x:patternFill>
          <x:bgColor rgb="FFFCEFE8"/>
        </x:patternFill>
      </x:fill>
    </x:dxf>
    <x:dxf>
      <x:font>
        <x:b/>
        <x:color rgb="FFC00000"/>
      </x:font>
      <x:fill>
        <x:patternFill>
          <x:bgColor rgb="FFFDE9E7"/>
        </x:patternFill>
      </x:fill>
    </x:dxf>
    <x:dxf>
      <x:font>
        <x:b/>
        <x:color rgb="FF008000"/>
      </x:font>
      <x:fill>
        <x:patternFill>
          <x:bgColor rgb="FFE2F0D9"/>
        </x:patternFill>
      </x:fill>
    </x:dxf>
    <x:dxf>
      <x:font>
        <x:b/>
        <x:color rgb="FFC00000"/>
      </x:font>
      <x:fill>
        <x:patternFill>
          <x:bgColor rgb="FFFDE9E7"/>
        </x:patternFill>
      </x:fill>
    </x:dxf>
    <x:dxf>
      <x:font>
        <x:b/>
        <x:color rgb="FF008000"/>
      </x:font>
      <x:fill>
        <x:patternFill>
          <x:bgColor rgb="FFE2F0D9"/>
        </x:patternFill>
      </x:fill>
    </x:dxf>
    <x:dxf>
      <x:font>
        <x:b/>
        <x:color rgb="FFC00000"/>
      </x:font>
      <x:fill>
        <x:patternFill>
          <x:bgColor rgb="FFFDE9E7"/>
        </x:patternFill>
      </x:fill>
    </x:dxf>
    <x:dxf>
      <x:font>
        <x:b/>
        <x:color rgb="FF9C6500"/>
      </x:font>
      <x:fill>
        <x:patternFill>
          <x:bgColor rgb="FFFFF2CC"/>
        </x:patternFill>
      </x:fill>
    </x:dxf>
    <x:dxf>
      <x:font>
        <x:b/>
        <x:color rgb="FF008000"/>
      </x:font>
      <x:fill>
        <x:patternFill>
          <x:bgColor rgb="FFE2F0D9"/>
        </x:patternFill>
      </x:fill>
    </x:dxf>
    <x:dxf>
      <x:font>
        <x:color rgb="FF9C0006"/>
      </x:font>
    </x:dxf>
    <x:dxf>
      <x:font>
        <x:b/>
        <x:color rgb="FF0000FF"/>
      </x:font>
      <x:fill>
        <x:patternFill>
          <x:bgColor rgb="FFFCEFE8"/>
        </x:patternFill>
      </x:fill>
    </x:dxf>
    <x:dxf>
      <x:font>
        <x:b/>
        <x:color rgb="FF0000FF"/>
      </x:font>
      <x:fill>
        <x:patternFill>
          <x:bgColor rgb="FFEDF6E9"/>
        </x:patternFill>
      </x:fill>
    </x:dxf>
    <x:dxf>
      <x:font>
        <x:b/>
        <x:color rgb="FF0000FF"/>
      </x:font>
      <x:fill>
        <x:patternFill>
          <x:bgColor rgb="FFFCEFE8"/>
        </x:patternFill>
      </x:fill>
    </x:dxf>
    <x:dxf>
      <x:font>
        <x:b/>
        <x:color rgb="FF0000FF"/>
      </x:font>
      <x:fill>
        <x:patternFill>
          <x:bgColor rgb="FFEDF6E9"/>
        </x:patternFill>
      </x:fill>
    </x:dxf>
    <x:dxf>
      <x:font>
        <x:b/>
        <x:color rgb="FF006100"/>
      </x:font>
      <x:fill>
        <x:patternFill>
          <x:bgColor rgb="FFE2F0D9"/>
        </x:patternFill>
      </x:fill>
    </x:dxf>
    <x:dxf>
      <x:font>
        <x:b/>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97727a3e084d0a" /><Relationship Type="http://schemas.openxmlformats.org/officeDocument/2006/relationships/theme" Target="/xl/theme/theme1.xml" Id="R84cb34ae8a0e4fb8" /><Relationship Type="http://schemas.openxmlformats.org/officeDocument/2006/relationships/sharedStrings" Target="/xl/sharedStrings.xml" Id="Re48b8a8e1c074e1e" /><Relationship Type="http://schemas.openxmlformats.org/officeDocument/2006/relationships/worksheet" Target="/xl/worksheets/sheet1.xml" Id="Rce61850ea3634e7c" /><Relationship Type="http://schemas.openxmlformats.org/officeDocument/2006/relationships/worksheet" Target="/xl/worksheets/sheet2.xml" Id="R4b668049b5a44975" /><Relationship Type="http://schemas.openxmlformats.org/officeDocument/2006/relationships/worksheet" Target="/xl/worksheets/sheet3.xml" Id="R31ce923055174da1" /><Relationship Type="http://schemas.openxmlformats.org/officeDocument/2006/relationships/worksheet" Target="/xl/worksheets/sheet4.xml" Id="Rb0ba4824b1ed4a4d" /><Relationship Type="http://schemas.openxmlformats.org/officeDocument/2006/relationships/worksheet" Target="/xl/worksheets/sheet5.xml" Id="R5b97fd8d2b3d439d" /><Relationship Type="http://schemas.openxmlformats.org/officeDocument/2006/relationships/worksheet" Target="/xl/worksheets/sheet6.xml" Id="R1fe5e5d5798e45dd" /><Relationship Type="http://schemas.openxmlformats.org/officeDocument/2006/relationships/worksheet" Target="/xl/worksheets/sheet7.xml" Id="Rf2a43dd1c8904dcd" /><Relationship Type="http://schemas.openxmlformats.org/officeDocument/2006/relationships/worksheet" Target="/xl/worksheets/sheet8.xml" Id="Reb2a9398f8904b23" /><Relationship Type="http://schemas.openxmlformats.org/officeDocument/2006/relationships/worksheet" Target="/xl/worksheets/sheet9.xml" Id="R7942bfe92a1b4b7b" /><Relationship Type="http://schemas.openxmlformats.org/officeDocument/2006/relationships/worksheet" Target="/xl/worksheets/sheet10.xml" Id="R740080f9dbe74d93" /><Relationship Type="http://schemas.openxmlformats.org/officeDocument/2006/relationships/worksheet" Target="/xl/worksheets/sheet11.xml" Id="R5891e95bfc7c44f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4"/>
  <x:cols>
    <x:col min="1" max="1" width="7" customWidth="1"/>
    <x:col min="2" max="2" width="16" customWidth="1"/>
    <x:col min="3" max="3" width="40" customWidth="1"/>
    <x:col min="4" max="4" width="34" customWidth="1"/>
    <x:col min="5" max="5" width="48" customWidth="1"/>
  </x:cols>
  <x:sheetData>
    <x:row r="1" ht="28" customHeight="1">
      <x:c r="A1" s="107" t="s">
        <x:v>0</x:v>
      </x:c>
      <x:c r="B1" s="107"/>
      <x:c r="C1" s="107"/>
      <x:c r="D1" s="107"/>
      <x:c r="E1" s="107"/>
    </x:row>
    <x:row r="2" ht="22" customHeight="1">
      <x:c r="A2" s="108" t="s">
        <x:v>1</x:v>
      </x:c>
      <x:c r="B2" s="108"/>
      <x:c r="C2" s="108"/>
      <x:c r="D2" s="108"/>
      <x:c r="E2" s="108"/>
    </x:row>
    <x:row r="4" ht="34" customHeight="1">
      <x:c r="A4" s="93" t="s">
        <x:v>2</x:v>
      </x:c>
      <x:c r="B4" s="93" t="s">
        <x:v>3</x:v>
      </x:c>
      <x:c r="C4" s="93" t="s">
        <x:v>4</x:v>
      </x:c>
      <x:c r="D4" s="93" t="s">
        <x:v>5</x:v>
      </x:c>
      <x:c r="E4" s="93" t="s">
        <x:v>6</x:v>
      </x:c>
    </x:row>
    <x:row r="5" ht="34" customHeight="1">
      <x:c r="A5" s="95">
        <x:v>1</x:v>
      </x:c>
      <x:c r="B5" s="96" t="s">
        <x:v>7</x:v>
      </x:c>
      <x:c r="C5" s="94" t="s">
        <x:v>8</x:v>
      </x:c>
      <x:c r="D5" s="94" t="s">
        <x:v>9</x:v>
      </x:c>
      <x:c r="E5" s="94" t="s">
        <x:v>10</x:v>
      </x:c>
    </x:row>
    <x:row r="6" ht="34" customHeight="1">
      <x:c r="A6" s="95">
        <x:v>2</x:v>
      </x:c>
      <x:c r="B6" s="96" t="s">
        <x:v>11</x:v>
      </x:c>
      <x:c r="C6" s="94" t="s">
        <x:v>12</x:v>
      </x:c>
      <x:c r="D6" s="94" t="s">
        <x:v>13</x:v>
      </x:c>
      <x:c r="E6" s="94" t="s">
        <x:v>14</x:v>
      </x:c>
    </x:row>
    <x:row r="7" ht="34" customHeight="1">
      <x:c r="A7" s="95">
        <x:v>3</x:v>
      </x:c>
      <x:c r="B7" s="96" t="s">
        <x:v>15</x:v>
      </x:c>
      <x:c r="C7" s="94" t="s">
        <x:v>16</x:v>
      </x:c>
      <x:c r="D7" s="94" t="s">
        <x:v>17</x:v>
      </x:c>
      <x:c r="E7" s="94" t="s">
        <x:v>18</x:v>
      </x:c>
    </x:row>
    <x:row r="8" ht="34" customHeight="1">
      <x:c r="A8" s="95">
        <x:v>4</x:v>
      </x:c>
      <x:c r="B8" s="96" t="s">
        <x:v>19</x:v>
      </x:c>
      <x:c r="C8" s="94" t="s">
        <x:v>20</x:v>
      </x:c>
      <x:c r="D8" s="94" t="s">
        <x:v>21</x:v>
      </x:c>
      <x:c r="E8" s="94" t="s">
        <x:v>22</x:v>
      </x:c>
    </x:row>
    <x:row r="9" ht="34" customHeight="1">
      <x:c r="A9" s="95">
        <x:v>5</x:v>
      </x:c>
      <x:c r="B9" s="96" t="s">
        <x:v>23</x:v>
      </x:c>
      <x:c r="C9" s="94" t="s">
        <x:v>24</x:v>
      </x:c>
      <x:c r="D9" s="94" t="s">
        <x:v>25</x:v>
      </x:c>
      <x:c r="E9" s="94" t="s">
        <x:v>26</x:v>
      </x:c>
    </x:row>
    <x:row r="10" ht="34" customHeight="1">
      <x:c r="A10" s="95">
        <x:v>6</x:v>
      </x:c>
      <x:c r="B10" s="96" t="s">
        <x:v>27</x:v>
      </x:c>
      <x:c r="C10" s="94" t="s">
        <x:v>28</x:v>
      </x:c>
      <x:c r="D10" s="94" t="s">
        <x:v>29</x:v>
      </x:c>
      <x:c r="E10" s="94" t="s">
        <x:v>30</x:v>
      </x:c>
    </x:row>
    <x:row r="11" ht="34" customHeight="1">
      <x:c r="A11" s="95">
        <x:v>7</x:v>
      </x:c>
      <x:c r="B11" s="96" t="s">
        <x:v>31</x:v>
      </x:c>
      <x:c r="C11" s="94" t="s">
        <x:v>32</x:v>
      </x:c>
      <x:c r="D11" s="94" t="s">
        <x:v>33</x:v>
      </x:c>
      <x:c r="E11" s="94" t="s">
        <x:v>34</x:v>
      </x:c>
    </x:row>
    <x:row r="12" ht="34" customHeight="1">
      <x:c r="A12" s="95">
        <x:v>8</x:v>
      </x:c>
      <x:c r="B12" s="96" t="s">
        <x:v>35</x:v>
      </x:c>
      <x:c r="C12" s="94" t="s">
        <x:v>36</x:v>
      </x:c>
      <x:c r="D12" s="94" t="s">
        <x:v>37</x:v>
      </x:c>
      <x:c r="E12" s="94" t="s">
        <x:v>38</x:v>
      </x:c>
    </x:row>
    <x:row r="13" ht="34" customHeight="1">
      <x:c r="A13" s="95">
        <x:v>9</x:v>
      </x:c>
      <x:c r="B13" s="96" t="s">
        <x:v>39</x:v>
      </x:c>
      <x:c r="C13" s="94" t="s">
        <x:v>40</x:v>
      </x:c>
      <x:c r="D13" s="94" t="s">
        <x:v>41</x:v>
      </x:c>
      <x:c r="E13" s="94" t="s">
        <x:v>42</x:v>
      </x:c>
    </x:row>
    <x:row r="14" ht="34" customHeight="1">
      <x:c r="A14" s="95">
        <x:v>10</x:v>
      </x:c>
      <x:c r="B14" s="96" t="s">
        <x:v>43</x:v>
      </x:c>
      <x:c r="C14" s="94" t="s">
        <x:v>44</x:v>
      </x:c>
      <x:c r="D14" s="94" t="s">
        <x:v>45</x:v>
      </x:c>
      <x:c r="E14" s="94" t="s">
        <x:v>46</x:v>
      </x:c>
    </x:row>
    <x:row r="15" ht="34" customHeight="1">
      <x:c r="A15" s="95">
        <x:v>11</x:v>
      </x:c>
      <x:c r="B15" s="96" t="s">
        <x:v>47</x:v>
      </x:c>
      <x:c r="C15" s="94" t="s">
        <x:v>48</x:v>
      </x:c>
      <x:c r="D15" s="94" t="s">
        <x:v>49</x:v>
      </x:c>
      <x:c r="E15" s="94" t="s">
        <x:v>50</x:v>
      </x:c>
    </x:row>
    <x:row r="16" ht="34" customHeight="1">
      <x:c r="A16" s="95">
        <x:v>12</x:v>
      </x:c>
      <x:c r="B16" s="96" t="s">
        <x:v>51</x:v>
      </x:c>
      <x:c r="C16" s="94" t="s">
        <x:v>52</x:v>
      </x:c>
      <x:c r="D16" s="94" t="s">
        <x:v>53</x:v>
      </x:c>
      <x:c r="E16" s="94" t="s">
        <x:v>54</x:v>
      </x:c>
    </x:row>
    <x:row r="17" ht="34" customHeight="1">
      <x:c r="A17" s="95">
        <x:v>13</x:v>
      </x:c>
      <x:c r="B17" s="96" t="s">
        <x:v>55</x:v>
      </x:c>
      <x:c r="C17" s="94" t="s">
        <x:v>56</x:v>
      </x:c>
      <x:c r="D17" s="94" t="s">
        <x:v>57</x:v>
      </x:c>
      <x:c r="E17" s="94" t="s">
        <x:v>58</x:v>
      </x:c>
    </x:row>
    <x:row r="18" ht="34" customHeight="1">
      <x:c r="A18" s="95">
        <x:v>14</x:v>
      </x:c>
      <x:c r="B18" s="96" t="s">
        <x:v>59</x:v>
      </x:c>
      <x:c r="C18" s="94" t="s">
        <x:v>60</x:v>
      </x:c>
      <x:c r="D18" s="94" t="s">
        <x:v>61</x:v>
      </x:c>
      <x:c r="E18" s="94" t="s">
        <x:v>62</x:v>
      </x:c>
    </x:row>
    <x:row r="19" ht="34" customHeight="1">
      <x:c r="A19" s="95">
        <x:v>15</x:v>
      </x:c>
      <x:c r="B19" s="96" t="s">
        <x:v>63</x:v>
      </x:c>
      <x:c r="C19" s="94" t="s">
        <x:v>64</x:v>
      </x:c>
      <x:c r="D19" s="94" t="s">
        <x:v>65</x:v>
      </x:c>
      <x:c r="E19" s="94" t="s">
        <x:v>66</x:v>
      </x:c>
    </x:row>
    <x:row r="20" ht="34" customHeight="1">
      <x:c r="A20" s="95">
        <x:v>16</x:v>
      </x:c>
      <x:c r="B20" s="96" t="s">
        <x:v>67</x:v>
      </x:c>
      <x:c r="C20" s="94" t="s">
        <x:v>68</x:v>
      </x:c>
      <x:c r="D20" s="94" t="s">
        <x:v>69</x:v>
      </x:c>
      <x:c r="E20" s="94" t="s">
        <x:v>70</x:v>
      </x:c>
    </x:row>
    <x:row r="21" ht="34" customHeight="1">
      <x:c r="A21" s="95">
        <x:v>17</x:v>
      </x:c>
      <x:c r="B21" s="96" t="s">
        <x:v>71</x:v>
      </x:c>
      <x:c r="C21" s="94" t="s">
        <x:v>72</x:v>
      </x:c>
      <x:c r="D21" s="94" t="s">
        <x:v>73</x:v>
      </x:c>
      <x:c r="E21" s="94" t="s">
        <x:v>74</x:v>
      </x:c>
    </x:row>
    <x:row r="22" ht="34" customHeight="1">
      <x:c r="A22" s="95">
        <x:v>18</x:v>
      </x:c>
      <x:c r="B22" s="96" t="s">
        <x:v>75</x:v>
      </x:c>
      <x:c r="C22" s="94" t="s">
        <x:v>76</x:v>
      </x:c>
      <x:c r="D22" s="94" t="s">
        <x:v>77</x:v>
      </x:c>
      <x:c r="E22" s="94" t="s">
        <x:v>78</x:v>
      </x:c>
    </x:row>
    <x:row r="23" ht="34" customHeight="1">
      <x:c r="A23" s="95">
        <x:v>19</x:v>
      </x:c>
      <x:c r="B23" s="96" t="s">
        <x:v>79</x:v>
      </x:c>
      <x:c r="C23" s="94" t="s">
        <x:v>80</x:v>
      </x:c>
      <x:c r="D23" s="94" t="s">
        <x:v>81</x:v>
      </x:c>
      <x:c r="E23" s="94" t="s">
        <x:v>82</x:v>
      </x:c>
    </x:row>
    <x:row r="24" ht="34" customHeight="1">
      <x:c r="A24" s="95">
        <x:v>20</x:v>
      </x:c>
      <x:c r="B24" s="96" t="s">
        <x:v>83</x:v>
      </x:c>
      <x:c r="C24" s="94" t="s">
        <x:v>84</x:v>
      </x:c>
      <x:c r="D24" s="94" t="s">
        <x:v>85</x:v>
      </x:c>
      <x:c r="E24" s="94" t="s">
        <x:v>86</x:v>
      </x:c>
    </x:row>
    <x:row r="25" ht="34" customHeight="1">
      <x:c r="A25" s="95">
        <x:v>21</x:v>
      </x:c>
      <x:c r="B25" s="96" t="s">
        <x:v>87</x:v>
      </x:c>
      <x:c r="C25" s="94" t="s">
        <x:v>88</x:v>
      </x:c>
      <x:c r="D25" s="94" t="s">
        <x:v>89</x:v>
      </x:c>
      <x:c r="E25" s="94" t="s">
        <x:v>90</x:v>
      </x:c>
    </x:row>
    <x:row r="26" ht="34" customHeight="1">
      <x:c r="A26" s="95">
        <x:v>22</x:v>
      </x:c>
      <x:c r="B26" s="96" t="s">
        <x:v>91</x:v>
      </x:c>
      <x:c r="C26" s="94" t="s">
        <x:v>92</x:v>
      </x:c>
      <x:c r="D26" s="94" t="s">
        <x:v>93</x:v>
      </x:c>
      <x:c r="E26" s="94" t="s">
        <x:v>94</x:v>
      </x:c>
    </x:row>
    <x:row r="27" ht="34" customHeight="1">
      <x:c r="A27" s="95">
        <x:v>23</x:v>
      </x:c>
      <x:c r="B27" s="96" t="s">
        <x:v>95</x:v>
      </x:c>
      <x:c r="C27" s="94" t="s">
        <x:v>96</x:v>
      </x:c>
      <x:c r="D27" s="94" t="s">
        <x:v>96</x:v>
      </x:c>
      <x:c r="E27" s="94" t="s">
        <x:v>97</x:v>
      </x:c>
    </x:row>
    <x:row r="28" ht="34" customHeight="1">
      <x:c r="A28" s="95">
        <x:v>24</x:v>
      </x:c>
      <x:c r="B28" s="96" t="s">
        <x:v>98</x:v>
      </x:c>
      <x:c r="C28" s="94" t="s">
        <x:v>99</x:v>
      </x:c>
      <x:c r="D28" s="94" t="s">
        <x:v>100</x:v>
      </x:c>
      <x:c r="E28" s="94" t="s">
        <x:v>101</x:v>
      </x:c>
    </x:row>
    <x:row r="29" ht="34" customHeight="1">
      <x:c r="A29" s="95">
        <x:v>25</x:v>
      </x:c>
      <x:c r="B29" s="96" t="s">
        <x:v>102</x:v>
      </x:c>
      <x:c r="C29" s="94" t="s">
        <x:v>103</x:v>
      </x:c>
      <x:c r="D29" s="94" t="s">
        <x:v>104</x:v>
      </x:c>
      <x:c r="E29" s="94" t="s">
        <x:v>105</x:v>
      </x:c>
    </x:row>
    <x:row r="30" ht="34" customHeight="1">
      <x:c r="A30" s="95">
        <x:v>26</x:v>
      </x:c>
      <x:c r="B30" s="96" t="s">
        <x:v>106</x:v>
      </x:c>
      <x:c r="C30" s="94" t="s">
        <x:v>107</x:v>
      </x:c>
      <x:c r="D30" s="94" t="s">
        <x:v>108</x:v>
      </x:c>
      <x:c r="E30" s="94" t="s">
        <x:v>109</x:v>
      </x:c>
    </x:row>
    <x:row r="31" ht="34" customHeight="1">
      <x:c r="A31" s="95">
        <x:v>27</x:v>
      </x:c>
      <x:c r="B31" s="96" t="s">
        <x:v>110</x:v>
      </x:c>
      <x:c r="C31" s="94" t="s">
        <x:v>111</x:v>
      </x:c>
      <x:c r="D31" s="94" t="s">
        <x:v>112</x:v>
      </x:c>
      <x:c r="E31" s="94" t="s">
        <x:v>113</x:v>
      </x:c>
    </x:row>
    <x:row r="32" ht="34" customHeight="1">
      <x:c r="A32" s="95">
        <x:v>28</x:v>
      </x:c>
      <x:c r="B32" s="96" t="s">
        <x:v>114</x:v>
      </x:c>
      <x:c r="C32" s="94" t="s">
        <x:v>115</x:v>
      </x:c>
      <x:c r="D32" s="94" t="s">
        <x:v>116</x:v>
      </x:c>
      <x:c r="E32" s="94" t="s">
        <x:v>117</x:v>
      </x:c>
    </x:row>
    <x:row r="33" ht="34" customHeight="1">
      <x:c r="A33" s="95">
        <x:v>29</x:v>
      </x:c>
      <x:c r="B33" s="96" t="s">
        <x:v>118</x:v>
      </x:c>
      <x:c r="C33" s="94" t="s">
        <x:v>119</x:v>
      </x:c>
      <x:c r="D33" s="94" t="s">
        <x:v>120</x:v>
      </x:c>
      <x:c r="E33" s="94" t="s">
        <x:v>121</x:v>
      </x:c>
    </x:row>
    <x:row r="34" ht="34" customHeight="1">
      <x:c r="A34" s="95">
        <x:v>30</x:v>
      </x:c>
      <x:c r="B34" s="96" t="s">
        <x:v>122</x:v>
      </x:c>
      <x:c r="C34" s="94" t="s">
        <x:v>123</x:v>
      </x:c>
      <x:c r="D34" s="94" t="s">
        <x:v>124</x:v>
      </x:c>
      <x:c r="E34" s="94" t="s">
        <x:v>125</x:v>
      </x:c>
    </x:row>
    <x:row r="35" ht="34" customHeight="1">
      <x:c r="A35" s="95">
        <x:v>31</x:v>
      </x:c>
      <x:c r="B35" s="96" t="s">
        <x:v>126</x:v>
      </x:c>
      <x:c r="C35" s="94" t="s">
        <x:v>127</x:v>
      </x:c>
      <x:c r="D35" s="94" t="s">
        <x:v>128</x:v>
      </x:c>
      <x:c r="E35" s="94" t="s">
        <x:v>129</x:v>
      </x:c>
    </x:row>
    <x:row r="36" ht="34" customHeight="1">
      <x:c r="A36" s="95">
        <x:v>32</x:v>
      </x:c>
      <x:c r="B36" s="96" t="s">
        <x:v>130</x:v>
      </x:c>
      <x:c r="C36" s="94" t="s">
        <x:v>131</x:v>
      </x:c>
      <x:c r="D36" s="94" t="s">
        <x:v>132</x:v>
      </x:c>
      <x:c r="E36" s="94" t="s">
        <x:v>133</x:v>
      </x:c>
    </x:row>
    <x:row r="37" ht="34" customHeight="1">
      <x:c r="A37" s="95">
        <x:v>33</x:v>
      </x:c>
      <x:c r="B37" s="96" t="s">
        <x:v>134</x:v>
      </x:c>
      <x:c r="C37" s="94" t="s">
        <x:v>135</x:v>
      </x:c>
      <x:c r="D37" s="94" t="s">
        <x:v>136</x:v>
      </x:c>
      <x:c r="E37" s="94" t="s">
        <x:v>137</x:v>
      </x:c>
    </x:row>
    <x:row r="38" ht="34" customHeight="1">
      <x:c r="A38" s="95">
        <x:v>34</x:v>
      </x:c>
      <x:c r="B38" s="96" t="s">
        <x:v>138</x:v>
      </x:c>
      <x:c r="C38" s="94" t="s">
        <x:v>139</x:v>
      </x:c>
      <x:c r="D38" s="94" t="s">
        <x:v>140</x:v>
      </x:c>
      <x:c r="E38" s="94" t="s">
        <x:v>141</x:v>
      </x:c>
    </x:row>
    <x:row r="39" ht="34" customHeight="1">
      <x:c r="A39" s="95">
        <x:v>35</x:v>
      </x:c>
      <x:c r="B39" s="96" t="s">
        <x:v>142</x:v>
      </x:c>
      <x:c r="C39" s="94" t="s">
        <x:v>143</x:v>
      </x:c>
      <x:c r="D39" s="94" t="s">
        <x:v>144</x:v>
      </x:c>
      <x:c r="E39" s="94" t="s">
        <x:v>145</x:v>
      </x:c>
    </x:row>
  </x:sheetData>
  <x:mergeCells>
    <x:mergeCell ref="A1:E1"/>
    <x:mergeCell ref="A2:E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4"/>
  <x:cols>
    <x:col min="1" max="1" width="12" customWidth="1"/>
    <x:col min="2" max="2" width="34" customWidth="1"/>
    <x:col min="3" max="3" width="19" customWidth="1"/>
    <x:col min="4" max="4" width="18" customWidth="1"/>
    <x:col min="5" max="5" width="15" customWidth="1"/>
    <x:col min="6" max="6" width="13" customWidth="1"/>
    <x:col min="7" max="7" width="49" customWidth="1"/>
    <x:col min="8" max="8" width="3" customWidth="1"/>
    <x:col min="9" max="9" width="30" customWidth="1"/>
    <x:col min="10" max="10" width="18" customWidth="1"/>
    <x:col min="11" max="11" width="13" customWidth="1"/>
    <x:col min="12" max="12" width="4.33203125" customWidth="1"/>
    <x:col min="13" max="13" width="13.1640625" customWidth="1"/>
    <x:col min="15" max="15" width="9.6640625" customWidth="1"/>
  </x:cols>
  <x:sheetData>
    <x:row r="1" ht="30" customHeight="1">
      <x:c r="A1" s="109" t="s">
        <x:v>146</x:v>
      </x:c>
      <x:c r="B1" s="109"/>
      <x:c r="C1" s="109"/>
      <x:c r="D1" s="109"/>
      <x:c r="E1" s="109"/>
      <x:c r="F1" s="109"/>
      <x:c r="G1" s="109"/>
      <x:c r="H1" s="31"/>
      <x:c r="I1" s="31"/>
      <x:c r="J1" s="31"/>
      <x:c r="K1" s="31"/>
    </x:row>
    <x:row r="2" ht="26" customHeight="1">
      <x:c r="A2" s="110" t="s">
        <x:v>147</x:v>
      </x:c>
      <x:c r="B2" s="110"/>
      <x:c r="C2" s="110"/>
      <x:c r="D2" s="110"/>
      <x:c r="E2" s="110"/>
      <x:c r="F2" s="110"/>
      <x:c r="G2" s="110"/>
      <x:c r="H2" s="31"/>
      <x:c r="I2" s="31"/>
      <x:c r="J2" s="31"/>
      <x:c r="K2" s="31"/>
    </x:row>
    <x:row r="3">
      <x:c r="A3" s="111" t="str">
        <x:v>Phiên bản: Ver1.7  |  Cập nhật: 28/07/2026  |  Đơn vị tiền tệ mặc định: tỷ VND</x:v>
      </x:c>
      <x:c r="B3" s="111"/>
      <x:c r="C3" s="111"/>
      <x:c r="D3" s="111"/>
      <x:c r="E3" s="111"/>
      <x:c r="F3" s="111"/>
      <x:c r="G3" s="111"/>
      <x:c r="H3" s="31"/>
      <x:c r="I3" s="31"/>
      <x:c r="J3" s="31"/>
      <x:c r="K3" s="31"/>
    </x:row>
    <x:row r="4">
      <x:c r="A4" s="31"/>
      <x:c r="B4" s="31"/>
      <x:c r="C4" s="31"/>
      <x:c r="D4" s="31"/>
      <x:c r="E4" s="31"/>
      <x:c r="F4" s="31"/>
      <x:c r="G4" s="31"/>
      <x:c r="H4" s="31"/>
      <x:c r="I4" s="31"/>
      <x:c r="J4" s="31"/>
      <x:c r="K4" s="31"/>
    </x:row>
    <x:row r="5">
      <x:c r="A5" s="112" t="s">
        <x:v>148</x:v>
      </x:c>
      <x:c r="B5" s="112"/>
      <x:c r="C5" s="31"/>
      <x:c r="D5" s="31"/>
      <x:c r="E5" s="31"/>
      <x:c r="F5" s="31"/>
      <x:c r="G5" s="31"/>
      <x:c r="H5" s="31"/>
      <x:c r="I5" s="114" t="s">
        <x:v>149</x:v>
      </x:c>
      <x:c r="J5" s="114"/>
      <x:c r="K5" s="114"/>
    </x:row>
    <x:row r="6">
      <x:c r="A6" s="31" t="s">
        <x:v>150</x:v>
      </x:c>
      <x:c r="B6" s="32" t="s">
        <x:v>151</x:v>
      </x:c>
      <x:c r="C6" s="31"/>
      <x:c r="D6" s="113" t="s">
        <x:v>152</x:v>
      </x:c>
      <x:c r="E6" s="113"/>
      <x:c r="F6" s="113"/>
      <x:c r="G6" s="113"/>
      <x:c r="H6" s="31"/>
      <x:c r="I6" s="18" t="s">
        <x:v>153</x:v>
      </x:c>
      <x:c r="J6" s="19" t="s">
        <x:v>154</x:v>
      </x:c>
      <x:c r="K6" s="20" t="s">
        <x:v>155</x:v>
      </x:c>
    </x:row>
    <x:row r="7">
      <x:c r="A7" s="31" t="s">
        <x:v>156</x:v>
      </x:c>
      <x:c r="B7" s="33" t="n">
        <x:f>1+1</x:f>
        <x:v>2</x:v>
      </x:c>
      <x:c r="C7" s="31"/>
      <x:c r="D7" s="115" t="s">
        <x:v>157</x:v>
      </x:c>
      <x:c r="E7" s="115"/>
      <x:c r="F7" s="115"/>
      <x:c r="G7" s="115"/>
      <x:c r="H7" s="31"/>
      <x:c r="I7" s="26" t="s">
        <x:v>158</x:v>
      </x:c>
      <x:c r="J7" s="27" t="n">
        <x:f>IF(D12="","",D12)</x:f>
        <x:v>180</x:v>
      </x:c>
      <x:c r="K7" s="26" t="s">
        <x:v>95</x:v>
      </x:c>
    </x:row>
    <x:row r="8">
      <x:c r="A8" s="31"/>
      <x:c r="B8" s="31"/>
      <x:c r="C8" s="31"/>
      <x:c r="D8" s="31"/>
      <x:c r="E8" s="31"/>
      <x:c r="F8" s="31"/>
      <x:c r="G8" s="31"/>
      <x:c r="H8" s="31"/>
      <x:c r="I8" s="26" t="s">
        <x:v>159</x:v>
      </x:c>
      <x:c r="J8" s="28" t="n">
        <x:f>IF(D16="","",D16)</x:f>
        <x:v>2027</x:v>
      </x:c>
      <x:c r="K8" s="26" t="s">
        <x:v>160</x:v>
      </x:c>
    </x:row>
    <x:row r="9" ht="28" customHeight="1">
      <x:c r="A9" s="2" t="s">
        <x:v>161</x:v>
      </x:c>
      <x:c r="B9" s="3" t="s">
        <x:v>162</x:v>
      </x:c>
      <x:c r="C9" s="3" t="s">
        <x:v>163</x:v>
      </x:c>
      <x:c r="D9" s="3" t="s">
        <x:v>154</x:v>
      </x:c>
      <x:c r="E9" s="3" t="s">
        <x:v>155</x:v>
      </x:c>
      <x:c r="F9" s="3" t="s">
        <x:v>164</x:v>
      </x:c>
      <x:c r="G9" s="4" t="s">
        <x:v>165</x:v>
      </x:c>
      <x:c r="H9" s="31"/>
      <x:c r="I9" s="26" t="s">
        <x:v>166</x:v>
      </x:c>
      <x:c r="J9" s="28" t="n">
        <x:f>IF(D18="","",D18)</x:f>
        <x:v>2046</x:v>
      </x:c>
      <x:c r="K9" s="26" t="s">
        <x:v>160</x:v>
      </x:c>
    </x:row>
    <x:row r="10" ht="22" customHeight="1">
      <x:c r="A10" s="112" t="s">
        <x:v>167</x:v>
      </x:c>
      <x:c r="B10" s="116"/>
      <x:c r="C10" s="112"/>
      <x:c r="D10" s="116"/>
      <x:c r="E10" s="112"/>
      <x:c r="F10" s="112"/>
      <x:c r="G10" s="117"/>
      <x:c r="H10" s="31"/>
      <x:c r="I10" s="31"/>
      <x:c r="J10" s="31"/>
      <x:c r="K10" s="31"/>
    </x:row>
    <x:row r="11" ht="24" customHeight="1">
      <x:c r="A11" s="34" t="s">
        <x:v>168</x:v>
      </x:c>
      <x:c r="B11" s="7" t="s">
        <x:v>169</x:v>
      </x:c>
      <x:c r="C11" s="34" t="s">
        <x:v>170</x:v>
      </x:c>
      <x:c r="D11" s="6" t="s">
        <x:v>171</x:v>
      </x:c>
      <x:c r="E11" s="34" t="s">
        <x:v>172</x:v>
      </x:c>
      <x:c r="F11" s="34" t="s">
        <x:v>173</x:v>
      </x:c>
      <x:c r="G11" s="5" t="s">
        <x:v>174</x:v>
      </x:c>
      <x:c r="H11" s="31"/>
      <x:c r="I11" s="154" t="str">
        <x:v>Tổng vốn đầu tư chưa VAT</x:v>
      </x:c>
      <x:c r="J11" s="166" t="n">
        <x:f>'Input'!$D$21</x:f>
        <x:v>6115</x:v>
      </x:c>
      <x:c r="K11" s="154" t="str">
        <x:v>Tỷ VND</x:v>
      </x:c>
    </x:row>
    <x:row r="12" ht="15" customHeight="1">
      <x:c r="A12" s="34" t="s">
        <x:v>175</x:v>
      </x:c>
      <x:c r="B12" s="7" t="s">
        <x:v>158</x:v>
      </x:c>
      <x:c r="C12" s="34" t="s">
        <x:v>176</x:v>
      </x:c>
      <x:c r="D12" s="8">
        <x:v>180</x:v>
      </x:c>
      <x:c r="E12" s="34" t="s">
        <x:v>95</x:v>
      </x:c>
      <x:c r="F12" s="34" t="s">
        <x:v>173</x:v>
      </x:c>
      <x:c r="G12" s="5" t="s">
        <x:v>177</x:v>
      </x:c>
      <x:c r="H12" s="31"/>
      <x:c r="I12" s="154" t="str">
        <x:v>Vốn đầu tư phần nhà máy điện</x:v>
      </x:c>
      <x:c r="J12" s="166" t="n">
        <x:f>'Input'!$D$12*'Input'!$D$22</x:f>
        <x:v>5580</x:v>
      </x:c>
      <x:c r="K12" s="154" t="str">
        <x:v>Tỷ VND</x:v>
      </x:c>
    </x:row>
    <x:row r="13" ht="15" customHeight="1">
      <x:c r="A13" s="34" t="s">
        <x:v>178</x:v>
      </x:c>
      <x:c r="B13" s="5" t="s">
        <x:v>179</x:v>
      </x:c>
      <x:c r="C13" s="34" t="s">
        <x:v>180</x:v>
      </x:c>
      <x:c r="D13" s="9">
        <x:v>2025</x:v>
      </x:c>
      <x:c r="E13" s="34" t="s">
        <x:v>160</x:v>
      </x:c>
      <x:c r="F13" s="34" t="s">
        <x:v>173</x:v>
      </x:c>
      <x:c r="G13" s="5" t="s">
        <x:v>181</x:v>
      </x:c>
      <x:c r="H13" s="31"/>
      <x:c r="I13" s="154" t="str">
        <x:v>Vốn đầu tư phần đấu nối</x:v>
      </x:c>
      <x:c r="J13" s="166" t="n">
        <x:f>'Input'!$D$29</x:f>
        <x:v>535</x:v>
      </x:c>
      <x:c r="K13" s="154" t="str">
        <x:v>Tỷ VND</x:v>
      </x:c>
    </x:row>
    <x:row r="14" ht="15" customHeight="1">
      <x:c r="A14" s="34" t="s">
        <x:v>182</x:v>
      </x:c>
      <x:c r="B14" s="7" t="s">
        <x:v>183</x:v>
      </x:c>
      <x:c r="C14" s="34" t="s">
        <x:v>184</x:v>
      </x:c>
      <x:c r="D14" s="10">
        <x:v>2025</x:v>
      </x:c>
      <x:c r="E14" s="34" t="s">
        <x:v>160</x:v>
      </x:c>
      <x:c r="F14" s="34" t="s">
        <x:v>173</x:v>
      </x:c>
      <x:c r="G14" s="5" t="s">
        <x:v>185</x:v>
      </x:c>
      <x:c r="H14" s="31"/>
      <x:c r="I14" s="154" t="str">
        <x:v>Suất đầu tư kể cả đấu nối</x:v>
      </x:c>
      <x:c r="J14" s="166" t="n">
        <x:f>IF(OR(D21="",D12="",D12=0),"",D21/D12)</x:f>
        <x:v>33.97222222222222</x:v>
      </x:c>
      <x:c r="K14" s="154" t="str">
        <x:v>Tỷ VND/MW</x:v>
      </x:c>
    </x:row>
    <x:row r="15" ht="15" customHeight="1">
      <x:c r="A15" s="34" t="s">
        <x:v>186</x:v>
      </x:c>
      <x:c r="B15" s="7" t="s">
        <x:v>187</x:v>
      </x:c>
      <x:c r="C15" s="34" t="s">
        <x:v>188</x:v>
      </x:c>
      <x:c r="D15" s="10">
        <x:v>2</x:v>
      </x:c>
      <x:c r="E15" s="34" t="s">
        <x:v>160</x:v>
      </x:c>
      <x:c r="F15" s="34" t="s">
        <x:v>173</x:v>
      </x:c>
      <x:c r="G15" s="5" t="s">
        <x:v>189</x:v>
      </x:c>
      <x:c r="H15" s="31"/>
      <x:c r="I15" s="153" t="str">
        <x:v>Trong đó: Trạm biến áp</x:v>
      </x:c>
      <x:c r="J15" s="147" t="n">
        <x:f>'Input'!$J$28</x:f>
        <x:v>220</x:v>
      </x:c>
      <x:c r="K15" s="153" t="str">
        <x:v>Tỷ VND</x:v>
      </x:c>
    </x:row>
    <x:row r="16" ht="15" customHeight="1">
      <x:c r="A16" s="34" t="s">
        <x:v>190</x:v>
      </x:c>
      <x:c r="B16" s="7" t="s">
        <x:v>191</x:v>
      </x:c>
      <x:c r="C16" s="34" t="s">
        <x:v>192</x:v>
      </x:c>
      <x:c r="D16" s="11" t="n">
        <x:f>IF(OR(D14="",D15=""),"",D14+D15)</x:f>
        <x:v>2027</x:v>
      </x:c>
      <x:c r="E16" s="34" t="s">
        <x:v>160</x:v>
      </x:c>
      <x:c r="F16" s="34" t="s">
        <x:v>193</x:v>
      </x:c>
      <x:c r="G16" s="5" t="s">
        <x:v>194</x:v>
      </x:c>
      <x:c r="H16" s="31"/>
      <x:c r="I16" s="154" t="str">
        <x:v>Trong đó: Đường dây đấu nối</x:v>
      </x:c>
      <x:c r="J16" s="166" t="n">
        <x:f>'Input'!$J$31</x:f>
        <x:v>315</x:v>
      </x:c>
      <x:c r="K16" s="154" t="str">
        <x:v>Tỷ VND</x:v>
      </x:c>
    </x:row>
    <x:row r="17" ht="15" customHeight="1">
      <x:c r="A17" s="34" t="s">
        <x:v>195</x:v>
      </x:c>
      <x:c r="B17" s="7" t="s">
        <x:v>196</x:v>
      </x:c>
      <x:c r="C17" s="34" t="s">
        <x:v>197</x:v>
      </x:c>
      <x:c r="D17" s="10">
        <x:v>20</x:v>
      </x:c>
      <x:c r="E17" s="34" t="s">
        <x:v>160</x:v>
      </x:c>
      <x:c r="F17" s="34" t="s">
        <x:v>173</x:v>
      </x:c>
      <x:c r="G17" s="5" t="s">
        <x:v>198</x:v>
      </x:c>
      <x:c r="H17" s="31"/>
      <x:c r="I17" s="154" t="str">
        <x:v>Giá trị khoản vay</x:v>
      </x:c>
      <x:c r="J17" s="166" t="n">
        <x:f>'Input'!$D$21*'Input'!$D$55</x:f>
        <x:v>4280.5</x:v>
      </x:c>
      <x:c r="K17" s="154" t="str">
        <x:v>Tỷ VND</x:v>
      </x:c>
      <x:c r="M17" s="118" t="s">
        <x:v>199</x:v>
      </x:c>
      <x:c r="N17" s="118"/>
      <x:c r="O17" s="118"/>
      <x:c r="P17" s="118"/>
    </x:row>
    <x:row r="18" ht="15" customHeight="1">
      <x:c r="A18" s="34" t="s">
        <x:v>200</x:v>
      </x:c>
      <x:c r="B18" s="7" t="s">
        <x:v>166</x:v>
      </x:c>
      <x:c r="C18" s="34" t="s">
        <x:v>201</x:v>
      </x:c>
      <x:c r="D18" s="11" t="n">
        <x:f>IF(OR(D16="",D17=""),"",D16+D17-1)</x:f>
        <x:v>2046</x:v>
      </x:c>
      <x:c r="E18" s="34" t="s">
        <x:v>160</x:v>
      </x:c>
      <x:c r="F18" s="34" t="s">
        <x:v>193</x:v>
      </x:c>
      <x:c r="G18" s="5" t="s">
        <x:v>202</x:v>
      </x:c>
      <x:c r="H18" s="31"/>
      <x:c r="I18" s="154" t="str">
        <x:v>Vốn chủ sở hữu ban đầu</x:v>
      </x:c>
      <x:c r="J18" s="166" t="n">
        <x:f>'Input'!$D$21*(1-'Input'!$D$55)</x:f>
        <x:v>1834.5000000000002</x:v>
      </x:c>
      <x:c r="K18" s="154" t="str">
        <x:v>Tỷ VND</x:v>
      </x:c>
      <x:c r="M18" s="26" t="str">
        <x:f>Summary!A11</x:f>
        <x:v>Project IRR</x:v>
      </x:c>
      <x:c r="N18" s="78" t="n">
        <x:f>Summary!B11</x:f>
        <x:v>0.10716004078868951</x:v>
      </x:c>
      <x:c r="O18" s="26" t="str">
        <x:f>Summary!D11</x:f>
        <x:v>Project NPV</x:v>
      </x:c>
      <x:c r="P18" s="29" t="n">
        <x:f>Summary!E11</x:f>
        <x:v>319.6386934719256</x:v>
      </x:c>
    </x:row>
    <x:row r="19" ht="15" customHeight="1">
      <x:c r="A19" s="35"/>
      <x:c r="B19" s="31"/>
      <x:c r="C19" s="35"/>
      <x:c r="D19" s="31"/>
      <x:c r="E19" s="35"/>
      <x:c r="F19" s="35"/>
      <x:c r="G19" s="36"/>
      <x:c r="H19" s="31"/>
      <x:c r="I19" s="154" t="str">
        <x:v>Sản lượng điện năm đầu</x:v>
      </x:c>
      <x:c r="J19" s="182" t="n">
        <x:f>IF(D43="","",D43)</x:f>
        <x:v>473040</x:v>
      </x:c>
      <x:c r="K19" s="154" t="str">
        <x:v>MWh</x:v>
      </x:c>
      <x:c r="M19" s="26" t="str">
        <x:f>Summary!A12</x:f>
        <x:v>Equity IRR</x:v>
      </x:c>
      <x:c r="N19" s="78" t="n">
        <x:f>Summary!B12</x:f>
        <x:v>0.10376946291662054</x:v>
      </x:c>
      <x:c r="O19" s="26" t="str">
        <x:f>Summary!D12</x:f>
        <x:v>Equity NPV</x:v>
      </x:c>
      <x:c r="P19" s="29" t="n">
        <x:f>Summary!E12</x:f>
        <x:v>-386.64177237390413</x:v>
      </x:c>
    </x:row>
    <x:row r="20" ht="22" customHeight="1">
      <x:c r="A20" s="112" t="s">
        <x:v>203</x:v>
      </x:c>
      <x:c r="B20" s="116"/>
      <x:c r="C20" s="112"/>
      <x:c r="D20" s="116"/>
      <x:c r="E20" s="112"/>
      <x:c r="F20" s="112"/>
      <x:c r="G20" s="117"/>
      <x:c r="H20" s="31"/>
      <x:c r="I20" s="154" t="str">
        <x:v>Giá bán điện</x:v>
      </x:c>
      <x:c r="J20" s="166" t="n">
        <x:f>IF(D45="","",D45)</x:f>
        <x:v>1807.4</x:v>
      </x:c>
      <x:c r="K20" s="154" t="str">
        <x:v>VND/kWh</x:v>
      </x:c>
    </x:row>
    <x:row r="21" ht="24" customHeight="1">
      <x:c r="A21" s="34" t="s">
        <x:v>204</x:v>
      </x:c>
      <x:c r="B21" s="7" t="s">
        <x:v>205</x:v>
      </x:c>
      <x:c r="C21" s="34" t="s">
        <x:v>206</x:v>
      </x:c>
      <x:c r="D21" s="12" t="n">
        <x:f>Input!$D$12*Input!$D$22+Input!$D$29</x:f>
        <x:v>6115</x:v>
      </x:c>
      <x:c r="E21" s="34" t="s">
        <x:v>207</x:v>
      </x:c>
      <x:c r="F21" s="34" t="s">
        <x:v>193</x:v>
      </x:c>
      <x:c r="G21" s="5" t="s">
        <x:v>208</x:v>
      </x:c>
      <x:c r="H21" s="31"/>
      <x:c r="I21" s="154" t="str">
        <x:v>Doanh thu năm đầu</x:v>
      </x:c>
      <x:c r="J21" s="166" t="n">
        <x:f>IF(D47="","",D47)</x:f>
        <x:v>854.972496</x:v>
      </x:c>
      <x:c r="K21" s="154" t="str">
        <x:v>Tỷ VND</x:v>
      </x:c>
    </x:row>
    <x:row r="22" ht="15" customHeight="1">
      <x:c r="A22" s="34" t="s">
        <x:v>209</x:v>
      </x:c>
      <x:c r="B22" s="7" t="s">
        <x:v>210</x:v>
      </x:c>
      <x:c r="C22" s="34" t="s">
        <x:v>211</x:v>
      </x:c>
      <x:c r="D22" s="13">
        <x:v>31</x:v>
      </x:c>
      <x:c r="E22" s="34" t="s">
        <x:v>212</x:v>
      </x:c>
      <x:c r="F22" s="34" t="s">
        <x:v>173</x:v>
      </x:c>
      <x:c r="G22" s="5" t="s">
        <x:v>174</x:v>
      </x:c>
      <x:c r="H22" s="31"/>
      <x:c r="I22" s="154" t="str">
        <x:v>Tỷ lệ O&amp;M năm đầu</x:v>
      </x:c>
      <x:c r="J22" s="183" t="n">
        <x:f>'Input'!$D$50</x:f>
        <x:v>0.02</x:v>
      </x:c>
      <x:c r="K22" s="154" t="str">
        <x:v>% CAPEX/năm</x:v>
      </x:c>
    </x:row>
    <x:row r="23" ht="15" customHeight="1">
      <x:c r="A23" s="34" t="s">
        <x:v>213</x:v>
      </x:c>
      <x:c r="B23" s="7" t="s">
        <x:v>214</x:v>
      </x:c>
      <x:c r="C23" s="34" t="s">
        <x:v>215</x:v>
      </x:c>
      <x:c r="D23" s="14">
        <x:v>0.1</x:v>
      </x:c>
      <x:c r="E23" s="34" t="s">
        <x:v>216</x:v>
      </x:c>
      <x:c r="F23" s="34" t="s">
        <x:v>173</x:v>
      </x:c>
      <x:c r="G23" s="5" t="s">
        <x:v>217</x:v>
      </x:c>
      <x:c r="H23" s="31"/>
      <x:c r="I23" s="154" t="str">
        <x:v>EBITDA năm đầu</x:v>
      </x:c>
      <x:c r="J23" s="166" t="n">
        <x:f>IF(D52="","",D52)</x:f>
        <x:v>732.672496</x:v>
      </x:c>
      <x:c r="K23" s="154" t="str">
        <x:v>Tỷ VND</x:v>
      </x:c>
    </x:row>
    <x:row r="24" ht="15" customHeight="1">
      <x:c r="A24" s="34" t="s">
        <x:v>218</x:v>
      </x:c>
      <x:c r="B24" s="5" t="s">
        <x:v>219</x:v>
      </x:c>
      <x:c r="C24" s="34" t="s">
        <x:v>220</x:v>
      </x:c>
      <x:c r="D24" s="15">
        <x:v>1</x:v>
      </x:c>
      <x:c r="E24" s="34" t="s">
        <x:v>216</x:v>
      </x:c>
      <x:c r="F24" s="34" t="s">
        <x:v>173</x:v>
      </x:c>
      <x:c r="G24" s="5" t="s">
        <x:v>221</x:v>
      </x:c>
      <x:c r="H24" s="31"/>
      <x:c r="I24" s="153" t="str">
        <x:v>Biên EBITDA năm đầu</x:v>
      </x:c>
      <x:c r="J24" s="184" t="n">
        <x:f>IF(OR(D47="",D47=0,D52=""),"",D52/D47)</x:f>
        <x:v>0.8569544627784144</x:v>
      </x:c>
      <x:c r="K24" s="153" t="str">
        <x:v>%</x:v>
      </x:c>
    </x:row>
    <x:row r="25" ht="15" customHeight="1">
      <x:c r="A25" s="34" t="s">
        <x:v>222</x:v>
      </x:c>
      <x:c r="B25" s="7" t="s">
        <x:v>223</x:v>
      </x:c>
      <x:c r="C25" s="34" t="s">
        <x:v>224</x:v>
      </x:c>
      <x:c r="D25" s="12" t="n">
        <x:f>IF(OR(D21="",D23=""),"",D21*(1+D23))</x:f>
        <x:v>6726.500000000001</x:v>
      </x:c>
      <x:c r="E25" s="34" t="s">
        <x:v>207</x:v>
      </x:c>
      <x:c r="F25" s="34" t="s">
        <x:v>193</x:v>
      </x:c>
      <x:c r="G25" s="5" t="s">
        <x:v>225</x:v>
      </x:c>
      <x:c r="H25" s="31"/>
      <x:c r="I25" s="154" t="str">
        <x:v>Kiểm tra giải ngân</x:v>
      </x:c>
      <x:c r="J25" s="165" t="str">
        <x:f>IF(D37="","",IF(ABS(D37-1)&lt;0.000001,"OK","CHƯA ĐỦ 100%"))</x:f>
        <x:v>OK</x:v>
      </x:c>
      <x:c r="K25" s="154" t="str">
        <x:v>-</x:v>
      </x:c>
    </x:row>
    <x:row r="26" ht="15" customHeight="1">
      <x:c r="A26" s="34" t="s">
        <x:v>226</x:v>
      </x:c>
      <x:c r="B26" s="7" t="s">
        <x:v>227</x:v>
      </x:c>
      <x:c r="C26" s="34" t="s">
        <x:v>228</x:v>
      </x:c>
      <x:c r="D26" s="12" t="n">
        <x:f>IF(OR(D21="",D23="",D24=""),"",D21+D21*D23*(1-D24))</x:f>
        <x:v>6115</x:v>
      </x:c>
      <x:c r="E26" s="34" t="s">
        <x:v>207</x:v>
      </x:c>
      <x:c r="F26" s="34" t="s">
        <x:v>193</x:v>
      </x:c>
      <x:c r="G26" s="5" t="s">
        <x:v>229</x:v>
      </x:c>
      <x:c r="H26" s="31"/>
      <x:c r="I26" s="31"/>
      <x:c r="J26" s="31"/>
      <x:c r="K26" s="31"/>
    </x:row>
    <x:row r="27" ht="15" customHeight="1">
      <x:c r="A27" s="34" t="s">
        <x:v>230</x:v>
      </x:c>
      <x:c r="B27" s="5" t="s">
        <x:v>231</x:v>
      </x:c>
      <x:c r="C27" s="34" t="s">
        <x:v>232</x:v>
      </x:c>
      <x:c r="D27" s="16">
        <x:v>1</x:v>
      </x:c>
      <x:c r="E27" s="34" t="s">
        <x:v>160</x:v>
      </x:c>
      <x:c r="F27" s="34" t="s">
        <x:v>233</x:v>
      </x:c>
      <x:c r="G27" s="5" t="s">
        <x:v>234</x:v>
      </x:c>
      <x:c r="H27" s="31"/>
      <x:c r="I27" s="152" t="str">
        <x:v>CHI TIẾT VỐN ĐẦU TƯ ĐẤU NỐI</x:v>
      </x:c>
      <x:c r="J27" s="152" t="str">
        <x:v>CHI TIẾT VỐN ĐẦU TƯ ĐẤU NỐI</x:v>
      </x:c>
      <x:c r="K27" s="152" t="str">
        <x:v>CHI TIẾT VỐN ĐẦU TƯ ĐẤU NỐI</x:v>
      </x:c>
    </x:row>
    <x:row r="28" ht="15" customHeight="1">
      <x:c r="A28" s="34" t="s">
        <x:v>235</x:v>
      </x:c>
      <x:c r="B28" s="5" t="s">
        <x:v>236</x:v>
      </x:c>
      <x:c r="C28" s="34" t="s">
        <x:v>237</x:v>
      </x:c>
      <x:c r="D28" s="17">
        <x:v>0</x:v>
      </x:c>
      <x:c r="E28" s="34" t="s">
        <x:v>207</x:v>
      </x:c>
      <x:c r="F28" s="34" t="s">
        <x:v>233</x:v>
      </x:c>
      <x:c r="G28" s="5" t="s">
        <x:v>238</x:v>
      </x:c>
      <x:c r="H28" s="31"/>
      <x:c r="I28" s="155" t="str">
        <x:v>Vốn đầu tư phần trạm biến áp</x:v>
      </x:c>
      <x:c r="J28" s="161" t="n">
        <x:v>220</x:v>
      </x:c>
      <x:c r="K28" s="155" t="str">
        <x:v>Tỷ VND</x:v>
      </x:c>
    </x:row>
    <x:row r="29" ht="30" customHeight="1">
      <x:c r="A29" s="35" t="s">
        <x:v>239</x:v>
      </x:c>
      <x:c r="B29" s="148" t="str">
        <x:v>Tổng vốn đầu tư phần đấu nối, chưa VAT</x:v>
      </x:c>
      <x:c r="C29" s="35" t="str">
        <x:v>Total connection CAPEX</x:v>
      </x:c>
      <x:c r="D29" s="147" t="n">
        <x:f>'Input'!$J$32</x:f>
        <x:v>535</x:v>
      </x:c>
      <x:c r="E29" s="35" t="s">
        <x:v>207</x:v>
      </x:c>
      <x:c r="F29" s="35" t="str">
        <x:v>Tự tính</x:v>
      </x:c>
      <x:c r="G29" s="149" t="str">
        <x:v>Tổng vốn đầu tư phần trạm biến áp và phần đường dây đấu nối; chưa bao gồm VAT.</x:v>
      </x:c>
      <x:c r="H29" s="31"/>
      <x:c r="I29" s="155" t="str">
        <x:v>Chiều dài đường dây đấu nối</x:v>
      </x:c>
      <x:c r="J29" s="161" t="n">
        <x:v>9</x:v>
      </x:c>
      <x:c r="K29" s="155" t="str">
        <x:v>km</x:v>
      </x:c>
    </x:row>
    <x:row r="30" ht="22" customHeight="1">
      <x:c r="A30" s="112" t="s">
        <x:v>240</x:v>
      </x:c>
      <x:c r="B30" s="116"/>
      <x:c r="C30" s="112"/>
      <x:c r="D30" s="116"/>
      <x:c r="E30" s="112"/>
      <x:c r="F30" s="112"/>
      <x:c r="G30" s="117"/>
      <x:c r="H30" s="31"/>
      <x:c r="I30" s="155" t="str">
        <x:v>Suất đầu tư đường dây đấu nối</x:v>
      </x:c>
      <x:c r="J30" s="161" t="n">
        <x:v>35</x:v>
      </x:c>
      <x:c r="K30" s="155" t="str">
        <x:v>Tỷ VND/km</x:v>
      </x:c>
    </x:row>
    <x:row r="31" ht="15" customHeight="1">
      <x:c r="A31" s="18" t="s">
        <x:v>161</x:v>
      </x:c>
      <x:c r="B31" s="19" t="s">
        <x:v>241</x:v>
      </x:c>
      <x:c r="C31" s="19" t="s">
        <x:v>163</x:v>
      </x:c>
      <x:c r="D31" s="19" t="s">
        <x:v>242</x:v>
      </x:c>
      <x:c r="E31" s="19" t="s">
        <x:v>155</x:v>
      </x:c>
      <x:c r="F31" s="19" t="s">
        <x:v>164</x:v>
      </x:c>
      <x:c r="G31" s="37" t="s">
        <x:v>165</x:v>
      </x:c>
      <x:c r="H31" s="31"/>
      <x:c r="I31" s="155" t="str">
        <x:v>Vốn đầu tư phần đường dây đấu nối</x:v>
      </x:c>
      <x:c r="J31" s="147" t="n">
        <x:f>IF(OR(J29="",J30=""),"",J29*J30)</x:f>
        <x:v>315</x:v>
      </x:c>
      <x:c r="K31" s="155" t="str">
        <x:v>Tỷ VND</x:v>
      </x:c>
    </x:row>
    <x:row r="32" ht="15" customHeight="1">
      <x:c r="A32" s="34" t="s">
        <x:v>243</x:v>
      </x:c>
      <x:c r="B32" s="5" t="s">
        <x:v>244</x:v>
      </x:c>
      <x:c r="C32" s="34" t="s">
        <x:v>245</x:v>
      </x:c>
      <x:c r="D32" s="15">
        <x:v>0.4</x:v>
      </x:c>
      <x:c r="E32" s="34" t="s">
        <x:v>216</x:v>
      </x:c>
      <x:c r="F32" s="34" t="s">
        <x:v>173</x:v>
      </x:c>
      <x:c r="G32" s="5" t="s">
        <x:v>246</x:v>
      </x:c>
      <x:c r="H32" s="31"/>
      <x:c r="I32" s="167" t="str">
        <x:v>Tổng vốn đầu tư phần đấu nối</x:v>
      </x:c>
      <x:c r="J32" s="166" t="n">
        <x:f>IF(OR(J28="",J31=""),"",J28+J31)</x:f>
        <x:v>535</x:v>
      </x:c>
      <x:c r="K32" s="156" t="str">
        <x:v>Tỷ VND</x:v>
      </x:c>
    </x:row>
    <x:row r="33" ht="15" customHeight="1">
      <x:c r="A33" s="34" t="s">
        <x:v>247</x:v>
      </x:c>
      <x:c r="B33" s="5" t="s">
        <x:v>248</x:v>
      </x:c>
      <x:c r="C33" s="34" t="s">
        <x:v>249</x:v>
      </x:c>
      <x:c r="D33" s="15">
        <x:v>0.6</x:v>
      </x:c>
      <x:c r="E33" s="34" t="s">
        <x:v>216</x:v>
      </x:c>
      <x:c r="F33" s="34" t="s">
        <x:v>173</x:v>
      </x:c>
      <x:c r="G33" s="5" t="s">
        <x:v>246</x:v>
      </x:c>
      <x:c r="H33" s="31"/>
      <x:c r="I33" s="31"/>
      <x:c r="J33" s="31"/>
      <x:c r="K33" s="31"/>
    </x:row>
    <x:row r="34" ht="15" customHeight="1">
      <x:c r="A34" s="34" t="s">
        <x:v>250</x:v>
      </x:c>
      <x:c r="B34" s="5" t="s">
        <x:v>251</x:v>
      </x:c>
      <x:c r="C34" s="34" t="s">
        <x:v>252</x:v>
      </x:c>
      <x:c r="D34" s="15">
        <x:v>0</x:v>
      </x:c>
      <x:c r="E34" s="34" t="s">
        <x:v>216</x:v>
      </x:c>
      <x:c r="F34" s="34" t="s">
        <x:v>233</x:v>
      </x:c>
      <x:c r="G34" s="5" t="s">
        <x:v>253</x:v>
      </x:c>
      <x:c r="H34" s="31"/>
      <x:c r="I34" s="31"/>
      <x:c r="J34" s="31"/>
      <x:c r="K34" s="31"/>
    </x:row>
    <x:row r="35" ht="15" customHeight="1">
      <x:c r="A35" s="34" t="s">
        <x:v>254</x:v>
      </x:c>
      <x:c r="B35" s="5" t="s">
        <x:v>255</x:v>
      </x:c>
      <x:c r="C35" s="34" t="s">
        <x:v>256</x:v>
      </x:c>
      <x:c r="D35" s="15">
        <x:v>0</x:v>
      </x:c>
      <x:c r="E35" s="34" t="s">
        <x:v>216</x:v>
      </x:c>
      <x:c r="F35" s="34" t="s">
        <x:v>233</x:v>
      </x:c>
      <x:c r="G35" s="5" t="s">
        <x:v>253</x:v>
      </x:c>
      <x:c r="H35" s="31"/>
      <x:c r="I35" s="31"/>
      <x:c r="J35" s="31"/>
      <x:c r="K35" s="31"/>
    </x:row>
    <x:row r="36" ht="15" customHeight="1">
      <x:c r="A36" s="34" t="s">
        <x:v>257</x:v>
      </x:c>
      <x:c r="B36" s="5" t="s">
        <x:v>258</x:v>
      </x:c>
      <x:c r="C36" s="34" t="s">
        <x:v>259</x:v>
      </x:c>
      <x:c r="D36" s="15">
        <x:v>0</x:v>
      </x:c>
      <x:c r="E36" s="34" t="s">
        <x:v>216</x:v>
      </x:c>
      <x:c r="F36" s="34" t="s">
        <x:v>233</x:v>
      </x:c>
      <x:c r="G36" s="5" t="s">
        <x:v>253</x:v>
      </x:c>
      <x:c r="H36" s="31"/>
      <x:c r="I36" s="31"/>
      <x:c r="J36" s="31"/>
      <x:c r="K36" s="31"/>
    </x:row>
    <x:row r="37" ht="15" customHeight="1">
      <x:c r="A37" s="34" t="s">
        <x:v>260</x:v>
      </x:c>
      <x:c r="B37" s="7" t="s">
        <x:v>261</x:v>
      </x:c>
      <x:c r="C37" s="34" t="s">
        <x:v>262</x:v>
      </x:c>
      <x:c r="D37" s="21" t="n">
        <x:f>IF(COUNT(D32:D36)=0,"",SUM(D32:D36))</x:f>
        <x:v>1</x:v>
      </x:c>
      <x:c r="E37" s="34" t="s">
        <x:v>216</x:v>
      </x:c>
      <x:c r="F37" s="34" t="s">
        <x:v>263</x:v>
      </x:c>
      <x:c r="G37" s="5" t="s">
        <x:v>264</x:v>
      </x:c>
      <x:c r="H37" s="31"/>
      <x:c r="I37" s="31"/>
      <x:c r="J37" s="31"/>
      <x:c r="K37" s="31"/>
    </x:row>
    <x:row r="38" ht="15" customHeight="1">
      <x:c r="A38" s="35"/>
      <x:c r="B38" s="31"/>
      <x:c r="C38" s="35"/>
      <x:c r="D38" s="31"/>
      <x:c r="E38" s="35"/>
      <x:c r="F38" s="35"/>
      <x:c r="G38" s="36"/>
      <x:c r="H38" s="31"/>
      <x:c r="I38" s="31"/>
      <x:c r="J38" s="31"/>
      <x:c r="K38" s="31"/>
    </x:row>
    <x:row r="39" ht="22" customHeight="1">
      <x:c r="A39" s="112" t="s">
        <x:v>265</x:v>
      </x:c>
      <x:c r="B39" s="116"/>
      <x:c r="C39" s="112"/>
      <x:c r="D39" s="116"/>
      <x:c r="E39" s="112"/>
      <x:c r="F39" s="112"/>
      <x:c r="G39" s="117"/>
      <x:c r="H39" s="31"/>
      <x:c r="I39" s="31"/>
      <x:c r="J39" s="31"/>
      <x:c r="K39" s="31"/>
    </x:row>
    <x:row r="40" ht="15" customHeight="1">
      <x:c r="A40" s="34" t="s">
        <x:v>266</x:v>
      </x:c>
      <x:c r="B40" s="5" t="s">
        <x:v>267</x:v>
      </x:c>
      <x:c r="C40" s="34" t="s">
        <x:v>268</x:v>
      </x:c>
      <x:c r="D40" s="22" t="s">
        <x:v>110</x:v>
      </x:c>
      <x:c r="E40" s="34" t="s">
        <x:v>172</x:v>
      </x:c>
      <x:c r="F40" s="34" t="s">
        <x:v>173</x:v>
      </x:c>
      <x:c r="G40" s="5" t="s">
        <x:v>269</x:v>
      </x:c>
      <x:c r="H40" s="31"/>
      <x:c r="I40" s="31"/>
      <x:c r="J40" s="31"/>
      <x:c r="K40" s="31"/>
    </x:row>
    <x:row r="41" ht="24" customHeight="1">
      <x:c r="A41" s="34" t="s">
        <x:v>270</x:v>
      </x:c>
      <x:c r="B41" s="7" t="s">
        <x:v>271</x:v>
      </x:c>
      <x:c r="C41" s="34" t="s">
        <x:v>272</x:v>
      </x:c>
      <x:c r="D41" s="14">
        <x:v>0.3</x:v>
      </x:c>
      <x:c r="E41" s="34" t="s">
        <x:v>216</x:v>
      </x:c>
      <x:c r="F41" s="34" t="s">
        <x:v>173</x:v>
      </x:c>
      <x:c r="G41" s="5" t="s">
        <x:v>273</x:v>
      </x:c>
      <x:c r="H41" s="31"/>
      <x:c r="I41" s="31"/>
      <x:c r="J41" s="31"/>
      <x:c r="K41" s="31"/>
    </x:row>
    <x:row r="42">
      <x:c r="A42" s="34" t="s">
        <x:v>274</x:v>
      </x:c>
      <x:c r="B42" s="7" t="s">
        <x:v>275</x:v>
      </x:c>
      <x:c r="C42" s="34" t="s">
        <x:v>71</x:v>
      </x:c>
      <x:c r="D42" s="97" t="n">
        <x:f>IF(OR(D12="",D12=0,D43=""),"",D43/D12)</x:f>
        <x:v>2628</x:v>
      </x:c>
      <x:c r="E42" s="34" t="s">
        <x:v>276</x:v>
      </x:c>
      <x:c r="F42" s="34" t="s">
        <x:v>193</x:v>
      </x:c>
      <x:c r="G42" s="5"/>
      <x:c r="H42" s="31"/>
      <x:c r="I42" s="31"/>
      <x:c r="J42" s="31"/>
      <x:c r="K42" s="31"/>
    </x:row>
    <x:row r="43" ht="15" customHeight="1">
      <x:c r="A43" s="34" t="s">
        <x:v>277</x:v>
      </x:c>
      <x:c r="B43" s="7" t="s">
        <x:v>278</x:v>
      </x:c>
      <x:c r="C43" s="34" t="s">
        <x:v>279</x:v>
      </x:c>
      <x:c r="D43" s="100" t="n">
        <x:f>IF(OR(D12="",D41=""),"",D12*8760*D41)</x:f>
        <x:v>473040</x:v>
      </x:c>
      <x:c r="E43" s="34" t="s">
        <x:v>280</x:v>
      </x:c>
      <x:c r="F43" s="34" t="s">
        <x:v>193</x:v>
      </x:c>
      <x:c r="G43" s="5" t="s">
        <x:v>281</x:v>
      </x:c>
      <x:c r="H43" s="31"/>
      <x:c r="I43" s="31"/>
      <x:c r="J43" s="31"/>
      <x:c r="K43" s="31"/>
    </x:row>
    <x:row r="44" ht="24" customHeight="1">
      <x:c r="A44" s="34" t="s">
        <x:v>282</x:v>
      </x:c>
      <x:c r="B44" s="7" t="s">
        <x:v>283</x:v>
      </x:c>
      <x:c r="C44" s="34" t="s">
        <x:v>284</x:v>
      </x:c>
      <x:c r="D44" s="24">
        <x:v>2E-3</x:v>
      </x:c>
      <x:c r="E44" s="34" t="s">
        <x:v>285</x:v>
      </x:c>
      <x:c r="F44" s="34" t="s">
        <x:v>173</x:v>
      </x:c>
      <x:c r="G44" s="5" t="s">
        <x:v>286</x:v>
      </x:c>
      <x:c r="H44" s="31"/>
      <x:c r="I44" s="31"/>
      <x:c r="J44" s="31"/>
      <x:c r="K44" s="31"/>
    </x:row>
    <x:row r="45" ht="15" customHeight="1">
      <x:c r="A45" s="34" t="s">
        <x:v>287</x:v>
      </x:c>
      <x:c r="B45" s="5" t="s">
        <x:v>288</x:v>
      </x:c>
      <x:c r="C45" s="34" t="s">
        <x:v>289</x:v>
      </x:c>
      <x:c r="D45" s="98">
        <x:v>1807.4</x:v>
      </x:c>
      <x:c r="E45" s="34" t="s">
        <x:v>290</x:v>
      </x:c>
      <x:c r="F45" s="34" t="s">
        <x:v>173</x:v>
      </x:c>
      <x:c r="G45" s="5" t="s">
        <x:v>291</x:v>
      </x:c>
      <x:c r="H45" s="31"/>
      <x:c r="I45" s="31"/>
      <x:c r="J45" s="31"/>
      <x:c r="K45" s="31"/>
    </x:row>
    <x:row r="46" ht="15" customHeight="1">
      <x:c r="A46" s="34" t="s">
        <x:v>292</x:v>
      </x:c>
      <x:c r="B46" s="5" t="s">
        <x:v>293</x:v>
      </x:c>
      <x:c r="C46" s="34" t="s">
        <x:v>294</x:v>
      </x:c>
      <x:c r="D46" s="23">
        <x:v>0.02</x:v>
      </x:c>
      <x:c r="E46" s="34" t="s">
        <x:v>285</x:v>
      </x:c>
      <x:c r="F46" s="34" t="s">
        <x:v>173</x:v>
      </x:c>
      <x:c r="G46" s="5" t="s">
        <x:v>295</x:v>
      </x:c>
      <x:c r="H46" s="31"/>
      <x:c r="I46" s="31"/>
      <x:c r="J46" s="31"/>
      <x:c r="K46" s="31"/>
    </x:row>
    <x:row r="47" ht="15" customHeight="1">
      <x:c r="A47" s="34" t="s">
        <x:v>296</x:v>
      </x:c>
      <x:c r="B47" s="7" t="s">
        <x:v>297</x:v>
      </x:c>
      <x:c r="C47" s="34" t="s">
        <x:v>298</x:v>
      </x:c>
      <x:c r="D47" s="99" t="n">
        <x:f>IF(OR(D43="",D45=""),"",D43*1000*D45/1000000000+IF(D48="",0,D48))</x:f>
        <x:v>854.972496</x:v>
      </x:c>
      <x:c r="E47" s="34" t="s">
        <x:v>207</x:v>
      </x:c>
      <x:c r="F47" s="34" t="s">
        <x:v>193</x:v>
      </x:c>
      <x:c r="G47" s="5" t="s">
        <x:v>299</x:v>
      </x:c>
      <x:c r="H47" s="31"/>
      <x:c r="I47" s="31"/>
      <x:c r="J47" s="31"/>
      <x:c r="K47" s="31"/>
    </x:row>
    <x:row r="48" ht="15" customHeight="1">
      <x:c r="A48" s="35" t="s">
        <x:v>300</x:v>
      </x:c>
      <x:c r="B48" s="31" t="s">
        <x:v>301</x:v>
      </x:c>
      <x:c r="C48" s="35" t="s">
        <x:v>302</x:v>
      </x:c>
      <x:c r="D48" s="101">
        <x:v>0</x:v>
      </x:c>
      <x:c r="E48" s="35" t="s">
        <x:v>303</x:v>
      </x:c>
      <x:c r="F48" s="35" t="s">
        <x:v>233</x:v>
      </x:c>
      <x:c r="G48" s="36" t="s">
        <x:v>304</x:v>
      </x:c>
      <x:c r="H48" s="31"/>
      <x:c r="I48" s="31"/>
      <x:c r="J48" s="31"/>
      <x:c r="K48" s="31"/>
    </x:row>
    <x:row r="49" ht="22" customHeight="1">
      <x:c r="A49" s="112" t="s">
        <x:v>305</x:v>
      </x:c>
      <x:c r="B49" s="116"/>
      <x:c r="C49" s="112"/>
      <x:c r="D49" s="116"/>
      <x:c r="E49" s="112"/>
      <x:c r="F49" s="112"/>
      <x:c r="G49" s="117"/>
      <x:c r="H49" s="31"/>
      <x:c r="I49" s="31"/>
      <x:c r="J49" s="31"/>
      <x:c r="K49" s="31"/>
    </x:row>
    <x:row r="50" ht="15" customHeight="1">
      <x:c r="A50" s="34" t="s">
        <x:v>306</x:v>
      </x:c>
      <x:c r="B50" s="7" t="s">
        <x:v>307</x:v>
      </x:c>
      <x:c r="C50" s="34" t="s">
        <x:v>308</x:v>
      </x:c>
      <x:c r="D50" s="24">
        <x:v>0.02</x:v>
      </x:c>
      <x:c r="E50" s="34" t="s">
        <x:v>309</x:v>
      </x:c>
      <x:c r="F50" s="34" t="s">
        <x:v>173</x:v>
      </x:c>
      <x:c r="G50" s="5" t="s">
        <x:v>310</x:v>
      </x:c>
      <x:c r="H50" s="31"/>
      <x:c r="I50" s="31"/>
      <x:c r="J50" s="31"/>
      <x:c r="K50" s="31"/>
    </x:row>
    <x:row r="51" ht="15" customHeight="1">
      <x:c r="A51" s="34" t="s">
        <x:v>311</x:v>
      </x:c>
      <x:c r="B51" s="5" t="s">
        <x:v>312</x:v>
      </x:c>
      <x:c r="C51" s="34" t="s">
        <x:v>313</x:v>
      </x:c>
      <x:c r="D51" s="23">
        <x:v>0.02</x:v>
      </x:c>
      <x:c r="E51" s="34" t="s">
        <x:v>285</x:v>
      </x:c>
      <x:c r="F51" s="34" t="s">
        <x:v>173</x:v>
      </x:c>
      <x:c r="G51" s="5" t="s">
        <x:v>314</x:v>
      </x:c>
      <x:c r="H51" s="31"/>
      <x:c r="I51" s="31"/>
      <x:c r="J51" s="31"/>
      <x:c r="K51" s="31"/>
    </x:row>
    <x:row r="52" ht="15" customHeight="1">
      <x:c r="A52" s="34" t="s">
        <x:v>315</x:v>
      </x:c>
      <x:c r="B52" s="7" t="s">
        <x:v>316</x:v>
      </x:c>
      <x:c r="C52" s="34" t="s">
        <x:v>317</x:v>
      </x:c>
      <x:c r="D52" s="12" t="n">
        <x:f>IF(OR(D47="",D21="",D50=""),"",D47-D21*D50)</x:f>
        <x:v>732.672496</x:v>
      </x:c>
      <x:c r="E52" s="34" t="s">
        <x:v>207</x:v>
      </x:c>
      <x:c r="F52" s="34" t="s">
        <x:v>193</x:v>
      </x:c>
      <x:c r="G52" s="5" t="s">
        <x:v>318</x:v>
      </x:c>
      <x:c r="H52" s="31"/>
      <x:c r="I52" s="31"/>
      <x:c r="J52" s="31"/>
      <x:c r="K52" s="31"/>
    </x:row>
    <x:row r="53" ht="15" customHeight="1">
      <x:c r="A53" s="35"/>
      <x:c r="B53" s="31"/>
      <x:c r="C53" s="35"/>
      <x:c r="D53" s="31"/>
      <x:c r="E53" s="35"/>
      <x:c r="F53" s="35"/>
      <x:c r="G53" s="36"/>
      <x:c r="H53" s="31"/>
      <x:c r="I53" s="31"/>
      <x:c r="J53" s="31"/>
      <x:c r="K53" s="31"/>
    </x:row>
    <x:row r="54" ht="22" customHeight="1">
      <x:c r="A54" s="112" t="s">
        <x:v>319</x:v>
      </x:c>
      <x:c r="B54" s="116"/>
      <x:c r="C54" s="112"/>
      <x:c r="D54" s="116"/>
      <x:c r="E54" s="112"/>
      <x:c r="F54" s="112"/>
      <x:c r="G54" s="117"/>
      <x:c r="H54" s="31"/>
      <x:c r="I54" s="31"/>
      <x:c r="J54" s="31"/>
      <x:c r="K54" s="31"/>
    </x:row>
    <x:row r="55" ht="15" customHeight="1">
      <x:c r="A55" s="34" t="s">
        <x:v>320</x:v>
      </x:c>
      <x:c r="B55" s="7" t="s">
        <x:v>321</x:v>
      </x:c>
      <x:c r="C55" s="34" t="s">
        <x:v>322</x:v>
      </x:c>
      <x:c r="D55" s="14">
        <x:v>0.7</x:v>
      </x:c>
      <x:c r="E55" s="34" t="s">
        <x:v>216</x:v>
      </x:c>
      <x:c r="F55" s="34" t="s">
        <x:v>173</x:v>
      </x:c>
      <x:c r="G55" s="5" t="s">
        <x:v>323</x:v>
      </x:c>
      <x:c r="H55" s="31"/>
      <x:c r="I55" s="31"/>
      <x:c r="J55" s="31"/>
      <x:c r="K55" s="31"/>
    </x:row>
    <x:row r="56" ht="15" customHeight="1">
      <x:c r="A56" s="34" t="s">
        <x:v>324</x:v>
      </x:c>
      <x:c r="B56" s="7" t="s">
        <x:v>325</x:v>
      </x:c>
      <x:c r="C56" s="34" t="s">
        <x:v>326</x:v>
      </x:c>
      <x:c r="D56" s="21" t="n">
        <x:f>IF(D55="","",1-D55)</x:f>
        <x:v>0.30000000000000004</x:v>
      </x:c>
      <x:c r="E56" s="34" t="s">
        <x:v>216</x:v>
      </x:c>
      <x:c r="F56" s="34" t="s">
        <x:v>193</x:v>
      </x:c>
      <x:c r="G56" s="5" t="s">
        <x:v>327</x:v>
      </x:c>
      <x:c r="H56" s="31"/>
      <x:c r="I56" s="31"/>
      <x:c r="J56" s="31"/>
      <x:c r="K56" s="31"/>
    </x:row>
    <x:row r="57" ht="15" customHeight="1">
      <x:c r="A57" s="34" t="s">
        <x:v>328</x:v>
      </x:c>
      <x:c r="B57" s="7" t="s">
        <x:v>329</x:v>
      </x:c>
      <x:c r="C57" s="34" t="s">
        <x:v>330</x:v>
      </x:c>
      <x:c r="D57" s="24">
        <x:v>0.1</x:v>
      </x:c>
      <x:c r="E57" s="34" t="s">
        <x:v>285</x:v>
      </x:c>
      <x:c r="F57" s="34" t="s">
        <x:v>173</x:v>
      </x:c>
      <x:c r="G57" s="5" t="s">
        <x:v>331</x:v>
      </x:c>
      <x:c r="H57" s="31"/>
      <x:c r="I57" s="31"/>
      <x:c r="J57" s="31"/>
      <x:c r="K57" s="31"/>
    </x:row>
    <x:row r="58" ht="15" customHeight="1">
      <x:c r="A58" s="34" t="s">
        <x:v>332</x:v>
      </x:c>
      <x:c r="B58" s="7" t="s">
        <x:v>333</x:v>
      </x:c>
      <x:c r="C58" s="34" t="s">
        <x:v>334</x:v>
      </x:c>
      <x:c r="D58" s="10">
        <x:v>12</x:v>
      </x:c>
      <x:c r="E58" s="34" t="s">
        <x:v>160</x:v>
      </x:c>
      <x:c r="F58" s="34" t="s">
        <x:v>173</x:v>
      </x:c>
      <x:c r="G58" s="5" t="s">
        <x:v>335</x:v>
      </x:c>
      <x:c r="H58" s="31"/>
      <x:c r="I58" s="31"/>
      <x:c r="J58" s="31"/>
      <x:c r="K58" s="31"/>
    </x:row>
    <x:row r="59" ht="15" customHeight="1">
      <x:c r="A59" s="34" t="s">
        <x:v>336</x:v>
      </x:c>
      <x:c r="B59" s="5" t="s">
        <x:v>337</x:v>
      </x:c>
      <x:c r="C59" s="34" t="s">
        <x:v>338</x:v>
      </x:c>
      <x:c r="D59" s="16">
        <x:v>2</x:v>
      </x:c>
      <x:c r="E59" s="34" t="s">
        <x:v>160</x:v>
      </x:c>
      <x:c r="F59" s="34" t="s">
        <x:v>173</x:v>
      </x:c>
      <x:c r="G59" s="5" t="s">
        <x:v>339</x:v>
      </x:c>
      <x:c r="H59" s="31"/>
      <x:c r="I59" s="31"/>
      <x:c r="J59" s="31"/>
      <x:c r="K59" s="31"/>
    </x:row>
    <x:row r="60" ht="15" customHeight="1">
      <x:c r="A60" s="34" t="s">
        <x:v>340</x:v>
      </x:c>
      <x:c r="B60" s="5" t="s">
        <x:v>341</x:v>
      </x:c>
      <x:c r="C60" s="34" t="s">
        <x:v>342</x:v>
      </x:c>
      <x:c r="D60" s="22" t="s">
        <x:v>343</x:v>
      </x:c>
      <x:c r="E60" s="34" t="s">
        <x:v>172</x:v>
      </x:c>
      <x:c r="F60" s="34" t="s">
        <x:v>173</x:v>
      </x:c>
      <x:c r="G60" s="5" t="s">
        <x:v>344</x:v>
      </x:c>
      <x:c r="H60" s="31"/>
      <x:c r="I60" s="31"/>
      <x:c r="J60" s="31"/>
      <x:c r="K60" s="31"/>
    </x:row>
    <x:row r="61" ht="15" customHeight="1">
      <x:c r="A61" s="34" t="s">
        <x:v>345</x:v>
      </x:c>
      <x:c r="B61" s="5" t="s">
        <x:v>346</x:v>
      </x:c>
      <x:c r="C61" s="34" t="s">
        <x:v>347</x:v>
      </x:c>
      <x:c r="D61" s="23">
        <x:v>0.01</x:v>
      </x:c>
      <x:c r="E61" s="34" t="s">
        <x:v>348</x:v>
      </x:c>
      <x:c r="F61" s="34" t="s">
        <x:v>233</x:v>
      </x:c>
      <x:c r="G61" s="5" t="s">
        <x:v>349</x:v>
      </x:c>
      <x:c r="H61" s="31"/>
      <x:c r="I61" s="31"/>
      <x:c r="J61" s="31"/>
      <x:c r="K61" s="31"/>
    </x:row>
    <x:row r="62" ht="15" customHeight="1">
      <x:c r="A62" s="34" t="s">
        <x:v>350</x:v>
      </x:c>
      <x:c r="B62" s="5" t="s">
        <x:v>351</x:v>
      </x:c>
      <x:c r="C62" s="34" t="s">
        <x:v>352</x:v>
      </x:c>
      <x:c r="D62" s="25">
        <x:v>1.2</x:v>
      </x:c>
      <x:c r="E62" s="34" t="s">
        <x:v>353</x:v>
      </x:c>
      <x:c r="F62" s="34" t="s">
        <x:v>233</x:v>
      </x:c>
      <x:c r="G62" s="5" t="s">
        <x:v>354</x:v>
      </x:c>
      <x:c r="H62" s="31"/>
      <x:c r="I62" s="31"/>
      <x:c r="J62" s="31"/>
      <x:c r="K62" s="31"/>
    </x:row>
    <x:row r="63" ht="15" customHeight="1">
      <x:c r="A63" s="34" t="s">
        <x:v>355</x:v>
      </x:c>
      <x:c r="B63" s="7" t="s">
        <x:v>356</x:v>
      </x:c>
      <x:c r="C63" s="34" t="s">
        <x:v>357</x:v>
      </x:c>
      <x:c r="D63" s="12" t="n">
        <x:f>IF(OR(D26="",D55=""),"",D26*D55)</x:f>
        <x:v>4280.5</x:v>
      </x:c>
      <x:c r="E63" s="34" t="s">
        <x:v>207</x:v>
      </x:c>
      <x:c r="F63" s="34" t="s">
        <x:v>193</x:v>
      </x:c>
      <x:c r="G63" s="5" t="s">
        <x:v>358</x:v>
      </x:c>
      <x:c r="H63" s="31"/>
      <x:c r="I63" s="31"/>
      <x:c r="J63" s="31"/>
      <x:c r="K63" s="31"/>
    </x:row>
    <x:row r="64" ht="15" customHeight="1">
      <x:c r="A64" s="34" t="s">
        <x:v>359</x:v>
      </x:c>
      <x:c r="B64" s="7" t="s">
        <x:v>360</x:v>
      </x:c>
      <x:c r="C64" s="34" t="s">
        <x:v>361</x:v>
      </x:c>
      <x:c r="D64" s="12" t="n">
        <x:f>IF(OR(D26="",D63=""),"",D26-D63)</x:f>
        <x:v>1834.5</x:v>
      </x:c>
      <x:c r="E64" s="34" t="s">
        <x:v>207</x:v>
      </x:c>
      <x:c r="F64" s="34" t="s">
        <x:v>193</x:v>
      </x:c>
      <x:c r="G64" s="5" t="s">
        <x:v>362</x:v>
      </x:c>
      <x:c r="H64" s="31"/>
      <x:c r="I64" s="31"/>
      <x:c r="J64" s="31"/>
      <x:c r="K64" s="31"/>
    </x:row>
    <x:row r="65" ht="15" customHeight="1">
      <x:c r="A65" s="35"/>
      <x:c r="B65" s="31"/>
      <x:c r="C65" s="35"/>
      <x:c r="D65" s="31"/>
      <x:c r="E65" s="35"/>
      <x:c r="F65" s="35"/>
      <x:c r="G65" s="36"/>
      <x:c r="H65" s="31"/>
      <x:c r="I65" s="31"/>
      <x:c r="J65" s="31"/>
      <x:c r="K65" s="31"/>
    </x:row>
    <x:row r="66" ht="22" customHeight="1">
      <x:c r="A66" s="112" t="s">
        <x:v>363</x:v>
      </x:c>
      <x:c r="B66" s="116"/>
      <x:c r="C66" s="112"/>
      <x:c r="D66" s="116"/>
      <x:c r="E66" s="112"/>
      <x:c r="F66" s="112"/>
      <x:c r="G66" s="117"/>
      <x:c r="H66" s="31"/>
      <x:c r="I66" s="31"/>
      <x:c r="J66" s="31"/>
      <x:c r="K66" s="31"/>
    </x:row>
    <x:row r="67" ht="15" customHeight="1">
      <x:c r="A67" s="34" t="s">
        <x:v>364</x:v>
      </x:c>
      <x:c r="B67" s="7" t="s">
        <x:v>365</x:v>
      </x:c>
      <x:c r="C67" s="34" t="s">
        <x:v>366</x:v>
      </x:c>
      <x:c r="D67" s="14">
        <x:v>0.2</x:v>
      </x:c>
      <x:c r="E67" s="34" t="s">
        <x:v>216</x:v>
      </x:c>
      <x:c r="F67" s="34" t="s">
        <x:v>173</x:v>
      </x:c>
      <x:c r="G67" s="5" t="s">
        <x:v>367</x:v>
      </x:c>
      <x:c r="H67" s="31"/>
      <x:c r="I67" s="31"/>
      <x:c r="J67" s="31"/>
      <x:c r="K67" s="31"/>
    </x:row>
    <x:row r="68" ht="24" customHeight="1">
      <x:c r="A68" s="34" t="s">
        <x:v>368</x:v>
      </x:c>
      <x:c r="B68" s="5" t="s">
        <x:v>369</x:v>
      </x:c>
      <x:c r="C68" s="34" t="s">
        <x:v>370</x:v>
      </x:c>
      <x:c r="D68" s="15">
        <x:v>0.1</x:v>
      </x:c>
      <x:c r="E68" s="34" t="s">
        <x:v>216</x:v>
      </x:c>
      <x:c r="F68" s="34" t="s">
        <x:v>233</x:v>
      </x:c>
      <x:c r="G68" s="5" t="s">
        <x:v>371</x:v>
      </x:c>
      <x:c r="H68" s="31"/>
      <x:c r="I68" s="31"/>
      <x:c r="J68" s="31"/>
      <x:c r="K68" s="31"/>
    </x:row>
    <x:row r="69" ht="15" customHeight="1">
      <x:c r="A69" s="34" t="s">
        <x:v>372</x:v>
      </x:c>
      <x:c r="B69" s="5" t="s">
        <x:v>373</x:v>
      </x:c>
      <x:c r="C69" s="34" t="s">
        <x:v>374</x:v>
      </x:c>
      <x:c r="D69" s="9">
        <x:v>15</x:v>
      </x:c>
      <x:c r="E69" s="34" t="s">
        <x:v>160</x:v>
      </x:c>
      <x:c r="F69" s="34" t="s">
        <x:v>233</x:v>
      </x:c>
      <x:c r="G69" s="5" t="s">
        <x:v>375</x:v>
      </x:c>
      <x:c r="H69" s="31"/>
      <x:c r="I69" s="31"/>
      <x:c r="J69" s="31"/>
      <x:c r="K69" s="31"/>
    </x:row>
    <x:row r="70" ht="15" customHeight="1">
      <x:c r="A70" s="34" t="s">
        <x:v>376</x:v>
      </x:c>
      <x:c r="B70" s="5" t="s">
        <x:v>377</x:v>
      </x:c>
      <x:c r="C70" s="34" t="s">
        <x:v>378</x:v>
      </x:c>
      <x:c r="D70" s="9">
        <x:v>4</x:v>
      </x:c>
      <x:c r="E70" s="34" t="s">
        <x:v>160</x:v>
      </x:c>
      <x:c r="F70" s="34" t="s">
        <x:v>233</x:v>
      </x:c>
      <x:c r="G70" s="5" t="s">
        <x:v>379</x:v>
      </x:c>
      <x:c r="H70" s="31"/>
      <x:c r="I70" s="31"/>
      <x:c r="J70" s="31"/>
      <x:c r="K70" s="31"/>
    </x:row>
    <x:row r="71" ht="15" customHeight="1">
      <x:c r="A71" s="34" t="s">
        <x:v>380</x:v>
      </x:c>
      <x:c r="B71" s="5" t="s">
        <x:v>381</x:v>
      </x:c>
      <x:c r="C71" s="34" t="s">
        <x:v>382</x:v>
      </x:c>
      <x:c r="D71" s="9">
        <x:v>9</x:v>
      </x:c>
      <x:c r="E71" s="34" t="s">
        <x:v>160</x:v>
      </x:c>
      <x:c r="F71" s="34" t="s">
        <x:v>233</x:v>
      </x:c>
      <x:c r="G71" s="5" t="s">
        <x:v>383</x:v>
      </x:c>
      <x:c r="H71" s="31"/>
      <x:c r="I71" s="31"/>
      <x:c r="J71" s="31"/>
      <x:c r="K71" s="31"/>
    </x:row>
    <x:row r="72" ht="15" customHeight="1">
      <x:c r="A72" s="34" t="s">
        <x:v>384</x:v>
      </x:c>
      <x:c r="B72" s="7" t="s">
        <x:v>385</x:v>
      </x:c>
      <x:c r="C72" s="34" t="s">
        <x:v>386</x:v>
      </x:c>
      <x:c r="D72" s="10">
        <x:v>20</x:v>
      </x:c>
      <x:c r="E72" s="34" t="s">
        <x:v>160</x:v>
      </x:c>
      <x:c r="F72" s="34" t="s">
        <x:v>173</x:v>
      </x:c>
      <x:c r="G72" s="5" t="s">
        <x:v>387</x:v>
      </x:c>
      <x:c r="H72" s="31"/>
      <x:c r="I72" s="31"/>
      <x:c r="J72" s="31"/>
      <x:c r="K72" s="31"/>
    </x:row>
    <x:row r="73" ht="15" customHeight="1">
      <x:c r="A73" s="34" t="s">
        <x:v>388</x:v>
      </x:c>
      <x:c r="B73" s="5" t="s">
        <x:v>389</x:v>
      </x:c>
      <x:c r="C73" s="34" t="s">
        <x:v>390</x:v>
      </x:c>
      <x:c r="D73" s="9">
        <x:v>5</x:v>
      </x:c>
      <x:c r="E73" s="34" t="s">
        <x:v>160</x:v>
      </x:c>
      <x:c r="F73" s="34" t="s">
        <x:v>173</x:v>
      </x:c>
      <x:c r="G73" s="5" t="s">
        <x:v>391</x:v>
      </x:c>
      <x:c r="H73" s="31"/>
      <x:c r="I73" s="31"/>
      <x:c r="J73" s="31"/>
      <x:c r="K73" s="31"/>
    </x:row>
    <x:row r="74" ht="15" customHeight="1">
      <x:c r="A74" s="34" t="s">
        <x:v>392</x:v>
      </x:c>
      <x:c r="B74" s="7" t="s">
        <x:v>393</x:v>
      </x:c>
      <x:c r="C74" s="34" t="s">
        <x:v>394</x:v>
      </x:c>
      <x:c r="D74" s="24">
        <x:v>0.1</x:v>
      </x:c>
      <x:c r="E74" s="34" t="s">
        <x:v>285</x:v>
      </x:c>
      <x:c r="F74" s="34" t="s">
        <x:v>173</x:v>
      </x:c>
      <x:c r="G74" s="5" t="s">
        <x:v>395</x:v>
      </x:c>
      <x:c r="H74" s="31"/>
      <x:c r="I74" s="31"/>
      <x:c r="J74" s="31"/>
      <x:c r="K74" s="31"/>
    </x:row>
    <x:row r="75" ht="15" customHeight="1">
      <x:c r="A75" s="34" t="s">
        <x:v>396</x:v>
      </x:c>
      <x:c r="B75" s="7" t="s">
        <x:v>397</x:v>
      </x:c>
      <x:c r="C75" s="34" t="s">
        <x:v>398</x:v>
      </x:c>
      <x:c r="D75" s="24">
        <x:v>0.12</x:v>
      </x:c>
      <x:c r="E75" s="34" t="s">
        <x:v>285</x:v>
      </x:c>
      <x:c r="F75" s="34" t="s">
        <x:v>173</x:v>
      </x:c>
      <x:c r="G75" s="5" t="s">
        <x:v>399</x:v>
      </x:c>
      <x:c r="H75" s="31"/>
      <x:c r="I75" s="31"/>
      <x:c r="J75" s="31"/>
      <x:c r="K75" s="31"/>
    </x:row>
    <x:row r="76" ht="15" customHeight="1">
      <x:c r="A76" s="31"/>
      <x:c r="B76" s="31"/>
      <x:c r="C76" s="31"/>
      <x:c r="D76" s="31"/>
      <x:c r="E76" s="31"/>
      <x:c r="F76" s="31"/>
      <x:c r="G76" s="36"/>
      <x:c r="H76" s="31"/>
      <x:c r="I76" s="31"/>
      <x:c r="J76" s="31"/>
      <x:c r="K76" s="31"/>
    </x:row>
    <x:row r="77" ht="15" customHeight="1">
      <x:c r="A77" s="31"/>
      <x:c r="B77" s="31"/>
      <x:c r="C77" s="31"/>
      <x:c r="D77" s="31"/>
      <x:c r="E77" s="31"/>
      <x:c r="F77" s="31"/>
      <x:c r="G77" s="36"/>
      <x:c r="H77" s="31"/>
      <x:c r="I77" s="31"/>
      <x:c r="J77" s="31"/>
      <x:c r="K77" s="31"/>
    </x:row>
    <x:row r="78" ht="15" customHeight="1">
      <x:c r="A78" s="119" t="s">
        <x:v>400</x:v>
      </x:c>
      <x:c r="B78" s="119"/>
      <x:c r="C78" s="119"/>
      <x:c r="D78" s="119"/>
      <x:c r="E78" s="119"/>
      <x:c r="F78" s="119"/>
      <x:c r="G78" s="119"/>
      <x:c r="H78" s="31"/>
      <x:c r="I78" s="31"/>
      <x:c r="J78" s="31"/>
      <x:c r="K78" s="31"/>
    </x:row>
    <x:row r="79">
      <x:c r="A79" s="1"/>
      <x:c r="B79" s="1"/>
      <x:c r="C79" s="1"/>
      <x:c r="D79" s="1"/>
      <x:c r="E79" s="1"/>
      <x:c r="F79" s="1"/>
      <x:c r="G79" s="1"/>
      <x:c r="H79" s="1"/>
      <x:c r="I79" s="1"/>
      <x:c r="J79" s="1"/>
      <x:c r="K79" s="1"/>
    </x:row>
    <x:row r="80">
      <x:c r="A80" s="1"/>
      <x:c r="B80" s="1"/>
      <x:c r="C80" s="1"/>
      <x:c r="D80" s="1"/>
      <x:c r="E80" s="1"/>
      <x:c r="F80" s="1"/>
      <x:c r="G80" s="1"/>
      <x:c r="H80" s="1"/>
      <x:c r="I80" s="1"/>
      <x:c r="J80" s="1"/>
      <x:c r="K80" s="1"/>
    </x:row>
    <x:row r="81">
      <x:c r="A81" s="1"/>
      <x:c r="B81" s="1"/>
      <x:c r="C81" s="1"/>
      <x:c r="D81" s="1"/>
      <x:c r="E81" s="1"/>
      <x:c r="F81" s="1"/>
      <x:c r="G81" s="1"/>
      <x:c r="H81" s="1"/>
      <x:c r="I81" s="1"/>
      <x:c r="J81" s="1"/>
      <x:c r="K81" s="1"/>
    </x:row>
    <x:row r="82">
      <x:c r="A82" s="1"/>
      <x:c r="B82" s="1"/>
      <x:c r="C82" s="1"/>
      <x:c r="D82" s="1"/>
      <x:c r="E82" s="1"/>
      <x:c r="F82" s="1"/>
      <x:c r="G82" s="1"/>
      <x:c r="H82" s="1"/>
      <x:c r="I82" s="1"/>
      <x:c r="J82" s="1"/>
      <x:c r="K82" s="1"/>
    </x:row>
  </x:sheetData>
  <x:mergeCells>
    <x:mergeCell ref="M17:P17"/>
    <x:mergeCell ref="A49:G49"/>
    <x:mergeCell ref="A54:G54"/>
    <x:mergeCell ref="A66:G66"/>
    <x:mergeCell ref="A78:G78"/>
    <x:mergeCell ref="A39:G39"/>
    <x:mergeCell ref="I5:K5"/>
    <x:mergeCell ref="D7:G7"/>
    <x:mergeCell ref="A10:G10"/>
    <x:mergeCell ref="A20:G20"/>
    <x:mergeCell ref="A30:G30"/>
    <x:mergeCell ref="A1:G1"/>
    <x:mergeCell ref="A2:G2"/>
    <x:mergeCell ref="A3:G3"/>
    <x:mergeCell ref="A5:B5"/>
    <x:mergeCell ref="D6:G6"/>
    <x:mergeCell ref="I27:K27"/>
  </x:mergeCells>
  <x:conditionalFormatting sqref="D37:D37">
    <x:cfRule type="cellIs" dxfId="18" priority="2" operator="equal">
      <x:formula>1</x:formula>
    </x:cfRule>
    <x:cfRule type="cellIs" dxfId="17" priority="3" operator="notEqual">
      <x:formula>1</x:formula>
    </x:cfRule>
  </x:conditionalFormatting>
  <x:conditionalFormatting sqref="P18:P19">
    <x:cfRule type="cellIs" dxfId="14" priority="1" operator="lessThan">
      <x:formula>0</x:formula>
    </x:cfRule>
  </x:conditionalFormatting>
  <x:conditionalFormatting sqref="J25:J25">
    <x:cfRule type="containsText" dxfId="19" priority="4" operator="containsText" text="OK"/>
    <x:cfRule type="containsText" dxfId="20" priority="5" operator="containsText" text="CHƯA"/>
  </x:conditionalFormatting>
  <x:dataValidations count="8">
    <x:dataValidation type="list" sqref="D40">
      <x:formula1>"P50,P75,P90,Khác"</x:formula1>
    </x:dataValidation>
    <x:dataValidation type="list" sqref="D60">
      <x:formula1>"Gốc đều,Niên kim"</x:formula1>
    </x:dataValidation>
    <x:dataValidation type="decimal" sqref="D23:D24 D74:D75 D67:D68 D61 D57 D55 D51 D45 D43 D41 D32:D36">
      <x:formula1>0</x:formula1>
      <x:formula2>1</x:formula2>
    </x:dataValidation>
    <x:dataValidation type="decimal" sqref="D12">
      <x:formula1>0</x:formula1>
      <x:formula2>10000</x:formula2>
    </x:dataValidation>
    <x:dataValidation type="whole" sqref="D15">
      <x:formula1>1</x:formula1>
      <x:formula2>5</x:formula2>
    </x:dataValidation>
    <x:dataValidation type="whole" sqref="D17 D58">
      <x:formula1>1</x:formula1>
      <x:formula2>25</x:formula2>
    </x:dataValidation>
    <x:dataValidation type="whole" sqref="D58:D59 D69:D73">
      <x:formula1>0</x:formula1>
      <x:formula2>100</x:formula2>
    </x:dataValidation>
    <x:dataValidation type="decimal" operator="between" sqref="J28:J30">
      <x:formula1>0</x:formula1>
      <x:formula2>1000000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4"/>
  <x:cols>
    <x:col min="1" max="1" width="22" customWidth="1"/>
    <x:col min="2" max="2" width="31" customWidth="1"/>
    <x:col min="3" max="3" width="12" customWidth="1"/>
    <x:col min="4" max="4" width="23" customWidth="1"/>
    <x:col min="5" max="5" width="16" customWidth="1"/>
    <x:col min="6" max="6" width="13" customWidth="1"/>
    <x:col min="7" max="7" width="23" customWidth="1"/>
    <x:col min="8" max="8" width="16" customWidth="1"/>
  </x:cols>
  <x:sheetData>
    <x:row r="1" ht="30" customHeight="1">
      <x:c r="A1" s="109" t="s">
        <x:v>401</x:v>
      </x:c>
      <x:c r="B1" s="109"/>
      <x:c r="C1" s="109"/>
      <x:c r="D1" s="109"/>
      <x:c r="E1" s="109"/>
      <x:c r="F1" s="109"/>
      <x:c r="G1" s="109"/>
      <x:c r="H1" s="109"/>
    </x:row>
    <x:row r="2">
      <x:c r="A2" s="120" t="str">
        <x:f>Input!D11</x:f>
        <x:v>Dự án Nhà máy điện gió Vân Canh 2</x:v>
      </x:c>
      <x:c r="B2" s="120"/>
      <x:c r="C2" s="120"/>
      <x:c r="D2" s="120"/>
      <x:c r="E2" s="120"/>
      <x:c r="F2" s="120"/>
      <x:c r="G2" s="120"/>
      <x:c r="H2" s="120"/>
    </x:row>
    <x:row r="3">
      <x:c r="A3" s="121" t="str">
        <x:v>Phiên bản Ver1.7  |  Kịch bản cơ sở  |  Đơn vị: tỷ VND</x:v>
      </x:c>
      <x:c r="B3" s="121"/>
      <x:c r="C3" s="121"/>
      <x:c r="D3" s="121"/>
      <x:c r="E3" s="121"/>
      <x:c r="F3" s="121"/>
      <x:c r="G3" s="121"/>
      <x:c r="H3" s="121"/>
    </x:row>
    <x:row r="4">
      <x:c r="A4" s="1"/>
      <x:c r="B4" s="1"/>
      <x:c r="C4" s="1"/>
      <x:c r="D4" s="1"/>
      <x:c r="E4" s="1"/>
      <x:c r="F4" s="1"/>
      <x:c r="G4" s="1"/>
      <x:c r="H4" s="1"/>
    </x:row>
    <x:row r="5">
      <x:c r="A5" s="122" t="s">
        <x:v>402</x:v>
      </x:c>
      <x:c r="B5" s="122"/>
      <x:c r="C5" s="122"/>
      <x:c r="D5" s="122"/>
      <x:c r="E5" s="122"/>
      <x:c r="F5" s="122"/>
      <x:c r="G5" s="122"/>
      <x:c r="H5" s="122"/>
    </x:row>
    <x:row r="6">
      <x:c r="A6" s="1" t="s">
        <x:v>403</x:v>
      </x:c>
      <x:c r="B6" s="58" t="n">
        <x:f>Input!D12</x:f>
        <x:v>180</x:v>
      </x:c>
      <x:c r="C6" s="1" t="s">
        <x:v>95</x:v>
      </x:c>
      <x:c r="D6" s="1" t="s">
        <x:v>159</x:v>
      </x:c>
      <x:c r="E6" s="59" t="n">
        <x:f>Input!D16</x:f>
        <x:v>2027</x:v>
      </x:c>
      <x:c r="F6" s="1" t="s">
        <x:v>160</x:v>
      </x:c>
      <x:c r="G6" s="1" t="s">
        <x:v>196</x:v>
      </x:c>
      <x:c r="H6" s="59" t="n">
        <x:f>Input!D17</x:f>
        <x:v>20</x:v>
      </x:c>
    </x:row>
    <x:row r="7">
      <x:c r="A7" s="1" t="s">
        <x:v>404</x:v>
      </x:c>
      <x:c r="B7" s="60" t="n">
        <x:f>Input!D25</x:f>
        <x:v>6726.500000000001</x:v>
      </x:c>
      <x:c r="C7" s="1" t="s">
        <x:v>207</x:v>
      </x:c>
      <x:c r="D7" s="1" t="s">
        <x:v>405</x:v>
      </x:c>
      <x:c r="E7" s="61" t="n">
        <x:f>Input!D43</x:f>
        <x:v>473040</x:v>
      </x:c>
      <x:c r="F7" s="1" t="s">
        <x:v>98</x:v>
      </x:c>
      <x:c r="G7" s="1" t="s">
        <x:v>406</x:v>
      </x:c>
      <x:c r="H7" s="62" t="n">
        <x:f>Input!D45</x:f>
        <x:v>1807.4</x:v>
      </x:c>
    </x:row>
    <x:row r="8">
      <x:c r="A8" s="1" t="s">
        <x:v>321</x:v>
      </x:c>
      <x:c r="B8" s="63" t="n">
        <x:f>Input!D55</x:f>
        <x:v>0.7</x:v>
      </x:c>
      <x:c r="C8" s="1" t="s">
        <x:v>216</x:v>
      </x:c>
      <x:c r="D8" s="1" t="s">
        <x:v>329</x:v>
      </x:c>
      <x:c r="E8" s="63" t="n">
        <x:f>Input!D57</x:f>
        <x:v>0.1</x:v>
      </x:c>
      <x:c r="F8" s="1" t="s">
        <x:v>285</x:v>
      </x:c>
      <x:c r="G8" s="1" t="s">
        <x:v>333</x:v>
      </x:c>
      <x:c r="H8" s="59" t="n">
        <x:f>Input!D58</x:f>
        <x:v>12</x:v>
      </x:c>
    </x:row>
    <x:row r="9">
      <x:c r="A9" s="1"/>
      <x:c r="B9" s="1"/>
      <x:c r="C9" s="1"/>
      <x:c r="D9" s="1"/>
      <x:c r="E9" s="1"/>
      <x:c r="F9" s="1"/>
      <x:c r="G9" s="1"/>
      <x:c r="H9" s="1"/>
    </x:row>
    <x:row r="10">
      <x:c r="A10" s="122" t="s">
        <x:v>407</x:v>
      </x:c>
      <x:c r="B10" s="122"/>
      <x:c r="C10" s="122"/>
      <x:c r="D10" s="122"/>
      <x:c r="E10" s="122"/>
      <x:c r="F10" s="122"/>
      <x:c r="G10" s="122"/>
      <x:c r="H10" s="122"/>
    </x:row>
    <x:row r="11">
      <x:c r="A11" s="1" t="s">
        <x:v>130</x:v>
      </x:c>
      <x:c r="B11" s="63" t="n">
        <x:f>Project_CF!C34</x:f>
        <x:v>0.10716004078868951</x:v>
      </x:c>
      <x:c r="C11" s="1" t="s">
        <x:v>216</x:v>
      </x:c>
      <x:c r="D11" s="1" t="s">
        <x:v>134</x:v>
      </x:c>
      <x:c r="E11" s="60" t="n">
        <x:f>Project_CF!C35</x:f>
        <x:v>319.6386934719256</x:v>
      </x:c>
      <x:c r="F11" s="1" t="s">
        <x:v>207</x:v>
      </x:c>
      <x:c r="G11" s="1" t="s">
        <x:v>408</x:v>
      </x:c>
      <x:c r="H11" s="59" t="n">
        <x:f>Project_CF!C37</x:f>
        <x:v>9</x:v>
      </x:c>
    </x:row>
    <x:row r="12">
      <x:c r="A12" s="1" t="s">
        <x:v>63</x:v>
      </x:c>
      <x:c r="B12" s="63" t="n">
        <x:f>Equity_CF!C27</x:f>
        <x:v>0.10376946291662054</x:v>
      </x:c>
      <x:c r="C12" s="1" t="s">
        <x:v>216</x:v>
      </x:c>
      <x:c r="D12" s="1" t="s">
        <x:v>67</x:v>
      </x:c>
      <x:c r="E12" s="60" t="n">
        <x:f>Equity_CF!C28</x:f>
        <x:v>-386.64177237390413</x:v>
      </x:c>
      <x:c r="F12" s="1" t="s">
        <x:v>207</x:v>
      </x:c>
      <x:c r="G12" s="1" t="s">
        <x:v>409</x:v>
      </x:c>
      <x:c r="H12" s="59" t="n">
        <x:f>Equity_CF!C30</x:f>
        <x:v>13</x:v>
      </x:c>
    </x:row>
    <x:row r="13">
      <x:c r="A13" s="1" t="s">
        <x:v>410</x:v>
      </x:c>
      <x:c r="B13" s="64" t="n">
        <x:f>Debt!C31</x:f>
        <x:v>0.9336281819243717</x:v>
      </x:c>
      <x:c r="C13" s="1" t="s">
        <x:v>353</x:v>
      </x:c>
      <x:c r="D13" s="1" t="s">
        <x:v>411</x:v>
      </x:c>
      <x:c r="E13" s="64" t="n">
        <x:f>Debt!C32</x:f>
        <x:v>2.3178143182226947</x:v>
      </x:c>
      <x:c r="F13" s="1" t="s">
        <x:v>353</x:v>
      </x:c>
      <x:c r="G13" s="1" t="s">
        <x:v>91</x:v>
      </x:c>
      <x:c r="H13" s="64" t="n">
        <x:f>Debt!C33</x:f>
        <x:v>1.2398869372679175</x:v>
      </x:c>
    </x:row>
    <x:row r="14">
      <x:c r="A14" s="1" t="s">
        <x:v>87</x:v>
      </x:c>
      <x:c r="B14" s="62" t="n">
        <x:f>Project_CF!C38</x:f>
        <x:v>1913.920845794192</x:v>
      </x:c>
      <x:c r="C14" s="1" t="s">
        <x:v>290</x:v>
      </x:c>
      <x:c r="D14" s="1" t="s">
        <x:v>412</x:v>
      </x:c>
      <x:c r="E14" s="62" t="n">
        <x:f>Project_CF!C39</x:f>
        <x:v>1675.0003797224717</x:v>
      </x:c>
      <x:c r="F14" s="1" t="s">
        <x:v>290</x:v>
      </x:c>
      <x:c r="G14" s="1" t="s">
        <x:v>413</x:v>
      </x:c>
      <x:c r="H14" s="63" t="n">
        <x:f>IF(Input!D47=0,0,Input!D52/Input!D47)</x:f>
        <x:v>0.8569544627784144</x:v>
      </x:c>
    </x:row>
    <x:row r="15">
      <x:c r="A15" s="1" t="s">
        <x:v>414</x:v>
      </x:c>
      <x:c r="B15" s="60" t="n">
        <x:f>Debt!C29</x:f>
        <x:v>3167.5699999999993</x:v>
      </x:c>
      <x:c r="C15" s="1" t="s">
        <x:v>207</x:v>
      </x:c>
      <x:c r="D15" s="1" t="s">
        <x:v>415</x:v>
      </x:c>
      <x:c r="E15" s="60" t="n">
        <x:f>Income_Statement!C26</x:f>
        <x:v>950.6968419929503</x:v>
      </x:c>
      <x:c r="F15" s="1" t="s">
        <x:v>207</x:v>
      </x:c>
      <x:c r="G15" s="1" t="s">
        <x:v>416</x:v>
      </x:c>
      <x:c r="H15" s="60" t="n">
        <x:f>Equity_CF!C31</x:f>
        <x:v>2632.9556979718404</x:v>
      </x:c>
    </x:row>
    <x:row r="16">
      <x:c r="A16" s="1" t="s">
        <x:v>417</x:v>
      </x:c>
      <x:c r="B16" s="60" t="n">
        <x:f>Input!D52</x:f>
        <x:v>732.672496</x:v>
      </x:c>
      <x:c r="C16" s="1" t="s">
        <x:v>207</x:v>
      </x:c>
      <x:c r="D16" s="1" t="s">
        <x:v>418</x:v>
      </x:c>
      <x:c r="E16" s="60" t="n">
        <x:f>Input!D47</x:f>
        <x:v>854.972496</x:v>
      </x:c>
      <x:c r="F16" s="1" t="s">
        <x:v>207</x:v>
      </x:c>
      <x:c r="G16" s="1" t="s">
        <x:v>419</x:v>
      </x:c>
      <x:c r="H16" s="60" t="n">
        <x:f>E12-E11</x:f>
        <x:v>-706.2804658458297</x:v>
      </x:c>
    </x:row>
    <x:row r="17">
      <x:c r="A17" s="1"/>
      <x:c r="B17" s="1"/>
      <x:c r="C17" s="1"/>
      <x:c r="D17" s="1"/>
      <x:c r="E17" s="1"/>
      <x:c r="F17" s="1"/>
      <x:c r="G17" s="1"/>
      <x:c r="H17" s="1"/>
    </x:row>
    <x:row r="18" ht="18" customHeight="1">
      <x:c r="A18" s="125" t="s">
        <x:v>420</x:v>
      </x:c>
      <x:c r="B18" s="125"/>
      <x:c r="C18" s="125"/>
      <x:c r="D18" s="125"/>
      <x:c r="E18" s="125"/>
      <x:c r="F18" s="125"/>
      <x:c r="G18" s="125"/>
      <x:c r="H18" s="125"/>
    </x:row>
    <x:row r="19" ht="18" customHeight="1">
      <x:c r="A19" s="80" t="s">
        <x:v>421</x:v>
      </x:c>
      <x:c r="B19" s="80" t="s">
        <x:v>164</x:v>
      </x:c>
      <x:c r="C19" s="80" t="s">
        <x:v>422</x:v>
      </x:c>
      <x:c r="D19" s="80" t="s">
        <x:v>164</x:v>
      </x:c>
      <x:c r="E19" s="80" t="s">
        <x:v>423</x:v>
      </x:c>
      <x:c r="F19" s="80" t="s">
        <x:v>164</x:v>
      </x:c>
      <x:c r="G19" s="80" t="s">
        <x:v>424</x:v>
      </x:c>
      <x:c r="H19" s="80" t="s">
        <x:v>425</x:v>
      </x:c>
    </x:row>
    <x:row r="20" ht="36" customHeight="1">
      <x:c r="A20" s="83" t="s">
        <x:v>426</x:v>
      </x:c>
      <x:c r="B20" s="84" t="str">
        <x:f>IF(AND(B11&gt;=Input!D79,E11&gt;=0),"ĐẠT","KHÔNG ĐẠT")</x:f>
        <x:v>ĐẠT</x:v>
      </x:c>
      <x:c r="C20" s="82" t="s">
        <x:v>427</x:v>
      </x:c>
      <x:c r="D20" s="81" t="str">
        <x:f>IF(AND(B12&gt;=Input!D80,E12&gt;=0),"ĐẠT","KHÔNG ĐẠT")</x:f>
        <x:v>KHÔNG ĐẠT</x:v>
      </x:c>
      <x:c r="E20" s="82" t="s">
        <x:v>428</x:v>
      </x:c>
      <x:c r="F20" s="81" t="str">
        <x:f>IF(B13&gt;=Input!D62,"ĐẠT","KHÔNG ĐẠT")</x:f>
        <x:v>KHÔNG ĐẠT</x:v>
      </x:c>
      <x:c r="G20" s="81" t="str">
        <x:f>IF(COUNTIF(B20:F20,"KHÔNG ĐẠT")=0,"ĐẠT","KHÔNG ĐẠT")</x:f>
        <x:v>KHÔNG ĐẠT</x:v>
      </x:c>
      <x:c r="H20" s="81" t="n">
        <x:f>COUNTIF(B20:F20,"KHÔNG ĐẠT")</x:f>
        <x:v>2</x:v>
      </x:c>
    </x:row>
    <x:row r="21" ht="30" customHeight="1">
      <x:c r="A21" s="126" t="str">
        <x:f>IF(H20=0,"DỰ ÁN HIỆU QUẢ",IF(H20=1,"DỰ ÁN CẦN XEM XÉT","DỰ ÁN KHÔNG HIỆU QUẢ / CHƯA ĐẠT YÊU CẦU ĐẦU TƯ"))</x:f>
        <x:v>DỰ ÁN KHÔNG HIỆU QUẢ / CHƯA ĐẠT YÊU CẦU ĐẦU TƯ</x:v>
      </x:c>
      <x:c r="B21" s="127"/>
      <x:c r="C21" s="127"/>
      <x:c r="D21" s="127"/>
      <x:c r="E21" s="127"/>
      <x:c r="F21" s="127"/>
      <x:c r="G21" s="127"/>
      <x:c r="H21" s="128"/>
    </x:row>
    <x:row r="22" ht="26" customHeight="1">
      <x:c r="A22" s="129" t="str">
        <x:f>IF(H20=0,"Các chỉ tiêu Project, Equity và DSCR đều đạt ngưỡng yêu cầu.",IF(H20=1,"Có một nhóm chỉ tiêu trọng yếu chưa đạt; cần rà soát giả định và điều kiện đầu tư.","Có từ hai nhóm chỉ tiêu trọng yếu chưa đạt; dự án chưa đáp ứng yêu cầu đầu tư theo kịch bản hiện tại."))</x:f>
        <x:v>Có từ hai nhóm chỉ tiêu trọng yếu chưa đạt; dự án chưa đáp ứng yêu cầu đầu tư theo kịch bản hiện tại.</x:v>
      </x:c>
      <x:c r="B22" s="129"/>
      <x:c r="C22" s="129"/>
      <x:c r="D22" s="129"/>
      <x:c r="E22" s="129"/>
      <x:c r="F22" s="129"/>
      <x:c r="G22" s="129"/>
      <x:c r="H22" s="129"/>
    </x:row>
    <x:row r="23" ht="18" customHeight="1"/>
    <x:row r="24" ht="18" customHeight="1">
      <x:c r="A24" s="125" t="s">
        <x:v>429</x:v>
      </x:c>
      <x:c r="B24" s="125"/>
      <x:c r="C24" s="125"/>
      <x:c r="D24" s="125"/>
      <x:c r="E24" s="125"/>
      <x:c r="F24" s="125"/>
      <x:c r="G24" s="125"/>
      <x:c r="H24" s="125"/>
    </x:row>
    <x:row r="25" ht="18" customHeight="1">
      <x:c r="A25" s="79" t="s">
        <x:v>161</x:v>
      </x:c>
      <x:c r="B25" s="79" t="s">
        <x:v>430</x:v>
      </x:c>
      <x:c r="C25" s="79" t="s">
        <x:v>431</x:v>
      </x:c>
      <x:c r="D25" s="79" t="s">
        <x:v>164</x:v>
      </x:c>
    </x:row>
    <x:row r="26" ht="18" customHeight="1">
      <x:c r="A26" t="s">
        <x:v>432</x:v>
      </x:c>
      <x:c r="B26" t="s">
        <x:v>433</x:v>
      </x:c>
      <x:c r="C26" s="86" t="n">
        <x:f>CAPEX!C27</x:f>
        <x:v>1</x:v>
      </x:c>
      <x:c r="D26" s="85" t="str">
        <x:f>IF(ABS(C26-1)&lt;0.000001,"OK","KIỂM TRA")</x:f>
        <x:v>OK</x:v>
      </x:c>
      <x:c r="F26" s="130" t="s">
        <x:v>434</x:v>
      </x:c>
      <x:c r="G26" s="130"/>
      <x:c r="H26" s="130"/>
    </x:row>
    <x:row r="27" ht="18" customHeight="1">
      <x:c r="A27" t="s">
        <x:v>435</x:v>
      </x:c>
      <x:c r="B27" t="s">
        <x:v>436</x:v>
      </x:c>
      <x:c r="C27" s="87" t="n">
        <x:f>CAPEX!C28-Input!D21</x:f>
        <x:v>0</x:v>
      </x:c>
      <x:c r="D27" s="85" t="str">
        <x:f>IF(ABS(C27)&lt;0.01,"OK","KIỂM TRA")</x:f>
        <x:v>OK</x:v>
      </x:c>
      <x:c r="F27" s="123" t="str">
        <x:f>IF(COUNTIF(D26:D31,"KIỂM TRA")=0,"OK","CẦN KIỂM TRA")</x:f>
        <x:v>CẦN KIỂM TRA</x:v>
      </x:c>
      <x:c r="G27" s="123"/>
      <x:c r="H27" s="123"/>
    </x:row>
    <x:row r="28" ht="18" customHeight="1">
      <x:c r="A28" t="s">
        <x:v>437</x:v>
      </x:c>
      <x:c r="B28" t="s">
        <x:v>438</x:v>
      </x:c>
      <x:c r="C28" s="87" t="n">
        <x:f>Debt!C28-Input!D63</x:f>
        <x:v>0</x:v>
      </x:c>
      <x:c r="D28" s="85" t="str">
        <x:f>IF(ABS(C28)&lt;0.01,"OK","KIỂM TRA")</x:f>
        <x:v>OK</x:v>
      </x:c>
      <x:c r="F28" s="123"/>
      <x:c r="G28" s="123"/>
      <x:c r="H28" s="123"/>
    </x:row>
    <x:row r="29" ht="18" customHeight="1">
      <x:c r="A29" t="s">
        <x:v>439</x:v>
      </x:c>
      <x:c r="B29" t="s">
        <x:v>440</x:v>
      </x:c>
      <x:c r="C29" s="87" t="n">
        <x:f>Debt!AF18</x:f>
        <x:v>0</x:v>
      </x:c>
      <x:c r="D29" s="85" t="str">
        <x:f>IF(ABS(C29)&lt;0.01,"OK","KIỂM TRA")</x:f>
        <x:v>OK</x:v>
      </x:c>
      <x:c r="F29" s="123"/>
      <x:c r="G29" s="123"/>
      <x:c r="H29" s="123"/>
    </x:row>
    <x:row r="30" ht="18" customHeight="1">
      <x:c r="A30" t="s">
        <x:v>441</x:v>
      </x:c>
      <x:c r="B30" t="s">
        <x:v>442</x:v>
      </x:c>
      <x:c r="C30" s="88" t="n">
        <x:f>COUNTIF(Project_CF!C24:AF24,"&lt;0")*COUNTIF(Project_CF!C24:AF24,"&gt;0")</x:f>
        <x:v>40</x:v>
      </x:c>
      <x:c r="D30" s="85" t="str">
        <x:f>IF(C30&gt;0,"OK","KIỂM TRA")</x:f>
        <x:v>OK</x:v>
      </x:c>
    </x:row>
    <x:row r="31" ht="18" customHeight="1">
      <x:c r="A31" t="s">
        <x:v>443</x:v>
      </x:c>
      <x:c r="B31" t="s">
        <x:v>428</x:v>
      </x:c>
      <x:c r="C31" s="89" t="n">
        <x:f>Debt!C31-Input!D62</x:f>
        <x:v>-0.26637181807562826</x:v>
      </x:c>
      <x:c r="D31" s="85" t="str">
        <x:f>IF(C31&gt;=0,"OK","KIỂM TRA")</x:f>
        <x:v>KIỂM TRA</x:v>
      </x:c>
    </x:row>
    <x:row r="32" ht="18" customHeight="1"/>
    <x:row r="33" ht="18" customHeight="1"/>
    <x:row r="34" ht="18" customHeight="1">
      <x:c r="A34" s="124" t="s">
        <x:v>444</x:v>
      </x:c>
      <x:c r="B34" s="124"/>
      <x:c r="C34" s="124"/>
      <x:c r="D34" s="124"/>
      <x:c r="E34" s="124"/>
      <x:c r="F34" s="124"/>
      <x:c r="G34" s="124"/>
      <x:c r="H34" s="124"/>
    </x:row>
    <x:row r="35" ht="18" customHeight="1">
      <x:c r="A35" s="124"/>
      <x:c r="B35" s="124"/>
      <x:c r="C35" s="124"/>
      <x:c r="D35" s="124"/>
      <x:c r="E35" s="124"/>
      <x:c r="F35" s="124"/>
      <x:c r="G35" s="124"/>
      <x:c r="H35" s="124"/>
    </x:row>
    <x:row r="36">
      <x:c r="A36" s="1"/>
      <x:c r="B36" s="1"/>
      <x:c r="C36" s="1"/>
      <x:c r="D36" s="1"/>
      <x:c r="E36" s="1"/>
      <x:c r="F36" s="1"/>
      <x:c r="G36" s="1"/>
      <x:c r="H36" s="1"/>
    </x:row>
    <x:row r="37">
      <x:c r="A37" s="1"/>
      <x:c r="B37" s="1"/>
      <x:c r="C37" s="1"/>
      <x:c r="D37" s="1"/>
      <x:c r="E37" s="1"/>
      <x:c r="F37" s="1"/>
      <x:c r="G37" s="1"/>
      <x:c r="H37" s="1"/>
    </x:row>
    <x:row r="38">
      <x:c r="A38" s="1"/>
      <x:c r="B38" s="1"/>
      <x:c r="C38" s="1"/>
      <x:c r="D38" s="1"/>
      <x:c r="E38" s="1"/>
      <x:c r="F38" s="1"/>
      <x:c r="G38" s="1"/>
      <x:c r="H38" s="1"/>
    </x:row>
    <x:row r="39">
      <x:c r="A39" s="1"/>
      <x:c r="B39" s="1"/>
      <x:c r="C39" s="1"/>
      <x:c r="D39" s="1"/>
      <x:c r="E39" s="1"/>
      <x:c r="F39" s="1"/>
      <x:c r="G39" s="1"/>
      <x:c r="H39" s="1"/>
    </x:row>
    <x:row r="40">
      <x:c r="A40" s="1"/>
      <x:c r="B40" s="1"/>
      <x:c r="C40" s="1"/>
      <x:c r="D40" s="1"/>
      <x:c r="E40" s="1"/>
      <x:c r="F40" s="1"/>
      <x:c r="G40" s="1"/>
      <x:c r="H40" s="1"/>
    </x:row>
    <x:row r="41">
      <x:c r="A41" s="1"/>
      <x:c r="B41" s="1"/>
      <x:c r="C41" s="1"/>
      <x:c r="D41" s="1"/>
      <x:c r="E41" s="1"/>
      <x:c r="F41" s="1"/>
      <x:c r="G41" s="1"/>
      <x:c r="H41" s="1"/>
    </x:row>
    <x:row r="42">
      <x:c r="A42" s="1"/>
      <x:c r="B42" s="1"/>
      <x:c r="C42" s="1"/>
      <x:c r="D42" s="1"/>
      <x:c r="E42" s="1"/>
      <x:c r="F42" s="1"/>
      <x:c r="G42" s="1"/>
      <x:c r="H42" s="1"/>
    </x:row>
    <x:row r="43">
      <x:c r="A43" s="1"/>
      <x:c r="B43" s="1"/>
      <x:c r="C43" s="1"/>
      <x:c r="D43" s="1"/>
      <x:c r="E43" s="1"/>
      <x:c r="F43" s="1"/>
      <x:c r="G43" s="1"/>
      <x:c r="H43" s="1"/>
    </x:row>
    <x:row r="44">
      <x:c r="A44" s="1"/>
      <x:c r="B44" s="1"/>
      <x:c r="C44" s="1"/>
      <x:c r="D44" s="1"/>
      <x:c r="E44" s="1"/>
      <x:c r="F44" s="1"/>
      <x:c r="G44" s="1"/>
      <x:c r="H44" s="1"/>
    </x:row>
    <x:row r="45">
      <x:c r="A45" s="1"/>
      <x:c r="B45" s="1"/>
      <x:c r="C45" s="1"/>
      <x:c r="D45" s="1"/>
      <x:c r="E45" s="1"/>
      <x:c r="F45" s="1"/>
      <x:c r="G45" s="1"/>
      <x:c r="H45" s="1"/>
    </x:row>
    <x:row r="46">
      <x:c r="A46" s="1"/>
      <x:c r="B46" s="1"/>
      <x:c r="C46" s="1"/>
      <x:c r="D46" s="1"/>
      <x:c r="E46" s="1"/>
      <x:c r="F46" s="1"/>
      <x:c r="G46" s="1"/>
      <x:c r="H46" s="1"/>
    </x:row>
    <x:row r="47">
      <x:c r="A47" s="1"/>
      <x:c r="B47" s="1"/>
      <x:c r="C47" s="1"/>
      <x:c r="D47" s="1"/>
      <x:c r="E47" s="1"/>
      <x:c r="F47" s="1"/>
      <x:c r="G47" s="1"/>
      <x:c r="H47" s="1"/>
    </x:row>
    <x:row r="48">
      <x:c r="A48" s="1"/>
      <x:c r="B48" s="1"/>
      <x:c r="C48" s="1"/>
      <x:c r="D48" s="1"/>
      <x:c r="E48" s="1"/>
      <x:c r="F48" s="1"/>
      <x:c r="G48" s="1"/>
      <x:c r="H48" s="1"/>
    </x:row>
    <x:row r="49">
      <x:c r="A49" s="1"/>
      <x:c r="B49" s="1"/>
      <x:c r="C49" s="1"/>
      <x:c r="D49" s="1"/>
      <x:c r="E49" s="1"/>
      <x:c r="F49" s="1"/>
      <x:c r="G49" s="1"/>
      <x:c r="H49" s="1"/>
    </x:row>
    <x:row r="50">
      <x:c r="A50" s="1"/>
      <x:c r="B50" s="1"/>
      <x:c r="C50" s="1"/>
      <x:c r="D50" s="1"/>
      <x:c r="E50" s="1"/>
      <x:c r="F50" s="1"/>
      <x:c r="G50" s="1"/>
      <x:c r="H50" s="1"/>
    </x:row>
  </x:sheetData>
  <x:mergeCells>
    <x:mergeCell ref="F27:H29"/>
    <x:mergeCell ref="A34:H35"/>
    <x:mergeCell ref="A18:H18"/>
    <x:mergeCell ref="A21:H21"/>
    <x:mergeCell ref="A22:H22"/>
    <x:mergeCell ref="A24:H24"/>
    <x:mergeCell ref="F26:H26"/>
    <x:mergeCell ref="A1:H1"/>
    <x:mergeCell ref="A2:H2"/>
    <x:mergeCell ref="A3:H3"/>
    <x:mergeCell ref="A5:H5"/>
    <x:mergeCell ref="A10:H10"/>
  </x:mergeCells>
  <x:conditionalFormatting sqref="A21:H21">
    <x:cfRule type="expression" dxfId="13" priority="10">
      <x:formula>$A$21="DỰ ÁN HIỆU QUẢ"</x:formula>
    </x:cfRule>
    <x:cfRule type="expression" dxfId="12" priority="11">
      <x:formula>$A$21="DỰ ÁN CẦN XEM XÉT"</x:formula>
    </x:cfRule>
    <x:cfRule type="expression" dxfId="11" priority="12">
      <x:formula>$A$21="DỰ ÁN KHÔNG HIỆU QUẢ / CHƯA ĐẠT YÊU CẦU ĐẦU TƯ"</x:formula>
    </x:cfRule>
  </x:conditionalFormatting>
  <x:conditionalFormatting sqref="B20:B20">
    <x:cfRule type="expression" dxfId="10" priority="2">
      <x:formula>B20="ĐẠT"</x:formula>
    </x:cfRule>
    <x:cfRule type="expression" dxfId="9" priority="3">
      <x:formula>B20="KHÔNG ĐẠT"</x:formula>
    </x:cfRule>
  </x:conditionalFormatting>
  <x:conditionalFormatting sqref="D20:D20">
    <x:cfRule type="expression" dxfId="8" priority="4">
      <x:formula>D20="ĐẠT"</x:formula>
    </x:cfRule>
    <x:cfRule type="expression" dxfId="7" priority="5">
      <x:formula>D20="KHÔNG ĐẠT"</x:formula>
    </x:cfRule>
  </x:conditionalFormatting>
  <x:conditionalFormatting sqref="F21:F21">
    <x:cfRule type="containsText" dxfId="6" priority="1" operator="containsText" text="CẦN"/>
  </x:conditionalFormatting>
  <x:conditionalFormatting sqref="F20:G20">
    <x:cfRule type="expression" dxfId="5" priority="6">
      <x:formula>F20="ĐẠT"</x:formula>
    </x:cfRule>
    <x:cfRule type="expression" dxfId="4" priority="7">
      <x:formula>F20="KHÔNG ĐẠT"</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4"/>
  <x:cols>
    <x:col min="1" max="1" width="10" customWidth="1"/>
    <x:col min="2" max="2" width="34" customWidth="1"/>
    <x:col min="3" max="32" width="12" customWidth="1"/>
  </x:cols>
  <x:sheetData>
    <x:row r="1" ht="15" customHeight="1">
      <x:c r="A1" s="131" t="s">
        <x:v>445</x:v>
      </x:c>
      <x:c r="B1" s="131"/>
      <x:c r="C1" s="132"/>
      <x:c r="D1" s="132"/>
      <x:c r="E1" s="132"/>
      <x:c r="F1" s="132"/>
      <x:c r="G1" s="132"/>
      <x:c r="H1" s="132"/>
      <x:c r="I1" s="132"/>
      <x:c r="J1" s="132"/>
      <x:c r="K1" s="132"/>
      <x:c r="L1" s="132"/>
      <x:c r="M1" s="132"/>
      <x:c r="N1" s="132"/>
      <x:c r="O1" s="132"/>
      <x:c r="P1" s="132"/>
      <x:c r="Q1" s="132"/>
      <x:c r="R1" s="132"/>
      <x:c r="S1" s="132"/>
      <x:c r="T1" s="132"/>
      <x:c r="U1" s="132"/>
      <x:c r="V1" s="132"/>
      <x:c r="W1" s="132"/>
      <x:c r="X1" s="132"/>
      <x:c r="Y1" s="132"/>
      <x:c r="Z1" s="132"/>
      <x:c r="AA1" s="132"/>
      <x:c r="AB1" s="132"/>
      <x:c r="AC1" s="132"/>
      <x:c r="AD1" s="132"/>
      <x:c r="AE1" s="132"/>
      <x:c r="AF1" s="132"/>
    </x:row>
    <x:row r="2" ht="15" customHeight="1">
      <x:c r="A2" s="133" t="s">
        <x:v>446</x:v>
      </x:c>
      <x:c r="B2" s="133"/>
      <x:c r="C2" s="133"/>
      <x:c r="D2" s="133"/>
      <x:c r="E2" s="133"/>
      <x:c r="F2" s="133"/>
      <x:c r="G2" s="133"/>
      <x:c r="H2" s="133"/>
      <x:c r="I2" s="133"/>
      <x:c r="J2" s="133"/>
      <x:c r="K2" s="133"/>
      <x:c r="L2" s="133"/>
      <x:c r="M2" s="133"/>
      <x:c r="N2" s="133"/>
      <x:c r="O2" s="133"/>
      <x:c r="P2" s="133"/>
      <x:c r="Q2" s="133"/>
      <x:c r="R2" s="133"/>
      <x:c r="S2" s="133"/>
      <x:c r="T2" s="133"/>
      <x:c r="U2" s="133"/>
      <x:c r="V2" s="133"/>
      <x:c r="W2" s="133"/>
      <x:c r="X2" s="133"/>
      <x:c r="Y2" s="133"/>
      <x:c r="Z2" s="133"/>
      <x:c r="AA2" s="133"/>
      <x:c r="AB2" s="133"/>
      <x:c r="AC2" s="133"/>
      <x:c r="AD2" s="133"/>
      <x:c r="AE2" s="133"/>
      <x:c r="AF2" s="133"/>
    </x:row>
    <x:row r="3" ht="15" customHeight="1">
      <x:c r="A3" s="134" t="s">
        <x:v>447</x:v>
      </x:c>
      <x:c r="B3" s="134"/>
      <x:c r="C3" s="135"/>
      <x:c r="D3" s="135"/>
      <x:c r="E3" s="135"/>
      <x:c r="F3" s="135"/>
      <x:c r="G3" s="135"/>
      <x:c r="H3" s="135"/>
      <x:c r="I3" s="135"/>
      <x:c r="J3" s="135"/>
      <x:c r="K3" s="135"/>
      <x:c r="L3" s="135"/>
      <x:c r="M3" s="135"/>
      <x:c r="N3" s="135"/>
      <x:c r="O3" s="135"/>
      <x:c r="P3" s="135"/>
      <x:c r="Q3" s="135"/>
      <x:c r="R3" s="135"/>
      <x:c r="S3" s="135"/>
      <x:c r="T3" s="135"/>
      <x:c r="U3" s="135"/>
      <x:c r="V3" s="135"/>
      <x:c r="W3" s="135"/>
      <x:c r="X3" s="135"/>
      <x:c r="Y3" s="135"/>
      <x:c r="Z3" s="135"/>
      <x:c r="AA3" s="135"/>
      <x:c r="AB3" s="135"/>
      <x:c r="AC3" s="135"/>
      <x:c r="AD3" s="135"/>
      <x:c r="AE3" s="135"/>
      <x:c r="AF3" s="135"/>
    </x:row>
    <x:row r="4" ht="15" customHeight="1">
      <x:c r="A4" s="70"/>
      <x:c r="B4" s="70"/>
      <x:c r="C4" s="65"/>
      <x:c r="D4" s="65"/>
      <x:c r="E4" s="65"/>
      <x:c r="F4" s="65"/>
      <x:c r="G4" s="65"/>
      <x:c r="H4" s="65"/>
      <x:c r="I4" s="65"/>
      <x:c r="J4" s="65"/>
      <x:c r="K4" s="65"/>
      <x:c r="L4" s="65"/>
      <x:c r="M4" s="65"/>
      <x:c r="N4" s="65"/>
      <x:c r="O4" s="65"/>
      <x:c r="P4" s="65"/>
      <x:c r="Q4" s="65"/>
      <x:c r="R4" s="65"/>
      <x:c r="S4" s="65"/>
      <x:c r="T4" s="65"/>
      <x:c r="U4" s="65"/>
      <x:c r="V4" s="65"/>
      <x:c r="W4" s="65"/>
      <x:c r="X4" s="65"/>
      <x:c r="Y4" s="65"/>
      <x:c r="Z4" s="65"/>
      <x:c r="AA4" s="65"/>
      <x:c r="AB4" s="65"/>
      <x:c r="AC4" s="65"/>
      <x:c r="AD4" s="65"/>
      <x:c r="AE4" s="65"/>
      <x:c r="AF4" s="65"/>
    </x:row>
    <x:row r="5" ht="15" customHeight="1">
      <x:c r="A5" s="70"/>
      <x:c r="B5" s="70"/>
      <x:c r="C5" s="65"/>
      <x:c r="D5" s="65"/>
      <x:c r="E5" s="65"/>
      <x:c r="F5" s="65"/>
      <x:c r="G5" s="65"/>
      <x:c r="H5" s="65"/>
      <x:c r="I5" s="65"/>
      <x:c r="J5" s="65"/>
      <x:c r="K5" s="65"/>
      <x:c r="L5" s="65"/>
      <x:c r="M5" s="65"/>
      <x:c r="N5" s="65"/>
      <x:c r="O5" s="65"/>
      <x:c r="P5" s="65"/>
      <x:c r="Q5" s="65"/>
      <x:c r="R5" s="65"/>
      <x:c r="S5" s="65"/>
      <x:c r="T5" s="65"/>
      <x:c r="U5" s="65"/>
      <x:c r="V5" s="65"/>
      <x:c r="W5" s="65"/>
      <x:c r="X5" s="65"/>
      <x:c r="Y5" s="65"/>
      <x:c r="Z5" s="65"/>
      <x:c r="AA5" s="65"/>
      <x:c r="AB5" s="65"/>
      <x:c r="AC5" s="65"/>
      <x:c r="AD5" s="65"/>
      <x:c r="AE5" s="65"/>
      <x:c r="AF5" s="65"/>
    </x:row>
    <x:row r="6" ht="15" customHeight="1">
      <x:c r="A6" s="71"/>
      <x:c r="B6" s="71" t="s">
        <x:v>160</x:v>
      </x:c>
      <x:c r="C6" s="42" t="n">
        <x:f>Input!$D$14+0</x:f>
        <x:v>2025</x:v>
      </x:c>
      <x:c r="D6" s="42" t="n">
        <x:f>Input!$D$14+1</x:f>
        <x:v>2026</x:v>
      </x:c>
      <x:c r="E6" s="42" t="n">
        <x:f>Input!$D$14+2</x:f>
        <x:v>2027</x:v>
      </x:c>
      <x:c r="F6" s="42" t="n">
        <x:f>Input!$D$14+3</x:f>
        <x:v>2028</x:v>
      </x:c>
      <x:c r="G6" s="42" t="n">
        <x:f>Input!$D$14+4</x:f>
        <x:v>2029</x:v>
      </x:c>
      <x:c r="H6" s="42" t="n">
        <x:f>Input!$D$14+5</x:f>
        <x:v>2030</x:v>
      </x:c>
      <x:c r="I6" s="42" t="n">
        <x:f>Input!$D$14+6</x:f>
        <x:v>2031</x:v>
      </x:c>
      <x:c r="J6" s="42" t="n">
        <x:f>Input!$D$14+7</x:f>
        <x:v>2032</x:v>
      </x:c>
      <x:c r="K6" s="42" t="n">
        <x:f>Input!$D$14+8</x:f>
        <x:v>2033</x:v>
      </x:c>
      <x:c r="L6" s="42" t="n">
        <x:f>Input!$D$14+9</x:f>
        <x:v>2034</x:v>
      </x:c>
      <x:c r="M6" s="42" t="n">
        <x:f>Input!$D$14+10</x:f>
        <x:v>2035</x:v>
      </x:c>
      <x:c r="N6" s="42" t="n">
        <x:f>Input!$D$14+11</x:f>
        <x:v>2036</x:v>
      </x:c>
      <x:c r="O6" s="42" t="n">
        <x:f>Input!$D$14+12</x:f>
        <x:v>2037</x:v>
      </x:c>
      <x:c r="P6" s="42" t="n">
        <x:f>Input!$D$14+13</x:f>
        <x:v>2038</x:v>
      </x:c>
      <x:c r="Q6" s="42" t="n">
        <x:f>Input!$D$14+14</x:f>
        <x:v>2039</x:v>
      </x:c>
      <x:c r="R6" s="42" t="n">
        <x:f>Input!$D$14+15</x:f>
        <x:v>2040</x:v>
      </x:c>
      <x:c r="S6" s="42" t="n">
        <x:f>Input!$D$14+16</x:f>
        <x:v>2041</x:v>
      </x:c>
      <x:c r="T6" s="42" t="n">
        <x:f>Input!$D$14+17</x:f>
        <x:v>2042</x:v>
      </x:c>
      <x:c r="U6" s="42" t="n">
        <x:f>Input!$D$14+18</x:f>
        <x:v>2043</x:v>
      </x:c>
      <x:c r="V6" s="42" t="n">
        <x:f>Input!$D$14+19</x:f>
        <x:v>2044</x:v>
      </x:c>
      <x:c r="W6" s="42" t="n">
        <x:f>Input!$D$14+20</x:f>
        <x:v>2045</x:v>
      </x:c>
      <x:c r="X6" s="42" t="n">
        <x:f>Input!$D$14+21</x:f>
        <x:v>2046</x:v>
      </x:c>
      <x:c r="Y6" s="42" t="n">
        <x:f>Input!$D$14+22</x:f>
        <x:v>2047</x:v>
      </x:c>
      <x:c r="Z6" s="42" t="n">
        <x:f>Input!$D$14+23</x:f>
        <x:v>2048</x:v>
      </x:c>
      <x:c r="AA6" s="42" t="n">
        <x:f>Input!$D$14+24</x:f>
        <x:v>2049</x:v>
      </x:c>
      <x:c r="AB6" s="42" t="n">
        <x:f>Input!$D$14+25</x:f>
        <x:v>2050</x:v>
      </x:c>
      <x:c r="AC6" s="42" t="n">
        <x:f>Input!$D$14+26</x:f>
        <x:v>2051</x:v>
      </x:c>
      <x:c r="AD6" s="42" t="n">
        <x:f>Input!$D$14+27</x:f>
        <x:v>2052</x:v>
      </x:c>
      <x:c r="AE6" s="42" t="n">
        <x:f>Input!$D$14+28</x:f>
        <x:v>2053</x:v>
      </x:c>
      <x:c r="AF6" s="42" t="n">
        <x:f>Input!$D$14+29</x:f>
        <x:v>2054</x:v>
      </x:c>
    </x:row>
    <x:row r="7" ht="15" customHeight="1">
      <x:c r="A7" s="70"/>
      <x:c r="B7" s="70" t="s">
        <x:v>448</x:v>
      </x:c>
      <x:c r="C7" s="66">
        <x:v>0</x:v>
      </x:c>
      <x:c r="D7" s="66">
        <x:v>1</x:v>
      </x:c>
      <x:c r="E7" s="66">
        <x:v>2</x:v>
      </x:c>
      <x:c r="F7" s="66">
        <x:v>3</x:v>
      </x:c>
      <x:c r="G7" s="66">
        <x:v>4</x:v>
      </x:c>
      <x:c r="H7" s="66">
        <x:v>5</x:v>
      </x:c>
      <x:c r="I7" s="66">
        <x:v>6</x:v>
      </x:c>
      <x:c r="J7" s="66">
        <x:v>7</x:v>
      </x:c>
      <x:c r="K7" s="66">
        <x:v>8</x:v>
      </x:c>
      <x:c r="L7" s="66">
        <x:v>9</x:v>
      </x:c>
      <x:c r="M7" s="66">
        <x:v>10</x:v>
      </x:c>
      <x:c r="N7" s="66">
        <x:v>11</x:v>
      </x:c>
      <x:c r="O7" s="66">
        <x:v>12</x:v>
      </x:c>
      <x:c r="P7" s="66">
        <x:v>13</x:v>
      </x:c>
      <x:c r="Q7" s="66">
        <x:v>14</x:v>
      </x:c>
      <x:c r="R7" s="66">
        <x:v>15</x:v>
      </x:c>
      <x:c r="S7" s="66">
        <x:v>16</x:v>
      </x:c>
      <x:c r="T7" s="66">
        <x:v>17</x:v>
      </x:c>
      <x:c r="U7" s="66">
        <x:v>18</x:v>
      </x:c>
      <x:c r="V7" s="66">
        <x:v>19</x:v>
      </x:c>
      <x:c r="W7" s="66">
        <x:v>20</x:v>
      </x:c>
      <x:c r="X7" s="66">
        <x:v>21</x:v>
      </x:c>
      <x:c r="Y7" s="66">
        <x:v>22</x:v>
      </x:c>
      <x:c r="Z7" s="66">
        <x:v>23</x:v>
      </x:c>
      <x:c r="AA7" s="66">
        <x:v>24</x:v>
      </x:c>
      <x:c r="AB7" s="66">
        <x:v>25</x:v>
      </x:c>
      <x:c r="AC7" s="66">
        <x:v>26</x:v>
      </x:c>
      <x:c r="AD7" s="66">
        <x:v>27</x:v>
      </x:c>
      <x:c r="AE7" s="66">
        <x:v>28</x:v>
      </x:c>
      <x:c r="AF7" s="66">
        <x:v>29</x:v>
      </x:c>
    </x:row>
    <x:row r="8" ht="15" customHeight="1">
      <x:c r="A8" s="70"/>
      <x:c r="B8" s="70" t="s">
        <x:v>449</x:v>
      </x:c>
      <x:c r="C8" s="66" t="n">
        <x:f>IF(C$6="","",IF(C$6&lt;Input!$D$16,1,0))</x:f>
        <x:v>1</x:v>
      </x:c>
      <x:c r="D8" s="66" t="n">
        <x:f>IF(D$6="","",IF(D$6&lt;Input!$D$16,1,0))</x:f>
        <x:v>1</x:v>
      </x:c>
      <x:c r="E8" s="66" t="n">
        <x:f>IF(E$6="","",IF(E$6&lt;Input!$D$16,1,0))</x:f>
        <x:v>0</x:v>
      </x:c>
      <x:c r="F8" s="66" t="n">
        <x:f>IF(F$6="","",IF(F$6&lt;Input!$D$16,1,0))</x:f>
        <x:v>0</x:v>
      </x:c>
      <x:c r="G8" s="66" t="n">
        <x:f>IF(G$6="","",IF(G$6&lt;Input!$D$16,1,0))</x:f>
        <x:v>0</x:v>
      </x:c>
      <x:c r="H8" s="66" t="n">
        <x:f>IF(H$6="","",IF(H$6&lt;Input!$D$16,1,0))</x:f>
        <x:v>0</x:v>
      </x:c>
      <x:c r="I8" s="66" t="n">
        <x:f>IF(I$6="","",IF(I$6&lt;Input!$D$16,1,0))</x:f>
        <x:v>0</x:v>
      </x:c>
      <x:c r="J8" s="66" t="n">
        <x:f>IF(J$6="","",IF(J$6&lt;Input!$D$16,1,0))</x:f>
        <x:v>0</x:v>
      </x:c>
      <x:c r="K8" s="66" t="n">
        <x:f>IF(K$6="","",IF(K$6&lt;Input!$D$16,1,0))</x:f>
        <x:v>0</x:v>
      </x:c>
      <x:c r="L8" s="66" t="n">
        <x:f>IF(L$6="","",IF(L$6&lt;Input!$D$16,1,0))</x:f>
        <x:v>0</x:v>
      </x:c>
      <x:c r="M8" s="66" t="n">
        <x:f>IF(M$6="","",IF(M$6&lt;Input!$D$16,1,0))</x:f>
        <x:v>0</x:v>
      </x:c>
      <x:c r="N8" s="66" t="n">
        <x:f>IF(N$6="","",IF(N$6&lt;Input!$D$16,1,0))</x:f>
        <x:v>0</x:v>
      </x:c>
      <x:c r="O8" s="66" t="n">
        <x:f>IF(O$6="","",IF(O$6&lt;Input!$D$16,1,0))</x:f>
        <x:v>0</x:v>
      </x:c>
      <x:c r="P8" s="66" t="n">
        <x:f>IF(P$6="","",IF(P$6&lt;Input!$D$16,1,0))</x:f>
        <x:v>0</x:v>
      </x:c>
      <x:c r="Q8" s="66" t="n">
        <x:f>IF(Q$6="","",IF(Q$6&lt;Input!$D$16,1,0))</x:f>
        <x:v>0</x:v>
      </x:c>
      <x:c r="R8" s="66" t="n">
        <x:f>IF(R$6="","",IF(R$6&lt;Input!$D$16,1,0))</x:f>
        <x:v>0</x:v>
      </x:c>
      <x:c r="S8" s="66" t="n">
        <x:f>IF(S$6="","",IF(S$6&lt;Input!$D$16,1,0))</x:f>
        <x:v>0</x:v>
      </x:c>
      <x:c r="T8" s="66" t="n">
        <x:f>IF(T$6="","",IF(T$6&lt;Input!$D$16,1,0))</x:f>
        <x:v>0</x:v>
      </x:c>
      <x:c r="U8" s="66" t="n">
        <x:f>IF(U$6="","",IF(U$6&lt;Input!$D$16,1,0))</x:f>
        <x:v>0</x:v>
      </x:c>
      <x:c r="V8" s="66" t="n">
        <x:f>IF(V$6="","",IF(V$6&lt;Input!$D$16,1,0))</x:f>
        <x:v>0</x:v>
      </x:c>
      <x:c r="W8" s="66" t="n">
        <x:f>IF(W$6="","",IF(W$6&lt;Input!$D$16,1,0))</x:f>
        <x:v>0</x:v>
      </x:c>
      <x:c r="X8" s="66" t="n">
        <x:f>IF(X$6="","",IF(X$6&lt;Input!$D$16,1,0))</x:f>
        <x:v>0</x:v>
      </x:c>
      <x:c r="Y8" s="66" t="n">
        <x:f>IF(Y$6="","",IF(Y$6&lt;Input!$D$16,1,0))</x:f>
        <x:v>0</x:v>
      </x:c>
      <x:c r="Z8" s="66" t="n">
        <x:f>IF(Z$6="","",IF(Z$6&lt;Input!$D$16,1,0))</x:f>
        <x:v>0</x:v>
      </x:c>
      <x:c r="AA8" s="66" t="n">
        <x:f>IF(AA$6="","",IF(AA$6&lt;Input!$D$16,1,0))</x:f>
        <x:v>0</x:v>
      </x:c>
      <x:c r="AB8" s="66" t="n">
        <x:f>IF(AB$6="","",IF(AB$6&lt;Input!$D$16,1,0))</x:f>
        <x:v>0</x:v>
      </x:c>
      <x:c r="AC8" s="66" t="n">
        <x:f>IF(AC$6="","",IF(AC$6&lt;Input!$D$16,1,0))</x:f>
        <x:v>0</x:v>
      </x:c>
      <x:c r="AD8" s="66" t="n">
        <x:f>IF(AD$6="","",IF(AD$6&lt;Input!$D$16,1,0))</x:f>
        <x:v>0</x:v>
      </x:c>
      <x:c r="AE8" s="66" t="n">
        <x:f>IF(AE$6="","",IF(AE$6&lt;Input!$D$16,1,0))</x:f>
        <x:v>0</x:v>
      </x:c>
      <x:c r="AF8" s="66" t="n">
        <x:f>IF(AF$6="","",IF(AF$6&lt;Input!$D$16,1,0))</x:f>
        <x:v>0</x:v>
      </x:c>
    </x:row>
    <x:row r="9" ht="15" customHeight="1">
      <x:c r="A9" s="70"/>
      <x:c r="B9" s="70" t="s">
        <x:v>450</x:v>
      </x:c>
      <x:c r="C9" s="66" t="n">
        <x:f>IF(C$6="","",IF(AND(C$6&gt;=Input!$D$16,C$6&lt;=Input!$D$18),C$6-Input!$D$16+1,0))</x:f>
        <x:v>0</x:v>
      </x:c>
      <x:c r="D9" s="66" t="n">
        <x:f>IF(D$6="","",IF(AND(D$6&gt;=Input!$D$16,D$6&lt;=Input!$D$18),D$6-Input!$D$16+1,0))</x:f>
        <x:v>0</x:v>
      </x:c>
      <x:c r="E9" s="66" t="n">
        <x:f>IF(E$6="","",IF(AND(E$6&gt;=Input!$D$16,E$6&lt;=Input!$D$18),E$6-Input!$D$16+1,0))</x:f>
        <x:v>1</x:v>
      </x:c>
      <x:c r="F9" s="66" t="n">
        <x:f>IF(F$6="","",IF(AND(F$6&gt;=Input!$D$16,F$6&lt;=Input!$D$18),F$6-Input!$D$16+1,0))</x:f>
        <x:v>2</x:v>
      </x:c>
      <x:c r="G9" s="66" t="n">
        <x:f>IF(G$6="","",IF(AND(G$6&gt;=Input!$D$16,G$6&lt;=Input!$D$18),G$6-Input!$D$16+1,0))</x:f>
        <x:v>3</x:v>
      </x:c>
      <x:c r="H9" s="66" t="n">
        <x:f>IF(H$6="","",IF(AND(H$6&gt;=Input!$D$16,H$6&lt;=Input!$D$18),H$6-Input!$D$16+1,0))</x:f>
        <x:v>4</x:v>
      </x:c>
      <x:c r="I9" s="66" t="n">
        <x:f>IF(I$6="","",IF(AND(I$6&gt;=Input!$D$16,I$6&lt;=Input!$D$18),I$6-Input!$D$16+1,0))</x:f>
        <x:v>5</x:v>
      </x:c>
      <x:c r="J9" s="66" t="n">
        <x:f>IF(J$6="","",IF(AND(J$6&gt;=Input!$D$16,J$6&lt;=Input!$D$18),J$6-Input!$D$16+1,0))</x:f>
        <x:v>6</x:v>
      </x:c>
      <x:c r="K9" s="66" t="n">
        <x:f>IF(K$6="","",IF(AND(K$6&gt;=Input!$D$16,K$6&lt;=Input!$D$18),K$6-Input!$D$16+1,0))</x:f>
        <x:v>7</x:v>
      </x:c>
      <x:c r="L9" s="66" t="n">
        <x:f>IF(L$6="","",IF(AND(L$6&gt;=Input!$D$16,L$6&lt;=Input!$D$18),L$6-Input!$D$16+1,0))</x:f>
        <x:v>8</x:v>
      </x:c>
      <x:c r="M9" s="66" t="n">
        <x:f>IF(M$6="","",IF(AND(M$6&gt;=Input!$D$16,M$6&lt;=Input!$D$18),M$6-Input!$D$16+1,0))</x:f>
        <x:v>9</x:v>
      </x:c>
      <x:c r="N9" s="66" t="n">
        <x:f>IF(N$6="","",IF(AND(N$6&gt;=Input!$D$16,N$6&lt;=Input!$D$18),N$6-Input!$D$16+1,0))</x:f>
        <x:v>10</x:v>
      </x:c>
      <x:c r="O9" s="66" t="n">
        <x:f>IF(O$6="","",IF(AND(O$6&gt;=Input!$D$16,O$6&lt;=Input!$D$18),O$6-Input!$D$16+1,0))</x:f>
        <x:v>11</x:v>
      </x:c>
      <x:c r="P9" s="66" t="n">
        <x:f>IF(P$6="","",IF(AND(P$6&gt;=Input!$D$16,P$6&lt;=Input!$D$18),P$6-Input!$D$16+1,0))</x:f>
        <x:v>12</x:v>
      </x:c>
      <x:c r="Q9" s="66" t="n">
        <x:f>IF(Q$6="","",IF(AND(Q$6&gt;=Input!$D$16,Q$6&lt;=Input!$D$18),Q$6-Input!$D$16+1,0))</x:f>
        <x:v>13</x:v>
      </x:c>
      <x:c r="R9" s="66" t="n">
        <x:f>IF(R$6="","",IF(AND(R$6&gt;=Input!$D$16,R$6&lt;=Input!$D$18),R$6-Input!$D$16+1,0))</x:f>
        <x:v>14</x:v>
      </x:c>
      <x:c r="S9" s="66" t="n">
        <x:f>IF(S$6="","",IF(AND(S$6&gt;=Input!$D$16,S$6&lt;=Input!$D$18),S$6-Input!$D$16+1,0))</x:f>
        <x:v>15</x:v>
      </x:c>
      <x:c r="T9" s="66" t="n">
        <x:f>IF(T$6="","",IF(AND(T$6&gt;=Input!$D$16,T$6&lt;=Input!$D$18),T$6-Input!$D$16+1,0))</x:f>
        <x:v>16</x:v>
      </x:c>
      <x:c r="U9" s="66" t="n">
        <x:f>IF(U$6="","",IF(AND(U$6&gt;=Input!$D$16,U$6&lt;=Input!$D$18),U$6-Input!$D$16+1,0))</x:f>
        <x:v>17</x:v>
      </x:c>
      <x:c r="V9" s="66" t="n">
        <x:f>IF(V$6="","",IF(AND(V$6&gt;=Input!$D$16,V$6&lt;=Input!$D$18),V$6-Input!$D$16+1,0))</x:f>
        <x:v>18</x:v>
      </x:c>
      <x:c r="W9" s="66" t="n">
        <x:f>IF(W$6="","",IF(AND(W$6&gt;=Input!$D$16,W$6&lt;=Input!$D$18),W$6-Input!$D$16+1,0))</x:f>
        <x:v>19</x:v>
      </x:c>
      <x:c r="X9" s="66" t="n">
        <x:f>IF(X$6="","",IF(AND(X$6&gt;=Input!$D$16,X$6&lt;=Input!$D$18),X$6-Input!$D$16+1,0))</x:f>
        <x:v>20</x:v>
      </x:c>
      <x:c r="Y9" s="66" t="n">
        <x:f>IF(Y$6="","",IF(AND(Y$6&gt;=Input!$D$16,Y$6&lt;=Input!$D$18),Y$6-Input!$D$16+1,0))</x:f>
        <x:v>0</x:v>
      </x:c>
      <x:c r="Z9" s="66" t="n">
        <x:f>IF(Z$6="","",IF(AND(Z$6&gt;=Input!$D$16,Z$6&lt;=Input!$D$18),Z$6-Input!$D$16+1,0))</x:f>
        <x:v>0</x:v>
      </x:c>
      <x:c r="AA9" s="66" t="n">
        <x:f>IF(AA$6="","",IF(AND(AA$6&gt;=Input!$D$16,AA$6&lt;=Input!$D$18),AA$6-Input!$D$16+1,0))</x:f>
        <x:v>0</x:v>
      </x:c>
      <x:c r="AB9" s="66" t="n">
        <x:f>IF(AB$6="","",IF(AND(AB$6&gt;=Input!$D$16,AB$6&lt;=Input!$D$18),AB$6-Input!$D$16+1,0))</x:f>
        <x:v>0</x:v>
      </x:c>
      <x:c r="AC9" s="66" t="n">
        <x:f>IF(AC$6="","",IF(AND(AC$6&gt;=Input!$D$16,AC$6&lt;=Input!$D$18),AC$6-Input!$D$16+1,0))</x:f>
        <x:v>0</x:v>
      </x:c>
      <x:c r="AD9" s="66" t="n">
        <x:f>IF(AD$6="","",IF(AND(AD$6&gt;=Input!$D$16,AD$6&lt;=Input!$D$18),AD$6-Input!$D$16+1,0))</x:f>
        <x:v>0</x:v>
      </x:c>
      <x:c r="AE9" s="66" t="n">
        <x:f>IF(AE$6="","",IF(AND(AE$6&gt;=Input!$D$16,AE$6&lt;=Input!$D$18),AE$6-Input!$D$16+1,0))</x:f>
        <x:v>0</x:v>
      </x:c>
      <x:c r="AF9" s="66" t="n">
        <x:f>IF(AF$6="","",IF(AND(AF$6&gt;=Input!$D$16,AF$6&lt;=Input!$D$18),AF$6-Input!$D$16+1,0))</x:f>
        <x:v>0</x:v>
      </x:c>
    </x:row>
    <x:row r="10" ht="15" customHeight="1">
      <x:c r="A10" s="70"/>
      <x:c r="B10" s="70"/>
      <x:c r="C10" s="65"/>
      <x:c r="D10" s="65"/>
      <x:c r="E10" s="65"/>
      <x:c r="F10" s="65"/>
      <x:c r="G10" s="65"/>
      <x:c r="H10" s="65"/>
      <x:c r="I10" s="65"/>
      <x:c r="J10" s="65"/>
      <x:c r="K10" s="65"/>
      <x:c r="L10" s="65"/>
      <x:c r="M10" s="65"/>
      <x:c r="N10" s="65"/>
      <x:c r="O10" s="65"/>
      <x:c r="P10" s="65"/>
      <x:c r="Q10" s="65"/>
      <x:c r="R10" s="65"/>
      <x:c r="S10" s="65"/>
      <x:c r="T10" s="65"/>
      <x:c r="U10" s="65"/>
      <x:c r="V10" s="65"/>
      <x:c r="W10" s="65"/>
      <x:c r="X10" s="65"/>
      <x:c r="Y10" s="65"/>
      <x:c r="Z10" s="65"/>
      <x:c r="AA10" s="65"/>
      <x:c r="AB10" s="65"/>
      <x:c r="AC10" s="65"/>
      <x:c r="AD10" s="65"/>
      <x:c r="AE10" s="65"/>
      <x:c r="AF10" s="65"/>
    </x:row>
    <x:row r="11" ht="15" customHeight="1">
      <x:c r="A11" s="136" t="s">
        <x:v>451</x:v>
      </x:c>
      <x:c r="B11" s="136"/>
      <x:c r="C11" s="137"/>
      <x:c r="D11" s="137"/>
      <x:c r="E11" s="137"/>
      <x:c r="F11" s="137"/>
      <x:c r="G11" s="137"/>
      <x:c r="H11" s="137"/>
      <x:c r="I11" s="137"/>
      <x:c r="J11" s="137"/>
      <x:c r="K11" s="137"/>
      <x:c r="L11" s="137"/>
      <x:c r="M11" s="137"/>
      <x:c r="N11" s="137"/>
      <x:c r="O11" s="137"/>
      <x:c r="P11" s="137"/>
      <x:c r="Q11" s="137"/>
      <x:c r="R11" s="137"/>
      <x:c r="S11" s="137"/>
      <x:c r="T11" s="137"/>
      <x:c r="U11" s="137"/>
      <x:c r="V11" s="137"/>
      <x:c r="W11" s="137"/>
      <x:c r="X11" s="137"/>
      <x:c r="Y11" s="137"/>
      <x:c r="Z11" s="137"/>
      <x:c r="AA11" s="137"/>
      <x:c r="AB11" s="137"/>
      <x:c r="AC11" s="137"/>
      <x:c r="AD11" s="137"/>
      <x:c r="AE11" s="137"/>
      <x:c r="AF11" s="137"/>
    </x:row>
    <x:row r="12" ht="15" customHeight="1">
      <x:c r="A12" s="72" t="s">
        <x:v>204</x:v>
      </x:c>
      <x:c r="B12" s="72" t="s">
        <x:v>242</x:v>
      </x:c>
      <x:c r="C12" s="43" t="n">
        <x:f>IF(C$8=1,INDEX(Input!$D$32:$D$36,C$7+1),0)</x:f>
        <x:v>0.4</x:v>
      </x:c>
      <x:c r="D12" s="43" t="n">
        <x:f>IF(D$8=1,INDEX(Input!$D$32:$D$36,D$7+1),0)</x:f>
        <x:v>0.6</x:v>
      </x:c>
      <x:c r="E12" s="43" t="n">
        <x:f>IF(E$8=1,INDEX(Input!$D$32:$D$36,E$7+1),0)</x:f>
        <x:v>0</x:v>
      </x:c>
      <x:c r="F12" s="43" t="n">
        <x:f>IF(F$8=1,INDEX(Input!$D$32:$D$36,F$7+1),0)</x:f>
        <x:v>0</x:v>
      </x:c>
      <x:c r="G12" s="43" t="n">
        <x:f>IF(G$8=1,INDEX(Input!$D$32:$D$36,G$7+1),0)</x:f>
        <x:v>0</x:v>
      </x:c>
      <x:c r="H12" s="43" t="n">
        <x:f>IF(H$8=1,INDEX(Input!$D$32:$D$36,H$7+1),0)</x:f>
        <x:v>0</x:v>
      </x:c>
      <x:c r="I12" s="43" t="n">
        <x:f>IF(I$8=1,INDEX(Input!$D$32:$D$36,I$7+1),0)</x:f>
        <x:v>0</x:v>
      </x:c>
      <x:c r="J12" s="43" t="n">
        <x:f>IF(J$8=1,INDEX(Input!$D$32:$D$36,J$7+1),0)</x:f>
        <x:v>0</x:v>
      </x:c>
      <x:c r="K12" s="43" t="n">
        <x:f>IF(K$8=1,INDEX(Input!$D$32:$D$36,K$7+1),0)</x:f>
        <x:v>0</x:v>
      </x:c>
      <x:c r="L12" s="43" t="n">
        <x:f>IF(L$8=1,INDEX(Input!$D$32:$D$36,L$7+1),0)</x:f>
        <x:v>0</x:v>
      </x:c>
      <x:c r="M12" s="43" t="n">
        <x:f>IF(M$8=1,INDEX(Input!$D$32:$D$36,M$7+1),0)</x:f>
        <x:v>0</x:v>
      </x:c>
      <x:c r="N12" s="43" t="n">
        <x:f>IF(N$8=1,INDEX(Input!$D$32:$D$36,N$7+1),0)</x:f>
        <x:v>0</x:v>
      </x:c>
      <x:c r="O12" s="43" t="n">
        <x:f>IF(O$8=1,INDEX(Input!$D$32:$D$36,O$7+1),0)</x:f>
        <x:v>0</x:v>
      </x:c>
      <x:c r="P12" s="43" t="n">
        <x:f>IF(P$8=1,INDEX(Input!$D$32:$D$36,P$7+1),0)</x:f>
        <x:v>0</x:v>
      </x:c>
      <x:c r="Q12" s="43" t="n">
        <x:f>IF(Q$8=1,INDEX(Input!$D$32:$D$36,Q$7+1),0)</x:f>
        <x:v>0</x:v>
      </x:c>
      <x:c r="R12" s="43" t="n">
        <x:f>IF(R$8=1,INDEX(Input!$D$32:$D$36,R$7+1),0)</x:f>
        <x:v>0</x:v>
      </x:c>
      <x:c r="S12" s="43" t="n">
        <x:f>IF(S$8=1,INDEX(Input!$D$32:$D$36,S$7+1),0)</x:f>
        <x:v>0</x:v>
      </x:c>
      <x:c r="T12" s="43" t="n">
        <x:f>IF(T$8=1,INDEX(Input!$D$32:$D$36,T$7+1),0)</x:f>
        <x:v>0</x:v>
      </x:c>
      <x:c r="U12" s="43" t="n">
        <x:f>IF(U$8=1,INDEX(Input!$D$32:$D$36,U$7+1),0)</x:f>
        <x:v>0</x:v>
      </x:c>
      <x:c r="V12" s="43" t="n">
        <x:f>IF(V$8=1,INDEX(Input!$D$32:$D$36,V$7+1),0)</x:f>
        <x:v>0</x:v>
      </x:c>
      <x:c r="W12" s="43" t="n">
        <x:f>IF(W$8=1,INDEX(Input!$D$32:$D$36,W$7+1),0)</x:f>
        <x:v>0</x:v>
      </x:c>
      <x:c r="X12" s="43" t="n">
        <x:f>IF(X$8=1,INDEX(Input!$D$32:$D$36,X$7+1),0)</x:f>
        <x:v>0</x:v>
      </x:c>
      <x:c r="Y12" s="43" t="n">
        <x:f>IF(Y$8=1,INDEX(Input!$D$32:$D$36,Y$7+1),0)</x:f>
        <x:v>0</x:v>
      </x:c>
      <x:c r="Z12" s="43" t="n">
        <x:f>IF(Z$8=1,INDEX(Input!$D$32:$D$36,Z$7+1),0)</x:f>
        <x:v>0</x:v>
      </x:c>
      <x:c r="AA12" s="43" t="n">
        <x:f>IF(AA$8=1,INDEX(Input!$D$32:$D$36,AA$7+1),0)</x:f>
        <x:v>0</x:v>
      </x:c>
      <x:c r="AB12" s="43" t="n">
        <x:f>IF(AB$8=1,INDEX(Input!$D$32:$D$36,AB$7+1),0)</x:f>
        <x:v>0</x:v>
      </x:c>
      <x:c r="AC12" s="43" t="n">
        <x:f>IF(AC$8=1,INDEX(Input!$D$32:$D$36,AC$7+1),0)</x:f>
        <x:v>0</x:v>
      </x:c>
      <x:c r="AD12" s="43" t="n">
        <x:f>IF(AD$8=1,INDEX(Input!$D$32:$D$36,AD$7+1),0)</x:f>
        <x:v>0</x:v>
      </x:c>
      <x:c r="AE12" s="43" t="n">
        <x:f>IF(AE$8=1,INDEX(Input!$D$32:$D$36,AE$7+1),0)</x:f>
        <x:v>0</x:v>
      </x:c>
      <x:c r="AF12" s="43" t="n">
        <x:f>IF(AF$8=1,INDEX(Input!$D$32:$D$36,AF$7+1),0)</x:f>
        <x:v>0</x:v>
      </x:c>
    </x:row>
    <x:row r="13" ht="15" customHeight="1">
      <x:c r="A13" s="72" t="s">
        <x:v>209</x:v>
      </x:c>
      <x:c r="B13" s="73" t="s">
        <x:v>452</x:v>
      </x:c>
      <x:c r="C13" s="44" t="n">
        <x:f>Input!$D$21*C12</x:f>
        <x:v>2446</x:v>
      </x:c>
      <x:c r="D13" s="44" t="n">
        <x:f>Input!$D$21*D12</x:f>
        <x:v>3669</x:v>
      </x:c>
      <x:c r="E13" s="44" t="n">
        <x:f>Input!$D$21*E12</x:f>
        <x:v>0</x:v>
      </x:c>
      <x:c r="F13" s="44" t="n">
        <x:f>Input!$D$21*F12</x:f>
        <x:v>0</x:v>
      </x:c>
      <x:c r="G13" s="44" t="n">
        <x:f>Input!$D$21*G12</x:f>
        <x:v>0</x:v>
      </x:c>
      <x:c r="H13" s="44" t="n">
        <x:f>Input!$D$21*H12</x:f>
        <x:v>0</x:v>
      </x:c>
      <x:c r="I13" s="44" t="n">
        <x:f>Input!$D$21*I12</x:f>
        <x:v>0</x:v>
      </x:c>
      <x:c r="J13" s="44" t="n">
        <x:f>Input!$D$21*J12</x:f>
        <x:v>0</x:v>
      </x:c>
      <x:c r="K13" s="44" t="n">
        <x:f>Input!$D$21*K12</x:f>
        <x:v>0</x:v>
      </x:c>
      <x:c r="L13" s="44" t="n">
        <x:f>Input!$D$21*L12</x:f>
        <x:v>0</x:v>
      </x:c>
      <x:c r="M13" s="44" t="n">
        <x:f>Input!$D$21*M12</x:f>
        <x:v>0</x:v>
      </x:c>
      <x:c r="N13" s="44" t="n">
        <x:f>Input!$D$21*N12</x:f>
        <x:v>0</x:v>
      </x:c>
      <x:c r="O13" s="44" t="n">
        <x:f>Input!$D$21*O12</x:f>
        <x:v>0</x:v>
      </x:c>
      <x:c r="P13" s="44" t="n">
        <x:f>Input!$D$21*P12</x:f>
        <x:v>0</x:v>
      </x:c>
      <x:c r="Q13" s="44" t="n">
        <x:f>Input!$D$21*Q12</x:f>
        <x:v>0</x:v>
      </x:c>
      <x:c r="R13" s="44" t="n">
        <x:f>Input!$D$21*R12</x:f>
        <x:v>0</x:v>
      </x:c>
      <x:c r="S13" s="44" t="n">
        <x:f>Input!$D$21*S12</x:f>
        <x:v>0</x:v>
      </x:c>
      <x:c r="T13" s="44" t="n">
        <x:f>Input!$D$21*T12</x:f>
        <x:v>0</x:v>
      </x:c>
      <x:c r="U13" s="44" t="n">
        <x:f>Input!$D$21*U12</x:f>
        <x:v>0</x:v>
      </x:c>
      <x:c r="V13" s="44" t="n">
        <x:f>Input!$D$21*V12</x:f>
        <x:v>0</x:v>
      </x:c>
      <x:c r="W13" s="44" t="n">
        <x:f>Input!$D$21*W12</x:f>
        <x:v>0</x:v>
      </x:c>
      <x:c r="X13" s="44" t="n">
        <x:f>Input!$D$21*X12</x:f>
        <x:v>0</x:v>
      </x:c>
      <x:c r="Y13" s="44" t="n">
        <x:f>Input!$D$21*Y12</x:f>
        <x:v>0</x:v>
      </x:c>
      <x:c r="Z13" s="44" t="n">
        <x:f>Input!$D$21*Z12</x:f>
        <x:v>0</x:v>
      </x:c>
      <x:c r="AA13" s="44" t="n">
        <x:f>Input!$D$21*AA12</x:f>
        <x:v>0</x:v>
      </x:c>
      <x:c r="AB13" s="44" t="n">
        <x:f>Input!$D$21*AB12</x:f>
        <x:v>0</x:v>
      </x:c>
      <x:c r="AC13" s="44" t="n">
        <x:f>Input!$D$21*AC12</x:f>
        <x:v>0</x:v>
      </x:c>
      <x:c r="AD13" s="44" t="n">
        <x:f>Input!$D$21*AD12</x:f>
        <x:v>0</x:v>
      </x:c>
      <x:c r="AE13" s="44" t="n">
        <x:f>Input!$D$21*AE12</x:f>
        <x:v>0</x:v>
      </x:c>
      <x:c r="AF13" s="44" t="n">
        <x:f>Input!$D$21*AF12</x:f>
        <x:v>0</x:v>
      </x:c>
    </x:row>
    <x:row r="14" ht="15" customHeight="1">
      <x:c r="A14" s="72" t="s">
        <x:v>213</x:v>
      </x:c>
      <x:c r="B14" s="72" t="s">
        <x:v>453</x:v>
      </x:c>
      <x:c r="C14" s="45" t="n">
        <x:f>C13*Input!$D$23</x:f>
        <x:v>244.60000000000002</x:v>
      </x:c>
      <x:c r="D14" s="45" t="n">
        <x:f>D13*Input!$D$23</x:f>
        <x:v>366.90000000000003</x:v>
      </x:c>
      <x:c r="E14" s="45" t="n">
        <x:f>E13*Input!$D$23</x:f>
        <x:v>0</x:v>
      </x:c>
      <x:c r="F14" s="45" t="n">
        <x:f>F13*Input!$D$23</x:f>
        <x:v>0</x:v>
      </x:c>
      <x:c r="G14" s="45" t="n">
        <x:f>G13*Input!$D$23</x:f>
        <x:v>0</x:v>
      </x:c>
      <x:c r="H14" s="45" t="n">
        <x:f>H13*Input!$D$23</x:f>
        <x:v>0</x:v>
      </x:c>
      <x:c r="I14" s="45" t="n">
        <x:f>I13*Input!$D$23</x:f>
        <x:v>0</x:v>
      </x:c>
      <x:c r="J14" s="45" t="n">
        <x:f>J13*Input!$D$23</x:f>
        <x:v>0</x:v>
      </x:c>
      <x:c r="K14" s="45" t="n">
        <x:f>K13*Input!$D$23</x:f>
        <x:v>0</x:v>
      </x:c>
      <x:c r="L14" s="45" t="n">
        <x:f>L13*Input!$D$23</x:f>
        <x:v>0</x:v>
      </x:c>
      <x:c r="M14" s="45" t="n">
        <x:f>M13*Input!$D$23</x:f>
        <x:v>0</x:v>
      </x:c>
      <x:c r="N14" s="45" t="n">
        <x:f>N13*Input!$D$23</x:f>
        <x:v>0</x:v>
      </x:c>
      <x:c r="O14" s="45" t="n">
        <x:f>O13*Input!$D$23</x:f>
        <x:v>0</x:v>
      </x:c>
      <x:c r="P14" s="45" t="n">
        <x:f>P13*Input!$D$23</x:f>
        <x:v>0</x:v>
      </x:c>
      <x:c r="Q14" s="45" t="n">
        <x:f>Q13*Input!$D$23</x:f>
        <x:v>0</x:v>
      </x:c>
      <x:c r="R14" s="45" t="n">
        <x:f>R13*Input!$D$23</x:f>
        <x:v>0</x:v>
      </x:c>
      <x:c r="S14" s="45" t="n">
        <x:f>S13*Input!$D$23</x:f>
        <x:v>0</x:v>
      </x:c>
      <x:c r="T14" s="45" t="n">
        <x:f>T13*Input!$D$23</x:f>
        <x:v>0</x:v>
      </x:c>
      <x:c r="U14" s="45" t="n">
        <x:f>U13*Input!$D$23</x:f>
        <x:v>0</x:v>
      </x:c>
      <x:c r="V14" s="45" t="n">
        <x:f>V13*Input!$D$23</x:f>
        <x:v>0</x:v>
      </x:c>
      <x:c r="W14" s="45" t="n">
        <x:f>W13*Input!$D$23</x:f>
        <x:v>0</x:v>
      </x:c>
      <x:c r="X14" s="45" t="n">
        <x:f>X13*Input!$D$23</x:f>
        <x:v>0</x:v>
      </x:c>
      <x:c r="Y14" s="45" t="n">
        <x:f>Y13*Input!$D$23</x:f>
        <x:v>0</x:v>
      </x:c>
      <x:c r="Z14" s="45" t="n">
        <x:f>Z13*Input!$D$23</x:f>
        <x:v>0</x:v>
      </x:c>
      <x:c r="AA14" s="45" t="n">
        <x:f>AA13*Input!$D$23</x:f>
        <x:v>0</x:v>
      </x:c>
      <x:c r="AB14" s="45" t="n">
        <x:f>AB13*Input!$D$23</x:f>
        <x:v>0</x:v>
      </x:c>
      <x:c r="AC14" s="45" t="n">
        <x:f>AC13*Input!$D$23</x:f>
        <x:v>0</x:v>
      </x:c>
      <x:c r="AD14" s="45" t="n">
        <x:f>AD13*Input!$D$23</x:f>
        <x:v>0</x:v>
      </x:c>
      <x:c r="AE14" s="45" t="n">
        <x:f>AE13*Input!$D$23</x:f>
        <x:v>0</x:v>
      </x:c>
      <x:c r="AF14" s="45" t="n">
        <x:f>AF13*Input!$D$23</x:f>
        <x:v>0</x:v>
      </x:c>
    </x:row>
    <x:row r="15" ht="15" customHeight="1">
      <x:c r="A15" s="72" t="s">
        <x:v>218</x:v>
      </x:c>
      <x:c r="B15" s="73" t="s">
        <x:v>454</x:v>
      </x:c>
      <x:c r="C15" s="44" t="n">
        <x:f t="shared" ref="C15:AF15" si="0">SUM(C13:C14)</x:f>
        <x:v>2690.6</x:v>
      </x:c>
      <x:c r="D15" s="44">
        <x:f t="shared" si="0"/>
        <x:v>4035.9</x:v>
      </x:c>
      <x:c r="E15" s="44">
        <x:f t="shared" si="0"/>
        <x:v>0</x:v>
      </x:c>
      <x:c r="F15" s="44">
        <x:f t="shared" si="0"/>
        <x:v>0</x:v>
      </x:c>
      <x:c r="G15" s="44">
        <x:f t="shared" si="0"/>
        <x:v>0</x:v>
      </x:c>
      <x:c r="H15" s="44">
        <x:f t="shared" si="0"/>
        <x:v>0</x:v>
      </x:c>
      <x:c r="I15" s="44">
        <x:f t="shared" si="0"/>
        <x:v>0</x:v>
      </x:c>
      <x:c r="J15" s="44">
        <x:f t="shared" si="0"/>
        <x:v>0</x:v>
      </x:c>
      <x:c r="K15" s="44">
        <x:f t="shared" si="0"/>
        <x:v>0</x:v>
      </x:c>
      <x:c r="L15" s="44">
        <x:f t="shared" si="0"/>
        <x:v>0</x:v>
      </x:c>
      <x:c r="M15" s="44">
        <x:f t="shared" si="0"/>
        <x:v>0</x:v>
      </x:c>
      <x:c r="N15" s="44">
        <x:f t="shared" si="0"/>
        <x:v>0</x:v>
      </x:c>
      <x:c r="O15" s="44">
        <x:f t="shared" si="0"/>
        <x:v>0</x:v>
      </x:c>
      <x:c r="P15" s="44">
        <x:f t="shared" si="0"/>
        <x:v>0</x:v>
      </x:c>
      <x:c r="Q15" s="44">
        <x:f t="shared" si="0"/>
        <x:v>0</x:v>
      </x:c>
      <x:c r="R15" s="44">
        <x:f t="shared" si="0"/>
        <x:v>0</x:v>
      </x:c>
      <x:c r="S15" s="44">
        <x:f t="shared" si="0"/>
        <x:v>0</x:v>
      </x:c>
      <x:c r="T15" s="44">
        <x:f t="shared" si="0"/>
        <x:v>0</x:v>
      </x:c>
      <x:c r="U15" s="44">
        <x:f t="shared" si="0"/>
        <x:v>0</x:v>
      </x:c>
      <x:c r="V15" s="44">
        <x:f t="shared" si="0"/>
        <x:v>0</x:v>
      </x:c>
      <x:c r="W15" s="44">
        <x:f t="shared" si="0"/>
        <x:v>0</x:v>
      </x:c>
      <x:c r="X15" s="44">
        <x:f t="shared" si="0"/>
        <x:v>0</x:v>
      </x:c>
      <x:c r="Y15" s="44">
        <x:f t="shared" si="0"/>
        <x:v>0</x:v>
      </x:c>
      <x:c r="Z15" s="44">
        <x:f t="shared" si="0"/>
        <x:v>0</x:v>
      </x:c>
      <x:c r="AA15" s="44">
        <x:f t="shared" si="0"/>
        <x:v>0</x:v>
      </x:c>
      <x:c r="AB15" s="44">
        <x:f t="shared" si="0"/>
        <x:v>0</x:v>
      </x:c>
      <x:c r="AC15" s="44">
        <x:f t="shared" si="0"/>
        <x:v>0</x:v>
      </x:c>
      <x:c r="AD15" s="44">
        <x:f t="shared" si="0"/>
        <x:v>0</x:v>
      </x:c>
      <x:c r="AE15" s="44">
        <x:f t="shared" si="0"/>
        <x:v>0</x:v>
      </x:c>
      <x:c r="AF15" s="44">
        <x:f t="shared" si="0"/>
        <x:v>0</x:v>
      </x:c>
    </x:row>
    <x:row r="16" ht="15" customHeight="1">
      <x:c r="A16" s="72" t="s">
        <x:v>222</x:v>
      </x:c>
      <x:c r="B16" s="72" t="s">
        <x:v>455</x:v>
      </x:c>
      <x:c r="C16" s="45" t="n">
        <x:f>C14*Input!$D$24</x:f>
        <x:v>244.60000000000002</x:v>
      </x:c>
      <x:c r="D16" s="45" t="n">
        <x:f>D14*Input!$D$24</x:f>
        <x:v>366.90000000000003</x:v>
      </x:c>
      <x:c r="E16" s="45" t="n">
        <x:f>E14*Input!$D$24</x:f>
        <x:v>0</x:v>
      </x:c>
      <x:c r="F16" s="45" t="n">
        <x:f>F14*Input!$D$24</x:f>
        <x:v>0</x:v>
      </x:c>
      <x:c r="G16" s="45" t="n">
        <x:f>G14*Input!$D$24</x:f>
        <x:v>0</x:v>
      </x:c>
      <x:c r="H16" s="45" t="n">
        <x:f>H14*Input!$D$24</x:f>
        <x:v>0</x:v>
      </x:c>
      <x:c r="I16" s="45" t="n">
        <x:f>I14*Input!$D$24</x:f>
        <x:v>0</x:v>
      </x:c>
      <x:c r="J16" s="45" t="n">
        <x:f>J14*Input!$D$24</x:f>
        <x:v>0</x:v>
      </x:c>
      <x:c r="K16" s="45" t="n">
        <x:f>K14*Input!$D$24</x:f>
        <x:v>0</x:v>
      </x:c>
      <x:c r="L16" s="45" t="n">
        <x:f>L14*Input!$D$24</x:f>
        <x:v>0</x:v>
      </x:c>
      <x:c r="M16" s="45" t="n">
        <x:f>M14*Input!$D$24</x:f>
        <x:v>0</x:v>
      </x:c>
      <x:c r="N16" s="45" t="n">
        <x:f>N14*Input!$D$24</x:f>
        <x:v>0</x:v>
      </x:c>
      <x:c r="O16" s="45" t="n">
        <x:f>O14*Input!$D$24</x:f>
        <x:v>0</x:v>
      </x:c>
      <x:c r="P16" s="45" t="n">
        <x:f>P14*Input!$D$24</x:f>
        <x:v>0</x:v>
      </x:c>
      <x:c r="Q16" s="45" t="n">
        <x:f>Q14*Input!$D$24</x:f>
        <x:v>0</x:v>
      </x:c>
      <x:c r="R16" s="45" t="n">
        <x:f>R14*Input!$D$24</x:f>
        <x:v>0</x:v>
      </x:c>
      <x:c r="S16" s="45" t="n">
        <x:f>S14*Input!$D$24</x:f>
        <x:v>0</x:v>
      </x:c>
      <x:c r="T16" s="45" t="n">
        <x:f>T14*Input!$D$24</x:f>
        <x:v>0</x:v>
      </x:c>
      <x:c r="U16" s="45" t="n">
        <x:f>U14*Input!$D$24</x:f>
        <x:v>0</x:v>
      </x:c>
      <x:c r="V16" s="45" t="n">
        <x:f>V14*Input!$D$24</x:f>
        <x:v>0</x:v>
      </x:c>
      <x:c r="W16" s="45" t="n">
        <x:f>W14*Input!$D$24</x:f>
        <x:v>0</x:v>
      </x:c>
      <x:c r="X16" s="45" t="n">
        <x:f>X14*Input!$D$24</x:f>
        <x:v>0</x:v>
      </x:c>
      <x:c r="Y16" s="45" t="n">
        <x:f>Y14*Input!$D$24</x:f>
        <x:v>0</x:v>
      </x:c>
      <x:c r="Z16" s="45" t="n">
        <x:f>Z14*Input!$D$24</x:f>
        <x:v>0</x:v>
      </x:c>
      <x:c r="AA16" s="45" t="n">
        <x:f>AA14*Input!$D$24</x:f>
        <x:v>0</x:v>
      </x:c>
      <x:c r="AB16" s="45" t="n">
        <x:f>AB14*Input!$D$24</x:f>
        <x:v>0</x:v>
      </x:c>
      <x:c r="AC16" s="45" t="n">
        <x:f>AC14*Input!$D$24</x:f>
        <x:v>0</x:v>
      </x:c>
      <x:c r="AD16" s="45" t="n">
        <x:f>AD14*Input!$D$24</x:f>
        <x:v>0</x:v>
      </x:c>
      <x:c r="AE16" s="45" t="n">
        <x:f>AE14*Input!$D$24</x:f>
        <x:v>0</x:v>
      </x:c>
      <x:c r="AF16" s="45" t="n">
        <x:f>AF14*Input!$D$24</x:f>
        <x:v>0</x:v>
      </x:c>
    </x:row>
    <x:row r="17" ht="15" customHeight="1">
      <x:c r="A17" s="72" t="s">
        <x:v>226</x:v>
      </x:c>
      <x:c r="B17" s="72" t="s">
        <x:v>456</x:v>
      </x:c>
      <x:c r="C17" s="45" t="n">
        <x:f>IF(C$6="",0,SUMIFS($C$16:$AF$16,$C$6:$AF$6,C$6-Input!$D$27))</x:f>
        <x:v>0</x:v>
      </x:c>
      <x:c r="D17" s="45" t="n">
        <x:f>IF(D$6="",0,SUMIFS($C$16:$AF$16,$C$6:$AF$6,D$6-Input!$D$27))</x:f>
        <x:v>244.60000000000002</x:v>
      </x:c>
      <x:c r="E17" s="45" t="n">
        <x:f>IF(E$6="",0,SUMIFS($C$16:$AF$16,$C$6:$AF$6,E$6-Input!$D$27))</x:f>
        <x:v>366.90000000000003</x:v>
      </x:c>
      <x:c r="F17" s="45" t="n">
        <x:f>IF(F$6="",0,SUMIFS($C$16:$AF$16,$C$6:$AF$6,F$6-Input!$D$27))</x:f>
        <x:v>0</x:v>
      </x:c>
      <x:c r="G17" s="45" t="n">
        <x:f>IF(G$6="",0,SUMIFS($C$16:$AF$16,$C$6:$AF$6,G$6-Input!$D$27))</x:f>
        <x:v>0</x:v>
      </x:c>
      <x:c r="H17" s="45" t="n">
        <x:f>IF(H$6="",0,SUMIFS($C$16:$AF$16,$C$6:$AF$6,H$6-Input!$D$27))</x:f>
        <x:v>0</x:v>
      </x:c>
      <x:c r="I17" s="45" t="n">
        <x:f>IF(I$6="",0,SUMIFS($C$16:$AF$16,$C$6:$AF$6,I$6-Input!$D$27))</x:f>
        <x:v>0</x:v>
      </x:c>
      <x:c r="J17" s="45" t="n">
        <x:f>IF(J$6="",0,SUMIFS($C$16:$AF$16,$C$6:$AF$6,J$6-Input!$D$27))</x:f>
        <x:v>0</x:v>
      </x:c>
      <x:c r="K17" s="45" t="n">
        <x:f>IF(K$6="",0,SUMIFS($C$16:$AF$16,$C$6:$AF$6,K$6-Input!$D$27))</x:f>
        <x:v>0</x:v>
      </x:c>
      <x:c r="L17" s="45" t="n">
        <x:f>IF(L$6="",0,SUMIFS($C$16:$AF$16,$C$6:$AF$6,L$6-Input!$D$27))</x:f>
        <x:v>0</x:v>
      </x:c>
      <x:c r="M17" s="45" t="n">
        <x:f>IF(M$6="",0,SUMIFS($C$16:$AF$16,$C$6:$AF$6,M$6-Input!$D$27))</x:f>
        <x:v>0</x:v>
      </x:c>
      <x:c r="N17" s="45" t="n">
        <x:f>IF(N$6="",0,SUMIFS($C$16:$AF$16,$C$6:$AF$6,N$6-Input!$D$27))</x:f>
        <x:v>0</x:v>
      </x:c>
      <x:c r="O17" s="45" t="n">
        <x:f>IF(O$6="",0,SUMIFS($C$16:$AF$16,$C$6:$AF$6,O$6-Input!$D$27))</x:f>
        <x:v>0</x:v>
      </x:c>
      <x:c r="P17" s="45" t="n">
        <x:f>IF(P$6="",0,SUMIFS($C$16:$AF$16,$C$6:$AF$6,P$6-Input!$D$27))</x:f>
        <x:v>0</x:v>
      </x:c>
      <x:c r="Q17" s="45" t="n">
        <x:f>IF(Q$6="",0,SUMIFS($C$16:$AF$16,$C$6:$AF$6,Q$6-Input!$D$27))</x:f>
        <x:v>0</x:v>
      </x:c>
      <x:c r="R17" s="45" t="n">
        <x:f>IF(R$6="",0,SUMIFS($C$16:$AF$16,$C$6:$AF$6,R$6-Input!$D$27))</x:f>
        <x:v>0</x:v>
      </x:c>
      <x:c r="S17" s="45" t="n">
        <x:f>IF(S$6="",0,SUMIFS($C$16:$AF$16,$C$6:$AF$6,S$6-Input!$D$27))</x:f>
        <x:v>0</x:v>
      </x:c>
      <x:c r="T17" s="45" t="n">
        <x:f>IF(T$6="",0,SUMIFS($C$16:$AF$16,$C$6:$AF$6,T$6-Input!$D$27))</x:f>
        <x:v>0</x:v>
      </x:c>
      <x:c r="U17" s="45" t="n">
        <x:f>IF(U$6="",0,SUMIFS($C$16:$AF$16,$C$6:$AF$6,U$6-Input!$D$27))</x:f>
        <x:v>0</x:v>
      </x:c>
      <x:c r="V17" s="45" t="n">
        <x:f>IF(V$6="",0,SUMIFS($C$16:$AF$16,$C$6:$AF$6,V$6-Input!$D$27))</x:f>
        <x:v>0</x:v>
      </x:c>
      <x:c r="W17" s="45" t="n">
        <x:f>IF(W$6="",0,SUMIFS($C$16:$AF$16,$C$6:$AF$6,W$6-Input!$D$27))</x:f>
        <x:v>0</x:v>
      </x:c>
      <x:c r="X17" s="45" t="n">
        <x:f>IF(X$6="",0,SUMIFS($C$16:$AF$16,$C$6:$AF$6,X$6-Input!$D$27))</x:f>
        <x:v>0</x:v>
      </x:c>
      <x:c r="Y17" s="45" t="n">
        <x:f>IF(Y$6="",0,SUMIFS($C$16:$AF$16,$C$6:$AF$6,Y$6-Input!$D$27))</x:f>
        <x:v>0</x:v>
      </x:c>
      <x:c r="Z17" s="45" t="n">
        <x:f>IF(Z$6="",0,SUMIFS($C$16:$AF$16,$C$6:$AF$6,Z$6-Input!$D$27))</x:f>
        <x:v>0</x:v>
      </x:c>
      <x:c r="AA17" s="45" t="n">
        <x:f>IF(AA$6="",0,SUMIFS($C$16:$AF$16,$C$6:$AF$6,AA$6-Input!$D$27))</x:f>
        <x:v>0</x:v>
      </x:c>
      <x:c r="AB17" s="45" t="n">
        <x:f>IF(AB$6="",0,SUMIFS($C$16:$AF$16,$C$6:$AF$6,AB$6-Input!$D$27))</x:f>
        <x:v>0</x:v>
      </x:c>
      <x:c r="AC17" s="45" t="n">
        <x:f>IF(AC$6="",0,SUMIFS($C$16:$AF$16,$C$6:$AF$6,AC$6-Input!$D$27))</x:f>
        <x:v>0</x:v>
      </x:c>
      <x:c r="AD17" s="45" t="n">
        <x:f>IF(AD$6="",0,SUMIFS($C$16:$AF$16,$C$6:$AF$6,AD$6-Input!$D$27))</x:f>
        <x:v>0</x:v>
      </x:c>
      <x:c r="AE17" s="45" t="n">
        <x:f>IF(AE$6="",0,SUMIFS($C$16:$AF$16,$C$6:$AF$6,AE$6-Input!$D$27))</x:f>
        <x:v>0</x:v>
      </x:c>
      <x:c r="AF17" s="45" t="n">
        <x:f>IF(AF$6="",0,SUMIFS($C$16:$AF$16,$C$6:$AF$6,AF$6-Input!$D$27))</x:f>
        <x:v>0</x:v>
      </x:c>
    </x:row>
    <x:row r="18" ht="15" customHeight="1">
      <x:c r="A18" s="72" t="s">
        <x:v>230</x:v>
      </x:c>
      <x:c r="B18" s="72" t="s">
        <x:v>457</x:v>
      </x:c>
      <x:c r="C18" s="45" t="n">
        <x:f t="shared" ref="C18:AF18" si="1">C14-C16</x:f>
        <x:v>0</x:v>
      </x:c>
      <x:c r="D18" s="45">
        <x:f t="shared" si="1"/>
        <x:v>0</x:v>
      </x:c>
      <x:c r="E18" s="45">
        <x:f t="shared" si="1"/>
        <x:v>0</x:v>
      </x:c>
      <x:c r="F18" s="45">
        <x:f t="shared" si="1"/>
        <x:v>0</x:v>
      </x:c>
      <x:c r="G18" s="45">
        <x:f t="shared" si="1"/>
        <x:v>0</x:v>
      </x:c>
      <x:c r="H18" s="45">
        <x:f t="shared" si="1"/>
        <x:v>0</x:v>
      </x:c>
      <x:c r="I18" s="45">
        <x:f t="shared" si="1"/>
        <x:v>0</x:v>
      </x:c>
      <x:c r="J18" s="45">
        <x:f t="shared" si="1"/>
        <x:v>0</x:v>
      </x:c>
      <x:c r="K18" s="45">
        <x:f t="shared" si="1"/>
        <x:v>0</x:v>
      </x:c>
      <x:c r="L18" s="45">
        <x:f t="shared" si="1"/>
        <x:v>0</x:v>
      </x:c>
      <x:c r="M18" s="45">
        <x:f t="shared" si="1"/>
        <x:v>0</x:v>
      </x:c>
      <x:c r="N18" s="45">
        <x:f t="shared" si="1"/>
        <x:v>0</x:v>
      </x:c>
      <x:c r="O18" s="45">
        <x:f t="shared" si="1"/>
        <x:v>0</x:v>
      </x:c>
      <x:c r="P18" s="45">
        <x:f t="shared" si="1"/>
        <x:v>0</x:v>
      </x:c>
      <x:c r="Q18" s="45">
        <x:f t="shared" si="1"/>
        <x:v>0</x:v>
      </x:c>
      <x:c r="R18" s="45">
        <x:f t="shared" si="1"/>
        <x:v>0</x:v>
      </x:c>
      <x:c r="S18" s="45">
        <x:f t="shared" si="1"/>
        <x:v>0</x:v>
      </x:c>
      <x:c r="T18" s="45">
        <x:f t="shared" si="1"/>
        <x:v>0</x:v>
      </x:c>
      <x:c r="U18" s="45">
        <x:f t="shared" si="1"/>
        <x:v>0</x:v>
      </x:c>
      <x:c r="V18" s="45">
        <x:f t="shared" si="1"/>
        <x:v>0</x:v>
      </x:c>
      <x:c r="W18" s="45">
        <x:f t="shared" si="1"/>
        <x:v>0</x:v>
      </x:c>
      <x:c r="X18" s="45">
        <x:f t="shared" si="1"/>
        <x:v>0</x:v>
      </x:c>
      <x:c r="Y18" s="45">
        <x:f t="shared" si="1"/>
        <x:v>0</x:v>
      </x:c>
      <x:c r="Z18" s="45">
        <x:f t="shared" si="1"/>
        <x:v>0</x:v>
      </x:c>
      <x:c r="AA18" s="45">
        <x:f t="shared" si="1"/>
        <x:v>0</x:v>
      </x:c>
      <x:c r="AB18" s="45">
        <x:f t="shared" si="1"/>
        <x:v>0</x:v>
      </x:c>
      <x:c r="AC18" s="45">
        <x:f t="shared" si="1"/>
        <x:v>0</x:v>
      </x:c>
      <x:c r="AD18" s="45">
        <x:f t="shared" si="1"/>
        <x:v>0</x:v>
      </x:c>
      <x:c r="AE18" s="45">
        <x:f t="shared" si="1"/>
        <x:v>0</x:v>
      </x:c>
      <x:c r="AF18" s="45">
        <x:f t="shared" si="1"/>
        <x:v>0</x:v>
      </x:c>
    </x:row>
    <x:row r="19" ht="15" customHeight="1">
      <x:c r="A19" s="72" t="s">
        <x:v>235</x:v>
      </x:c>
      <x:c r="B19" s="73" t="s">
        <x:v>458</x:v>
      </x:c>
      <x:c r="C19" s="44" t="n">
        <x:f t="shared" ref="C19:AF19" si="2">SUM(C13,C18)</x:f>
        <x:v>2446</x:v>
      </x:c>
      <x:c r="D19" s="44">
        <x:f t="shared" si="2"/>
        <x:v>3669</x:v>
      </x:c>
      <x:c r="E19" s="44">
        <x:f t="shared" si="2"/>
        <x:v>0</x:v>
      </x:c>
      <x:c r="F19" s="44">
        <x:f t="shared" si="2"/>
        <x:v>0</x:v>
      </x:c>
      <x:c r="G19" s="44">
        <x:f t="shared" si="2"/>
        <x:v>0</x:v>
      </x:c>
      <x:c r="H19" s="44">
        <x:f t="shared" si="2"/>
        <x:v>0</x:v>
      </x:c>
      <x:c r="I19" s="44">
        <x:f t="shared" si="2"/>
        <x:v>0</x:v>
      </x:c>
      <x:c r="J19" s="44">
        <x:f t="shared" si="2"/>
        <x:v>0</x:v>
      </x:c>
      <x:c r="K19" s="44">
        <x:f t="shared" si="2"/>
        <x:v>0</x:v>
      </x:c>
      <x:c r="L19" s="44">
        <x:f t="shared" si="2"/>
        <x:v>0</x:v>
      </x:c>
      <x:c r="M19" s="44">
        <x:f t="shared" si="2"/>
        <x:v>0</x:v>
      </x:c>
      <x:c r="N19" s="44">
        <x:f t="shared" si="2"/>
        <x:v>0</x:v>
      </x:c>
      <x:c r="O19" s="44">
        <x:f t="shared" si="2"/>
        <x:v>0</x:v>
      </x:c>
      <x:c r="P19" s="44">
        <x:f t="shared" si="2"/>
        <x:v>0</x:v>
      </x:c>
      <x:c r="Q19" s="44">
        <x:f t="shared" si="2"/>
        <x:v>0</x:v>
      </x:c>
      <x:c r="R19" s="44">
        <x:f t="shared" si="2"/>
        <x:v>0</x:v>
      </x:c>
      <x:c r="S19" s="44">
        <x:f t="shared" si="2"/>
        <x:v>0</x:v>
      </x:c>
      <x:c r="T19" s="44">
        <x:f t="shared" si="2"/>
        <x:v>0</x:v>
      </x:c>
      <x:c r="U19" s="44">
        <x:f t="shared" si="2"/>
        <x:v>0</x:v>
      </x:c>
      <x:c r="V19" s="44">
        <x:f t="shared" si="2"/>
        <x:v>0</x:v>
      </x:c>
      <x:c r="W19" s="44">
        <x:f t="shared" si="2"/>
        <x:v>0</x:v>
      </x:c>
      <x:c r="X19" s="44">
        <x:f t="shared" si="2"/>
        <x:v>0</x:v>
      </x:c>
      <x:c r="Y19" s="44">
        <x:f t="shared" si="2"/>
        <x:v>0</x:v>
      </x:c>
      <x:c r="Z19" s="44">
        <x:f t="shared" si="2"/>
        <x:v>0</x:v>
      </x:c>
      <x:c r="AA19" s="44">
        <x:f t="shared" si="2"/>
        <x:v>0</x:v>
      </x:c>
      <x:c r="AB19" s="44">
        <x:f t="shared" si="2"/>
        <x:v>0</x:v>
      </x:c>
      <x:c r="AC19" s="44">
        <x:f t="shared" si="2"/>
        <x:v>0</x:v>
      </x:c>
      <x:c r="AD19" s="44">
        <x:f t="shared" si="2"/>
        <x:v>0</x:v>
      </x:c>
      <x:c r="AE19" s="44">
        <x:f t="shared" si="2"/>
        <x:v>0</x:v>
      </x:c>
      <x:c r="AF19" s="44">
        <x:f t="shared" si="2"/>
        <x:v>0</x:v>
      </x:c>
    </x:row>
    <x:row r="20" ht="15" customHeight="1">
      <x:c r="A20" s="72" t="s">
        <x:v>239</x:v>
      </x:c>
      <x:c r="B20" s="73" t="s">
        <x:v>459</x:v>
      </x:c>
      <x:c r="C20" s="44" t="n">
        <x:f>C19*Input!$D$55</x:f>
        <x:v>1712.1999999999998</x:v>
      </x:c>
      <x:c r="D20" s="44" t="n">
        <x:f>D19*Input!$D$55</x:f>
        <x:v>2568.2999999999997</x:v>
      </x:c>
      <x:c r="E20" s="44" t="n">
        <x:f>E19*Input!$D$55</x:f>
        <x:v>0</x:v>
      </x:c>
      <x:c r="F20" s="44" t="n">
        <x:f>F19*Input!$D$55</x:f>
        <x:v>0</x:v>
      </x:c>
      <x:c r="G20" s="44" t="n">
        <x:f>G19*Input!$D$55</x:f>
        <x:v>0</x:v>
      </x:c>
      <x:c r="H20" s="44" t="n">
        <x:f>H19*Input!$D$55</x:f>
        <x:v>0</x:v>
      </x:c>
      <x:c r="I20" s="44" t="n">
        <x:f>I19*Input!$D$55</x:f>
        <x:v>0</x:v>
      </x:c>
      <x:c r="J20" s="44" t="n">
        <x:f>J19*Input!$D$55</x:f>
        <x:v>0</x:v>
      </x:c>
      <x:c r="K20" s="44" t="n">
        <x:f>K19*Input!$D$55</x:f>
        <x:v>0</x:v>
      </x:c>
      <x:c r="L20" s="44" t="n">
        <x:f>L19*Input!$D$55</x:f>
        <x:v>0</x:v>
      </x:c>
      <x:c r="M20" s="44" t="n">
        <x:f>M19*Input!$D$55</x:f>
        <x:v>0</x:v>
      </x:c>
      <x:c r="N20" s="44" t="n">
        <x:f>N19*Input!$D$55</x:f>
        <x:v>0</x:v>
      </x:c>
      <x:c r="O20" s="44" t="n">
        <x:f>O19*Input!$D$55</x:f>
        <x:v>0</x:v>
      </x:c>
      <x:c r="P20" s="44" t="n">
        <x:f>P19*Input!$D$55</x:f>
        <x:v>0</x:v>
      </x:c>
      <x:c r="Q20" s="44" t="n">
        <x:f>Q19*Input!$D$55</x:f>
        <x:v>0</x:v>
      </x:c>
      <x:c r="R20" s="44" t="n">
        <x:f>R19*Input!$D$55</x:f>
        <x:v>0</x:v>
      </x:c>
      <x:c r="S20" s="44" t="n">
        <x:f>S19*Input!$D$55</x:f>
        <x:v>0</x:v>
      </x:c>
      <x:c r="T20" s="44" t="n">
        <x:f>T19*Input!$D$55</x:f>
        <x:v>0</x:v>
      </x:c>
      <x:c r="U20" s="44" t="n">
        <x:f>U19*Input!$D$55</x:f>
        <x:v>0</x:v>
      </x:c>
      <x:c r="V20" s="44" t="n">
        <x:f>V19*Input!$D$55</x:f>
        <x:v>0</x:v>
      </x:c>
      <x:c r="W20" s="44" t="n">
        <x:f>W19*Input!$D$55</x:f>
        <x:v>0</x:v>
      </x:c>
      <x:c r="X20" s="44" t="n">
        <x:f>X19*Input!$D$55</x:f>
        <x:v>0</x:v>
      </x:c>
      <x:c r="Y20" s="44" t="n">
        <x:f>Y19*Input!$D$55</x:f>
        <x:v>0</x:v>
      </x:c>
      <x:c r="Z20" s="44" t="n">
        <x:f>Z19*Input!$D$55</x:f>
        <x:v>0</x:v>
      </x:c>
      <x:c r="AA20" s="44" t="n">
        <x:f>AA19*Input!$D$55</x:f>
        <x:v>0</x:v>
      </x:c>
      <x:c r="AB20" s="44" t="n">
        <x:f>AB19*Input!$D$55</x:f>
        <x:v>0</x:v>
      </x:c>
      <x:c r="AC20" s="44" t="n">
        <x:f>AC19*Input!$D$55</x:f>
        <x:v>0</x:v>
      </x:c>
      <x:c r="AD20" s="44" t="n">
        <x:f>AD19*Input!$D$55</x:f>
        <x:v>0</x:v>
      </x:c>
      <x:c r="AE20" s="44" t="n">
        <x:f>AE19*Input!$D$55</x:f>
        <x:v>0</x:v>
      </x:c>
      <x:c r="AF20" s="44" t="n">
        <x:f>AF19*Input!$D$55</x:f>
        <x:v>0</x:v>
      </x:c>
    </x:row>
    <x:row r="21" ht="15" customHeight="1">
      <x:c r="A21" s="72" t="s">
        <x:v>460</x:v>
      </x:c>
      <x:c r="B21" s="72" t="s">
        <x:v>461</x:v>
      </x:c>
      <x:c r="C21" s="45" t="n">
        <x:f t="shared" ref="C21:AF21" si="3">C19-C20</x:f>
        <x:v>733.8000000000002</x:v>
      </x:c>
      <x:c r="D21" s="45">
        <x:f t="shared" si="3"/>
        <x:v>1100.7000000000003</x:v>
      </x:c>
      <x:c r="E21" s="45">
        <x:f t="shared" si="3"/>
        <x:v>0</x:v>
      </x:c>
      <x:c r="F21" s="45">
        <x:f t="shared" si="3"/>
        <x:v>0</x:v>
      </x:c>
      <x:c r="G21" s="45">
        <x:f t="shared" si="3"/>
        <x:v>0</x:v>
      </x:c>
      <x:c r="H21" s="45">
        <x:f t="shared" si="3"/>
        <x:v>0</x:v>
      </x:c>
      <x:c r="I21" s="45">
        <x:f t="shared" si="3"/>
        <x:v>0</x:v>
      </x:c>
      <x:c r="J21" s="45">
        <x:f t="shared" si="3"/>
        <x:v>0</x:v>
      </x:c>
      <x:c r="K21" s="45">
        <x:f t="shared" si="3"/>
        <x:v>0</x:v>
      </x:c>
      <x:c r="L21" s="45">
        <x:f t="shared" si="3"/>
        <x:v>0</x:v>
      </x:c>
      <x:c r="M21" s="45">
        <x:f t="shared" si="3"/>
        <x:v>0</x:v>
      </x:c>
      <x:c r="N21" s="45">
        <x:f t="shared" si="3"/>
        <x:v>0</x:v>
      </x:c>
      <x:c r="O21" s="45">
        <x:f t="shared" si="3"/>
        <x:v>0</x:v>
      </x:c>
      <x:c r="P21" s="45">
        <x:f t="shared" si="3"/>
        <x:v>0</x:v>
      </x:c>
      <x:c r="Q21" s="45">
        <x:f t="shared" si="3"/>
        <x:v>0</x:v>
      </x:c>
      <x:c r="R21" s="45">
        <x:f t="shared" si="3"/>
        <x:v>0</x:v>
      </x:c>
      <x:c r="S21" s="45">
        <x:f t="shared" si="3"/>
        <x:v>0</x:v>
      </x:c>
      <x:c r="T21" s="45">
        <x:f t="shared" si="3"/>
        <x:v>0</x:v>
      </x:c>
      <x:c r="U21" s="45">
        <x:f t="shared" si="3"/>
        <x:v>0</x:v>
      </x:c>
      <x:c r="V21" s="45">
        <x:f t="shared" si="3"/>
        <x:v>0</x:v>
      </x:c>
      <x:c r="W21" s="45">
        <x:f t="shared" si="3"/>
        <x:v>0</x:v>
      </x:c>
      <x:c r="X21" s="45">
        <x:f t="shared" si="3"/>
        <x:v>0</x:v>
      </x:c>
      <x:c r="Y21" s="45">
        <x:f t="shared" si="3"/>
        <x:v>0</x:v>
      </x:c>
      <x:c r="Z21" s="45">
        <x:f t="shared" si="3"/>
        <x:v>0</x:v>
      </x:c>
      <x:c r="AA21" s="45">
        <x:f t="shared" si="3"/>
        <x:v>0</x:v>
      </x:c>
      <x:c r="AB21" s="45">
        <x:f t="shared" si="3"/>
        <x:v>0</x:v>
      </x:c>
      <x:c r="AC21" s="45">
        <x:f t="shared" si="3"/>
        <x:v>0</x:v>
      </x:c>
      <x:c r="AD21" s="45">
        <x:f t="shared" si="3"/>
        <x:v>0</x:v>
      </x:c>
      <x:c r="AE21" s="45">
        <x:f t="shared" si="3"/>
        <x:v>0</x:v>
      </x:c>
      <x:c r="AF21" s="45">
        <x:f t="shared" si="3"/>
        <x:v>0</x:v>
      </x:c>
    </x:row>
    <x:row r="22" ht="15" customHeight="1">
      <x:c r="A22" s="72" t="s">
        <x:v>462</x:v>
      </x:c>
      <x:c r="B22" s="72" t="s">
        <x:v>346</x:v>
      </x:c>
      <x:c r="C22" s="45" t="n">
        <x:f>Input!$D$63*Input!$D$61</x:f>
        <x:v>42.805</x:v>
      </x:c>
      <x:c r="D22" s="45" t="n">
        <x:f>0</x:f>
        <x:v>0</x:v>
      </x:c>
      <x:c r="E22" s="45" t="n">
        <x:f>0</x:f>
        <x:v>0</x:v>
      </x:c>
      <x:c r="F22" s="45" t="n">
        <x:f>0</x:f>
        <x:v>0</x:v>
      </x:c>
      <x:c r="G22" s="45" t="n">
        <x:f>0</x:f>
        <x:v>0</x:v>
      </x:c>
      <x:c r="H22" s="45" t="n">
        <x:f>0</x:f>
        <x:v>0</x:v>
      </x:c>
      <x:c r="I22" s="45" t="n">
        <x:f>0</x:f>
        <x:v>0</x:v>
      </x:c>
      <x:c r="J22" s="45" t="n">
        <x:f>0</x:f>
        <x:v>0</x:v>
      </x:c>
      <x:c r="K22" s="45" t="n">
        <x:f>0</x:f>
        <x:v>0</x:v>
      </x:c>
      <x:c r="L22" s="45" t="n">
        <x:f>0</x:f>
        <x:v>0</x:v>
      </x:c>
      <x:c r="M22" s="45" t="n">
        <x:f>0</x:f>
        <x:v>0</x:v>
      </x:c>
      <x:c r="N22" s="45" t="n">
        <x:f>0</x:f>
        <x:v>0</x:v>
      </x:c>
      <x:c r="O22" s="45" t="n">
        <x:f>0</x:f>
        <x:v>0</x:v>
      </x:c>
      <x:c r="P22" s="45" t="n">
        <x:f>0</x:f>
        <x:v>0</x:v>
      </x:c>
      <x:c r="Q22" s="45" t="n">
        <x:f>0</x:f>
        <x:v>0</x:v>
      </x:c>
      <x:c r="R22" s="45" t="n">
        <x:f>0</x:f>
        <x:v>0</x:v>
      </x:c>
      <x:c r="S22" s="45" t="n">
        <x:f>0</x:f>
        <x:v>0</x:v>
      </x:c>
      <x:c r="T22" s="45" t="n">
        <x:f>0</x:f>
        <x:v>0</x:v>
      </x:c>
      <x:c r="U22" s="45" t="n">
        <x:f>0</x:f>
        <x:v>0</x:v>
      </x:c>
      <x:c r="V22" s="45" t="n">
        <x:f>0</x:f>
        <x:v>0</x:v>
      </x:c>
      <x:c r="W22" s="45" t="n">
        <x:f>0</x:f>
        <x:v>0</x:v>
      </x:c>
      <x:c r="X22" s="45" t="n">
        <x:f>0</x:f>
        <x:v>0</x:v>
      </x:c>
      <x:c r="Y22" s="45" t="n">
        <x:f>0</x:f>
        <x:v>0</x:v>
      </x:c>
      <x:c r="Z22" s="45" t="n">
        <x:f>0</x:f>
        <x:v>0</x:v>
      </x:c>
      <x:c r="AA22" s="45" t="n">
        <x:f>0</x:f>
        <x:v>0</x:v>
      </x:c>
      <x:c r="AB22" s="45" t="n">
        <x:f>0</x:f>
        <x:v>0</x:v>
      </x:c>
      <x:c r="AC22" s="45" t="n">
        <x:f>0</x:f>
        <x:v>0</x:v>
      </x:c>
      <x:c r="AD22" s="45" t="n">
        <x:f>0</x:f>
        <x:v>0</x:v>
      </x:c>
      <x:c r="AE22" s="45" t="n">
        <x:f>0</x:f>
        <x:v>0</x:v>
      </x:c>
      <x:c r="AF22" s="45" t="n">
        <x:f>0</x:f>
        <x:v>0</x:v>
      </x:c>
    </x:row>
    <x:row r="23" ht="15" customHeight="1">
      <x:c r="A23" s="72" t="s">
        <x:v>463</x:v>
      </x:c>
      <x:c r="B23" s="72" t="s">
        <x:v>464</x:v>
      </x:c>
      <x:c r="C23" s="45" t="n">
        <x:f>IF(C$8=1,Debt!C16,0)</x:f>
        <x:v>85.61</x:v>
      </x:c>
      <x:c r="D23" s="45" t="n">
        <x:f>IF(D$8=1,Debt!D16,0)</x:f>
        <x:v>299.63499999999993</x:v>
      </x:c>
      <x:c r="E23" s="45" t="n">
        <x:f>IF(E$8=1,Debt!E16,0)</x:f>
        <x:v>0</x:v>
      </x:c>
      <x:c r="F23" s="45" t="n">
        <x:f>IF(F$8=1,Debt!F16,0)</x:f>
        <x:v>0</x:v>
      </x:c>
      <x:c r="G23" s="45" t="n">
        <x:f>IF(G$8=1,Debt!G16,0)</x:f>
        <x:v>0</x:v>
      </x:c>
      <x:c r="H23" s="45" t="n">
        <x:f>IF(H$8=1,Debt!H16,0)</x:f>
        <x:v>0</x:v>
      </x:c>
      <x:c r="I23" s="45" t="n">
        <x:f>IF(I$8=1,Debt!I16,0)</x:f>
        <x:v>0</x:v>
      </x:c>
      <x:c r="J23" s="45" t="n">
        <x:f>IF(J$8=1,Debt!J16,0)</x:f>
        <x:v>0</x:v>
      </x:c>
      <x:c r="K23" s="45" t="n">
        <x:f>IF(K$8=1,Debt!K16,0)</x:f>
        <x:v>0</x:v>
      </x:c>
      <x:c r="L23" s="45" t="n">
        <x:f>IF(L$8=1,Debt!L16,0)</x:f>
        <x:v>0</x:v>
      </x:c>
      <x:c r="M23" s="45" t="n">
        <x:f>IF(M$8=1,Debt!M16,0)</x:f>
        <x:v>0</x:v>
      </x:c>
      <x:c r="N23" s="45" t="n">
        <x:f>IF(N$8=1,Debt!N16,0)</x:f>
        <x:v>0</x:v>
      </x:c>
      <x:c r="O23" s="45" t="n">
        <x:f>IF(O$8=1,Debt!O16,0)</x:f>
        <x:v>0</x:v>
      </x:c>
      <x:c r="P23" s="45" t="n">
        <x:f>IF(P$8=1,Debt!P16,0)</x:f>
        <x:v>0</x:v>
      </x:c>
      <x:c r="Q23" s="45" t="n">
        <x:f>IF(Q$8=1,Debt!Q16,0)</x:f>
        <x:v>0</x:v>
      </x:c>
      <x:c r="R23" s="45" t="n">
        <x:f>IF(R$8=1,Debt!R16,0)</x:f>
        <x:v>0</x:v>
      </x:c>
      <x:c r="S23" s="45" t="n">
        <x:f>IF(S$8=1,Debt!S16,0)</x:f>
        <x:v>0</x:v>
      </x:c>
      <x:c r="T23" s="45" t="n">
        <x:f>IF(T$8=1,Debt!T16,0)</x:f>
        <x:v>0</x:v>
      </x:c>
      <x:c r="U23" s="45" t="n">
        <x:f>IF(U$8=1,Debt!U16,0)</x:f>
        <x:v>0</x:v>
      </x:c>
      <x:c r="V23" s="45" t="n">
        <x:f>IF(V$8=1,Debt!V16,0)</x:f>
        <x:v>0</x:v>
      </x:c>
      <x:c r="W23" s="45" t="n">
        <x:f>IF(W$8=1,Debt!W16,0)</x:f>
        <x:v>0</x:v>
      </x:c>
      <x:c r="X23" s="45" t="n">
        <x:f>IF(X$8=1,Debt!X16,0)</x:f>
        <x:v>0</x:v>
      </x:c>
      <x:c r="Y23" s="45" t="n">
        <x:f>IF(Y$8=1,Debt!Y16,0)</x:f>
        <x:v>0</x:v>
      </x:c>
      <x:c r="Z23" s="45" t="n">
        <x:f>IF(Z$8=1,Debt!Z16,0)</x:f>
        <x:v>0</x:v>
      </x:c>
      <x:c r="AA23" s="45" t="n">
        <x:f>IF(AA$8=1,Debt!AA16,0)</x:f>
        <x:v>0</x:v>
      </x:c>
      <x:c r="AB23" s="45" t="n">
        <x:f>IF(AB$8=1,Debt!AB16,0)</x:f>
        <x:v>0</x:v>
      </x:c>
      <x:c r="AC23" s="45" t="n">
        <x:f>IF(AC$8=1,Debt!AC16,0)</x:f>
        <x:v>0</x:v>
      </x:c>
      <x:c r="AD23" s="45" t="n">
        <x:f>IF(AD$8=1,Debt!AD16,0)</x:f>
        <x:v>0</x:v>
      </x:c>
      <x:c r="AE23" s="45" t="n">
        <x:f>IF(AE$8=1,Debt!AE16,0)</x:f>
        <x:v>0</x:v>
      </x:c>
      <x:c r="AF23" s="45" t="n">
        <x:f>IF(AF$8=1,Debt!AF16,0)</x:f>
        <x:v>0</x:v>
      </x:c>
    </x:row>
    <x:row r="24" ht="15" customHeight="1">
      <x:c r="A24" s="72" t="s">
        <x:v>465</x:v>
      </x:c>
      <x:c r="B24" s="73" t="s">
        <x:v>466</x:v>
      </x:c>
      <x:c r="C24" s="44" t="n">
        <x:f t="shared" ref="C24:AF24" si="4">C15+C22+IF(C$8=1,C23,0)-C20-C17</x:f>
        <x:v>1106.815</x:v>
      </x:c>
      <x:c r="D24" s="44">
        <x:f t="shared" si="4"/>
        <x:v>1522.6350000000002</x:v>
      </x:c>
      <x:c r="E24" s="44">
        <x:f t="shared" si="4"/>
        <x:v>-366.90000000000003</x:v>
      </x:c>
      <x:c r="F24" s="44">
        <x:f t="shared" si="4"/>
        <x:v>0</x:v>
      </x:c>
      <x:c r="G24" s="44">
        <x:f t="shared" si="4"/>
        <x:v>0</x:v>
      </x:c>
      <x:c r="H24" s="44">
        <x:f t="shared" si="4"/>
        <x:v>0</x:v>
      </x:c>
      <x:c r="I24" s="44">
        <x:f t="shared" si="4"/>
        <x:v>0</x:v>
      </x:c>
      <x:c r="J24" s="44">
        <x:f t="shared" si="4"/>
        <x:v>0</x:v>
      </x:c>
      <x:c r="K24" s="44">
        <x:f t="shared" si="4"/>
        <x:v>0</x:v>
      </x:c>
      <x:c r="L24" s="44">
        <x:f t="shared" si="4"/>
        <x:v>0</x:v>
      </x:c>
      <x:c r="M24" s="44">
        <x:f t="shared" si="4"/>
        <x:v>0</x:v>
      </x:c>
      <x:c r="N24" s="44">
        <x:f t="shared" si="4"/>
        <x:v>0</x:v>
      </x:c>
      <x:c r="O24" s="44">
        <x:f t="shared" si="4"/>
        <x:v>0</x:v>
      </x:c>
      <x:c r="P24" s="44">
        <x:f t="shared" si="4"/>
        <x:v>0</x:v>
      </x:c>
      <x:c r="Q24" s="44">
        <x:f t="shared" si="4"/>
        <x:v>0</x:v>
      </x:c>
      <x:c r="R24" s="44">
        <x:f t="shared" si="4"/>
        <x:v>0</x:v>
      </x:c>
      <x:c r="S24" s="44">
        <x:f t="shared" si="4"/>
        <x:v>0</x:v>
      </x:c>
      <x:c r="T24" s="44">
        <x:f t="shared" si="4"/>
        <x:v>0</x:v>
      </x:c>
      <x:c r="U24" s="44">
        <x:f t="shared" si="4"/>
        <x:v>0</x:v>
      </x:c>
      <x:c r="V24" s="44">
        <x:f t="shared" si="4"/>
        <x:v>0</x:v>
      </x:c>
      <x:c r="W24" s="44">
        <x:f t="shared" si="4"/>
        <x:v>0</x:v>
      </x:c>
      <x:c r="X24" s="44">
        <x:f t="shared" si="4"/>
        <x:v>0</x:v>
      </x:c>
      <x:c r="Y24" s="44">
        <x:f t="shared" si="4"/>
        <x:v>0</x:v>
      </x:c>
      <x:c r="Z24" s="44">
        <x:f t="shared" si="4"/>
        <x:v>0</x:v>
      </x:c>
      <x:c r="AA24" s="44">
        <x:f t="shared" si="4"/>
        <x:v>0</x:v>
      </x:c>
      <x:c r="AB24" s="44">
        <x:f t="shared" si="4"/>
        <x:v>0</x:v>
      </x:c>
      <x:c r="AC24" s="44">
        <x:f t="shared" si="4"/>
        <x:v>0</x:v>
      </x:c>
      <x:c r="AD24" s="44">
        <x:f t="shared" si="4"/>
        <x:v>0</x:v>
      </x:c>
      <x:c r="AE24" s="44">
        <x:f t="shared" si="4"/>
        <x:v>0</x:v>
      </x:c>
      <x:c r="AF24" s="44">
        <x:f t="shared" si="4"/>
        <x:v>0</x:v>
      </x:c>
    </x:row>
    <x:row r="25" ht="15" customHeight="1">
      <x:c r="A25" s="70"/>
      <x:c r="B25" s="70"/>
      <x:c r="C25" s="65"/>
      <x:c r="D25" s="65"/>
      <x:c r="E25" s="65"/>
      <x:c r="F25" s="65"/>
      <x:c r="G25" s="65"/>
      <x:c r="H25" s="65"/>
      <x:c r="I25" s="65"/>
      <x:c r="J25" s="65"/>
      <x:c r="K25" s="65"/>
      <x:c r="L25" s="65"/>
      <x:c r="M25" s="65"/>
      <x:c r="N25" s="65"/>
      <x:c r="O25" s="65"/>
      <x:c r="P25" s="65"/>
      <x:c r="Q25" s="65"/>
      <x:c r="R25" s="65"/>
      <x:c r="S25" s="65"/>
      <x:c r="T25" s="65"/>
      <x:c r="U25" s="65"/>
      <x:c r="V25" s="65"/>
      <x:c r="W25" s="65"/>
      <x:c r="X25" s="65"/>
      <x:c r="Y25" s="65"/>
      <x:c r="Z25" s="65"/>
      <x:c r="AA25" s="65"/>
      <x:c r="AB25" s="65"/>
      <x:c r="AC25" s="65"/>
      <x:c r="AD25" s="65"/>
      <x:c r="AE25" s="65"/>
      <x:c r="AF25" s="65"/>
    </x:row>
    <x:row r="26" ht="15" customHeight="1">
      <x:c r="A26" s="136" t="s">
        <x:v>467</x:v>
      </x:c>
      <x:c r="B26" s="136"/>
      <x:c r="C26" s="137"/>
      <x:c r="D26" s="137"/>
      <x:c r="E26" s="137"/>
      <x:c r="F26" s="137"/>
      <x:c r="G26" s="137"/>
      <x:c r="H26" s="137"/>
      <x:c r="I26" s="137"/>
      <x:c r="J26" s="137"/>
      <x:c r="K26" s="137"/>
      <x:c r="L26" s="137"/>
      <x:c r="M26" s="137"/>
      <x:c r="N26" s="137"/>
      <x:c r="O26" s="137"/>
      <x:c r="P26" s="137"/>
      <x:c r="Q26" s="137"/>
      <x:c r="R26" s="137"/>
      <x:c r="S26" s="137"/>
      <x:c r="T26" s="137"/>
      <x:c r="U26" s="137"/>
      <x:c r="V26" s="137"/>
      <x:c r="W26" s="137"/>
      <x:c r="X26" s="137"/>
      <x:c r="Y26" s="137"/>
      <x:c r="Z26" s="137"/>
      <x:c r="AA26" s="137"/>
      <x:c r="AB26" s="137"/>
      <x:c r="AC26" s="137"/>
      <x:c r="AD26" s="137"/>
      <x:c r="AE26" s="137"/>
      <x:c r="AF26" s="137"/>
    </x:row>
    <x:row r="27" ht="15" customHeight="1">
      <x:c r="A27" s="70" t="s">
        <x:v>432</x:v>
      </x:c>
      <x:c r="B27" s="70" t="s">
        <x:v>261</x:v>
      </x:c>
      <x:c r="C27" s="67" t="n">
        <x:f>SUM(C12:AF12)</x:f>
        <x:v>1</x:v>
      </x:c>
      <x:c r="D27" s="65"/>
      <x:c r="E27" s="65"/>
      <x:c r="F27" s="65"/>
      <x:c r="G27" s="65"/>
      <x:c r="H27" s="65"/>
      <x:c r="I27" s="65"/>
      <x:c r="J27" s="65"/>
      <x:c r="K27" s="65"/>
      <x:c r="L27" s="65"/>
      <x:c r="M27" s="65"/>
      <x:c r="N27" s="65"/>
      <x:c r="O27" s="65"/>
      <x:c r="P27" s="65"/>
      <x:c r="Q27" s="65"/>
      <x:c r="R27" s="65"/>
      <x:c r="S27" s="65"/>
      <x:c r="T27" s="65"/>
      <x:c r="U27" s="65"/>
      <x:c r="V27" s="65"/>
      <x:c r="W27" s="65"/>
      <x:c r="X27" s="65"/>
      <x:c r="Y27" s="65"/>
      <x:c r="Z27" s="65"/>
      <x:c r="AA27" s="65"/>
      <x:c r="AB27" s="65"/>
      <x:c r="AC27" s="65"/>
      <x:c r="AD27" s="65"/>
      <x:c r="AE27" s="65"/>
      <x:c r="AF27" s="65"/>
    </x:row>
    <x:row r="28" ht="15" customHeight="1">
      <x:c r="A28" s="70" t="s">
        <x:v>435</x:v>
      </x:c>
      <x:c r="B28" s="70" t="s">
        <x:v>205</x:v>
      </x:c>
      <x:c r="C28" s="68" t="n">
        <x:f>SUM(C13:AF13)</x:f>
        <x:v>6115</x:v>
      </x:c>
      <x:c r="D28" s="65"/>
      <x:c r="E28" s="65"/>
      <x:c r="F28" s="65"/>
      <x:c r="G28" s="65"/>
      <x:c r="H28" s="65"/>
      <x:c r="I28" s="65"/>
      <x:c r="J28" s="65"/>
      <x:c r="K28" s="65"/>
      <x:c r="L28" s="65"/>
      <x:c r="M28" s="65"/>
      <x:c r="N28" s="65"/>
      <x:c r="O28" s="65"/>
      <x:c r="P28" s="65"/>
      <x:c r="Q28" s="65"/>
      <x:c r="R28" s="65"/>
      <x:c r="S28" s="65"/>
      <x:c r="T28" s="65"/>
      <x:c r="U28" s="65"/>
      <x:c r="V28" s="65"/>
      <x:c r="W28" s="65"/>
      <x:c r="X28" s="65"/>
      <x:c r="Y28" s="65"/>
      <x:c r="Z28" s="65"/>
      <x:c r="AA28" s="65"/>
      <x:c r="AB28" s="65"/>
      <x:c r="AC28" s="65"/>
      <x:c r="AD28" s="65"/>
      <x:c r="AE28" s="65"/>
      <x:c r="AF28" s="65"/>
    </x:row>
    <x:row r="29" ht="15" customHeight="1">
      <x:c r="A29" s="70" t="s">
        <x:v>437</x:v>
      </x:c>
      <x:c r="B29" s="70" t="s">
        <x:v>468</x:v>
      </x:c>
      <x:c r="C29" s="68" t="n">
        <x:f>SUM(C20:AF20)</x:f>
        <x:v>4280.5</x:v>
      </x:c>
      <x:c r="D29" s="65"/>
      <x:c r="E29" s="65"/>
      <x:c r="F29" s="65"/>
      <x:c r="G29" s="65"/>
      <x:c r="H29" s="65"/>
      <x:c r="I29" s="65"/>
      <x:c r="J29" s="65"/>
      <x:c r="K29" s="65"/>
      <x:c r="L29" s="65"/>
      <x:c r="M29" s="65"/>
      <x:c r="N29" s="65"/>
      <x:c r="O29" s="65"/>
      <x:c r="P29" s="65"/>
      <x:c r="Q29" s="65"/>
      <x:c r="R29" s="65"/>
      <x:c r="S29" s="65"/>
      <x:c r="T29" s="65"/>
      <x:c r="U29" s="65"/>
      <x:c r="V29" s="65"/>
      <x:c r="W29" s="65"/>
      <x:c r="X29" s="65"/>
      <x:c r="Y29" s="65"/>
      <x:c r="Z29" s="65"/>
      <x:c r="AA29" s="65"/>
      <x:c r="AB29" s="65"/>
      <x:c r="AC29" s="65"/>
      <x:c r="AD29" s="65"/>
      <x:c r="AE29" s="65"/>
      <x:c r="AF29" s="65"/>
    </x:row>
    <x:row r="30" ht="15" customHeight="1">
      <x:c r="A30" s="70" t="s">
        <x:v>439</x:v>
      </x:c>
      <x:c r="B30" s="70" t="s">
        <x:v>469</x:v>
      </x:c>
      <x:c r="C30" s="68" t="n">
        <x:f>SUM(C23:AF23)</x:f>
        <x:v>385.24499999999995</x:v>
      </x:c>
      <x:c r="D30" s="65"/>
      <x:c r="E30" s="65"/>
      <x:c r="F30" s="65"/>
      <x:c r="G30" s="65"/>
      <x:c r="H30" s="65"/>
      <x:c r="I30" s="65"/>
      <x:c r="J30" s="65"/>
      <x:c r="K30" s="65"/>
      <x:c r="L30" s="65"/>
      <x:c r="M30" s="65"/>
      <x:c r="N30" s="65"/>
      <x:c r="O30" s="65"/>
      <x:c r="P30" s="65"/>
      <x:c r="Q30" s="65"/>
      <x:c r="R30" s="65"/>
      <x:c r="S30" s="65"/>
      <x:c r="T30" s="65"/>
      <x:c r="U30" s="65"/>
      <x:c r="V30" s="65"/>
      <x:c r="W30" s="65"/>
      <x:c r="X30" s="65"/>
      <x:c r="Y30" s="65"/>
      <x:c r="Z30" s="65"/>
      <x:c r="AA30" s="65"/>
      <x:c r="AB30" s="65"/>
      <x:c r="AC30" s="65"/>
      <x:c r="AD30" s="65"/>
      <x:c r="AE30" s="65"/>
      <x:c r="AF30" s="65"/>
    </x:row>
    <x:row r="31" ht="15" customHeight="1">
      <x:c r="A31" s="70" t="s">
        <x:v>441</x:v>
      </x:c>
      <x:c r="B31" s="70" t="s">
        <x:v>470</x:v>
      </x:c>
      <x:c r="C31" s="91" t="n">
        <x:f>Input!$D$12*Input!$D$22</x:f>
        <x:v>5580</x:v>
      </x:c>
      <x:c r="D31" s="65"/>
      <x:c r="E31" s="65"/>
      <x:c r="F31" s="65"/>
      <x:c r="G31" s="65"/>
      <x:c r="H31" s="65"/>
      <x:c r="I31" s="65"/>
      <x:c r="J31" s="65"/>
      <x:c r="K31" s="65"/>
      <x:c r="L31" s="65"/>
      <x:c r="M31" s="65"/>
      <x:c r="N31" s="65"/>
      <x:c r="O31" s="65"/>
      <x:c r="P31" s="65"/>
      <x:c r="Q31" s="65"/>
      <x:c r="R31" s="65"/>
      <x:c r="S31" s="65"/>
      <x:c r="T31" s="65"/>
      <x:c r="U31" s="65"/>
      <x:c r="V31" s="65"/>
      <x:c r="W31" s="65"/>
      <x:c r="X31" s="65"/>
      <x:c r="Y31" s="65"/>
      <x:c r="Z31" s="65"/>
      <x:c r="AA31" s="65"/>
      <x:c r="AB31" s="65"/>
      <x:c r="AC31" s="65"/>
      <x:c r="AD31" s="65"/>
      <x:c r="AE31" s="65"/>
      <x:c r="AF31" s="65"/>
    </x:row>
    <x:row r="32" ht="15" customHeight="1">
      <x:c r="A32" s="70" t="s">
        <x:v>443</x:v>
      </x:c>
      <x:c r="B32" s="70" t="s">
        <x:v>471</x:v>
      </x:c>
      <x:c r="C32" s="92" t="n">
        <x:f>'Input'!$D$29</x:f>
        <x:v>535</x:v>
      </x:c>
      <x:c r="D32" s="65"/>
      <x:c r="E32" s="65"/>
      <x:c r="F32" s="65"/>
      <x:c r="G32" s="65"/>
      <x:c r="H32" s="65"/>
      <x:c r="I32" s="65"/>
      <x:c r="J32" s="65"/>
      <x:c r="K32" s="65"/>
      <x:c r="L32" s="65"/>
      <x:c r="M32" s="65"/>
      <x:c r="N32" s="65"/>
      <x:c r="O32" s="65"/>
      <x:c r="P32" s="65"/>
      <x:c r="Q32" s="65"/>
      <x:c r="R32" s="65"/>
      <x:c r="S32" s="65"/>
      <x:c r="T32" s="65"/>
      <x:c r="U32" s="65"/>
      <x:c r="V32" s="65"/>
      <x:c r="W32" s="65"/>
      <x:c r="X32" s="65"/>
      <x:c r="Y32" s="65"/>
      <x:c r="Z32" s="65"/>
      <x:c r="AA32" s="65"/>
      <x:c r="AB32" s="65"/>
      <x:c r="AC32" s="65"/>
      <x:c r="AD32" s="65"/>
      <x:c r="AE32" s="65"/>
      <x:c r="AF32" s="65"/>
    </x:row>
    <x:row r="33" ht="15" customHeight="1">
      <x:c r="A33" s="185" t="str">
        <x:v>CHK-07</x:v>
      </x:c>
      <x:c r="B33" s="185" t="str">
        <x:v>Trong đó: Phần trạm biến áp</x:v>
      </x:c>
      <x:c r="C33" s="193" t="n">
        <x:f>'Input'!$J$28</x:f>
        <x:v>220</x:v>
      </x:c>
      <x:c r="D33" s="65"/>
      <x:c r="E33" s="65"/>
      <x:c r="F33" s="65"/>
      <x:c r="G33" s="65"/>
      <x:c r="H33" s="65"/>
      <x:c r="I33" s="65"/>
      <x:c r="J33" s="65"/>
      <x:c r="K33" s="65"/>
      <x:c r="L33" s="65"/>
      <x:c r="M33" s="65"/>
      <x:c r="N33" s="65"/>
      <x:c r="O33" s="65"/>
      <x:c r="P33" s="65"/>
      <x:c r="Q33" s="65"/>
      <x:c r="R33" s="65"/>
      <x:c r="S33" s="65"/>
      <x:c r="T33" s="65"/>
      <x:c r="U33" s="65"/>
      <x:c r="V33" s="65"/>
      <x:c r="W33" s="65"/>
      <x:c r="X33" s="65"/>
      <x:c r="Y33" s="65"/>
      <x:c r="Z33" s="65"/>
      <x:c r="AA33" s="65"/>
      <x:c r="AB33" s="65"/>
      <x:c r="AC33" s="65"/>
      <x:c r="AD33" s="65"/>
      <x:c r="AE33" s="65"/>
      <x:c r="AF33" s="65"/>
    </x:row>
    <x:row r="34" ht="15" customHeight="1">
      <x:c r="A34" s="187" t="str">
        <x:v>CHK-08</x:v>
      </x:c>
      <x:c r="B34" s="187" t="str">
        <x:v>Trong đó: Phần đường dây đấu nối</x:v>
      </x:c>
      <x:c r="C34" s="194" t="n">
        <x:f>'Input'!$J$31</x:f>
        <x:v>315</x:v>
      </x:c>
      <x:c r="D34" s="65"/>
      <x:c r="E34" s="65"/>
      <x:c r="F34" s="65"/>
      <x:c r="G34" s="65"/>
      <x:c r="H34" s="65"/>
      <x:c r="I34" s="65"/>
      <x:c r="J34" s="65"/>
      <x:c r="K34" s="65"/>
      <x:c r="L34" s="65"/>
      <x:c r="M34" s="65"/>
      <x:c r="N34" s="65"/>
      <x:c r="O34" s="65"/>
      <x:c r="P34" s="65"/>
      <x:c r="Q34" s="65"/>
      <x:c r="R34" s="65"/>
      <x:c r="S34" s="65"/>
      <x:c r="T34" s="65"/>
      <x:c r="U34" s="65"/>
      <x:c r="V34" s="65"/>
      <x:c r="W34" s="65"/>
      <x:c r="X34" s="65"/>
      <x:c r="Y34" s="65"/>
      <x:c r="Z34" s="65"/>
      <x:c r="AA34" s="65"/>
      <x:c r="AB34" s="65"/>
      <x:c r="AC34" s="65"/>
      <x:c r="AD34" s="65"/>
      <x:c r="AE34" s="65"/>
      <x:c r="AF34" s="65"/>
    </x:row>
    <x:row r="35" ht="15" customHeight="1">
      <x:c r="A35" s="70"/>
      <x:c r="B35" s="70"/>
      <x:c r="C35" s="65"/>
      <x:c r="D35" s="65"/>
      <x:c r="E35" s="65"/>
      <x:c r="F35" s="65"/>
      <x:c r="G35" s="65"/>
      <x:c r="H35" s="65"/>
      <x:c r="I35" s="65"/>
      <x:c r="J35" s="65"/>
      <x:c r="K35" s="65"/>
      <x:c r="L35" s="65"/>
      <x:c r="M35" s="65"/>
      <x:c r="N35" s="65"/>
      <x:c r="O35" s="65"/>
      <x:c r="P35" s="65"/>
      <x:c r="Q35" s="65"/>
      <x:c r="R35" s="65"/>
      <x:c r="S35" s="65"/>
      <x:c r="T35" s="65"/>
      <x:c r="U35" s="65"/>
      <x:c r="V35" s="65"/>
      <x:c r="W35" s="65"/>
      <x:c r="X35" s="65"/>
      <x:c r="Y35" s="65"/>
      <x:c r="Z35" s="65"/>
      <x:c r="AA35" s="65"/>
      <x:c r="AB35" s="65"/>
      <x:c r="AC35" s="65"/>
      <x:c r="AD35" s="65"/>
      <x:c r="AE35" s="65"/>
      <x:c r="AF35" s="65"/>
    </x:row>
    <x:row r="36" ht="15" customHeight="1">
      <x:c r="A36" s="70"/>
      <x:c r="B36" s="70"/>
      <x:c r="C36" s="65"/>
      <x:c r="D36" s="65"/>
      <x:c r="E36" s="65"/>
      <x:c r="F36" s="65"/>
      <x:c r="G36" s="65"/>
      <x:c r="H36" s="65"/>
      <x:c r="I36" s="65"/>
      <x:c r="J36" s="65"/>
      <x:c r="K36" s="65"/>
      <x:c r="L36" s="65"/>
      <x:c r="M36" s="65"/>
      <x:c r="N36" s="65"/>
      <x:c r="O36" s="65"/>
      <x:c r="P36" s="65"/>
      <x:c r="Q36" s="65"/>
      <x:c r="R36" s="65"/>
      <x:c r="S36" s="65"/>
      <x:c r="T36" s="65"/>
      <x:c r="U36" s="65"/>
      <x:c r="V36" s="65"/>
      <x:c r="W36" s="65"/>
      <x:c r="X36" s="65"/>
      <x:c r="Y36" s="65"/>
      <x:c r="Z36" s="65"/>
      <x:c r="AA36" s="65"/>
      <x:c r="AB36" s="65"/>
      <x:c r="AC36" s="65"/>
      <x:c r="AD36" s="65"/>
      <x:c r="AE36" s="65"/>
      <x:c r="AF36" s="65"/>
    </x:row>
    <x:row r="37" ht="15" customHeight="1">
      <x:c r="A37" s="70"/>
      <x:c r="B37" s="70"/>
      <x:c r="C37" s="65"/>
      <x:c r="D37" s="65"/>
      <x:c r="E37" s="65"/>
      <x:c r="F37" s="65"/>
      <x:c r="G37" s="65"/>
      <x:c r="H37" s="65"/>
      <x:c r="I37" s="65"/>
      <x:c r="J37" s="65"/>
      <x:c r="K37" s="65"/>
      <x:c r="L37" s="65"/>
      <x:c r="M37" s="65"/>
      <x:c r="N37" s="65"/>
      <x:c r="O37" s="65"/>
      <x:c r="P37" s="65"/>
      <x:c r="Q37" s="65"/>
      <x:c r="R37" s="65"/>
      <x:c r="S37" s="65"/>
      <x:c r="T37" s="65"/>
      <x:c r="U37" s="65"/>
      <x:c r="V37" s="65"/>
      <x:c r="W37" s="65"/>
      <x:c r="X37" s="65"/>
      <x:c r="Y37" s="65"/>
      <x:c r="Z37" s="65"/>
      <x:c r="AA37" s="65"/>
      <x:c r="AB37" s="65"/>
      <x:c r="AC37" s="65"/>
      <x:c r="AD37" s="65"/>
      <x:c r="AE37" s="65"/>
      <x:c r="AF37" s="65"/>
    </x:row>
    <x:row r="38" ht="15" customHeight="1">
      <x:c r="A38" s="70"/>
      <x:c r="B38" s="70"/>
      <x:c r="C38" s="65"/>
      <x:c r="D38" s="65"/>
      <x:c r="E38" s="65"/>
      <x:c r="F38" s="65"/>
      <x:c r="G38" s="65"/>
      <x:c r="H38" s="65"/>
      <x:c r="I38" s="65"/>
      <x:c r="J38" s="65"/>
      <x:c r="K38" s="65"/>
      <x:c r="L38" s="65"/>
      <x:c r="M38" s="65"/>
      <x:c r="N38" s="65"/>
      <x:c r="O38" s="65"/>
      <x:c r="P38" s="65"/>
      <x:c r="Q38" s="65"/>
      <x:c r="R38" s="65"/>
      <x:c r="S38" s="65"/>
      <x:c r="T38" s="65"/>
      <x:c r="U38" s="65"/>
      <x:c r="V38" s="65"/>
      <x:c r="W38" s="65"/>
      <x:c r="X38" s="65"/>
      <x:c r="Y38" s="65"/>
      <x:c r="Z38" s="65"/>
      <x:c r="AA38" s="65"/>
      <x:c r="AB38" s="65"/>
      <x:c r="AC38" s="65"/>
      <x:c r="AD38" s="65"/>
      <x:c r="AE38" s="65"/>
      <x:c r="AF38" s="65"/>
    </x:row>
    <x:row r="39" ht="15" customHeight="1">
      <x:c r="A39" s="70"/>
      <x:c r="B39" s="70"/>
      <x:c r="C39" s="65"/>
      <x:c r="D39" s="65"/>
      <x:c r="E39" s="65"/>
      <x:c r="F39" s="65"/>
      <x:c r="G39" s="65"/>
      <x:c r="H39" s="65"/>
      <x:c r="I39" s="65"/>
      <x:c r="J39" s="65"/>
      <x:c r="K39" s="65"/>
      <x:c r="L39" s="65"/>
      <x:c r="M39" s="65"/>
      <x:c r="N39" s="65"/>
      <x:c r="O39" s="65"/>
      <x:c r="P39" s="65"/>
      <x:c r="Q39" s="65"/>
      <x:c r="R39" s="65"/>
      <x:c r="S39" s="65"/>
      <x:c r="T39" s="65"/>
      <x:c r="U39" s="65"/>
      <x:c r="V39" s="65"/>
      <x:c r="W39" s="65"/>
      <x:c r="X39" s="65"/>
      <x:c r="Y39" s="65"/>
      <x:c r="Z39" s="65"/>
      <x:c r="AA39" s="65"/>
      <x:c r="AB39" s="65"/>
      <x:c r="AC39" s="65"/>
      <x:c r="AD39" s="65"/>
      <x:c r="AE39" s="65"/>
      <x:c r="AF39" s="65"/>
    </x:row>
    <x:row r="40" ht="15" customHeight="1">
      <x:c r="A40" s="70"/>
      <x:c r="B40" s="70"/>
      <x:c r="C40" s="65"/>
      <x:c r="D40" s="65"/>
      <x:c r="E40" s="65"/>
      <x:c r="F40" s="65"/>
      <x:c r="G40" s="65"/>
      <x:c r="H40" s="65"/>
      <x:c r="I40" s="65"/>
      <x:c r="J40" s="65"/>
      <x:c r="K40" s="65"/>
      <x:c r="L40" s="65"/>
      <x:c r="M40" s="65"/>
      <x:c r="N40" s="65"/>
      <x:c r="O40" s="65"/>
      <x:c r="P40" s="65"/>
      <x:c r="Q40" s="65"/>
      <x:c r="R40" s="65"/>
      <x:c r="S40" s="65"/>
      <x:c r="T40" s="65"/>
      <x:c r="U40" s="65"/>
      <x:c r="V40" s="65"/>
      <x:c r="W40" s="65"/>
      <x:c r="X40" s="65"/>
      <x:c r="Y40" s="65"/>
      <x:c r="Z40" s="65"/>
      <x:c r="AA40" s="65"/>
      <x:c r="AB40" s="65"/>
      <x:c r="AC40" s="65"/>
      <x:c r="AD40" s="65"/>
      <x:c r="AE40" s="65"/>
      <x:c r="AF40" s="65"/>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c r="AA41" s="41"/>
      <x:c r="AB41" s="41"/>
      <x:c r="AC41" s="41"/>
      <x:c r="AD41" s="41"/>
      <x:c r="AE41" s="41"/>
      <x:c r="AF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c r="AA42" s="41"/>
      <x:c r="AB42" s="41"/>
      <x:c r="AC42" s="41"/>
      <x:c r="AD42" s="41"/>
      <x:c r="AE42" s="41"/>
      <x:c r="AF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c r="AA43" s="41"/>
      <x:c r="AB43" s="41"/>
      <x:c r="AC43" s="41"/>
      <x:c r="AD43" s="41"/>
      <x:c r="AE43" s="41"/>
      <x:c r="AF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c r="AA44" s="41"/>
      <x:c r="AB44" s="41"/>
      <x:c r="AC44" s="41"/>
      <x:c r="AD44" s="41"/>
      <x:c r="AE44" s="41"/>
      <x:c r="AF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c r="AA45" s="41"/>
      <x:c r="AB45" s="41"/>
      <x:c r="AC45" s="41"/>
      <x:c r="AD45" s="41"/>
      <x:c r="AE45" s="41"/>
      <x:c r="AF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c r="AA46" s="41"/>
      <x:c r="AB46" s="41"/>
      <x:c r="AC46" s="41"/>
      <x:c r="AD46" s="41"/>
      <x:c r="AE46" s="41"/>
      <x:c r="AF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c r="AA47" s="41"/>
      <x:c r="AB47" s="41"/>
      <x:c r="AC47" s="41"/>
      <x:c r="AD47" s="41"/>
      <x:c r="AE47" s="41"/>
      <x:c r="AF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c r="AA48" s="41"/>
      <x:c r="AB48" s="41"/>
      <x:c r="AC48" s="41"/>
      <x:c r="AD48" s="41"/>
      <x:c r="AE48" s="41"/>
      <x:c r="AF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c r="AA49" s="41"/>
      <x:c r="AB49" s="41"/>
      <x:c r="AC49" s="41"/>
      <x:c r="AD49" s="41"/>
      <x:c r="AE49" s="41"/>
      <x:c r="AF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c r="AA50" s="41"/>
      <x:c r="AB50" s="41"/>
      <x:c r="AC50" s="41"/>
      <x:c r="AD50" s="41"/>
      <x:c r="AE50" s="41"/>
      <x:c r="AF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c r="AA51" s="41"/>
      <x:c r="AB51" s="41"/>
      <x:c r="AC51" s="41"/>
      <x:c r="AD51" s="41"/>
      <x:c r="AE51" s="41"/>
      <x:c r="AF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c r="AA52" s="41"/>
      <x:c r="AB52" s="41"/>
      <x:c r="AC52" s="41"/>
      <x:c r="AD52" s="41"/>
      <x:c r="AE52" s="41"/>
      <x:c r="AF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c r="AA53" s="41"/>
      <x:c r="AB53" s="41"/>
      <x:c r="AC53" s="41"/>
      <x:c r="AD53" s="41"/>
      <x:c r="AE53" s="41"/>
      <x:c r="AF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c r="AA54" s="41"/>
      <x:c r="AB54" s="41"/>
      <x:c r="AC54" s="41"/>
      <x:c r="AD54" s="41"/>
      <x:c r="AE54" s="41"/>
      <x:c r="AF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c r="AA55" s="41"/>
      <x:c r="AB55" s="41"/>
      <x:c r="AC55" s="41"/>
      <x:c r="AD55" s="41"/>
      <x:c r="AE55" s="41"/>
      <x:c r="AF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c r="AA56" s="41"/>
      <x:c r="AB56" s="41"/>
      <x:c r="AC56" s="41"/>
      <x:c r="AD56" s="41"/>
      <x:c r="AE56" s="41"/>
      <x:c r="AF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c r="AA57" s="41"/>
      <x:c r="AB57" s="41"/>
      <x:c r="AC57" s="41"/>
      <x:c r="AD57" s="41"/>
      <x:c r="AE57" s="41"/>
      <x:c r="AF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c r="AA58" s="41"/>
      <x:c r="AB58" s="41"/>
      <x:c r="AC58" s="41"/>
      <x:c r="AD58" s="41"/>
      <x:c r="AE58" s="41"/>
      <x:c r="AF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c r="AA59" s="41"/>
      <x:c r="AB59" s="41"/>
      <x:c r="AC59" s="41"/>
      <x:c r="AD59" s="41"/>
      <x:c r="AE59" s="41"/>
      <x:c r="AF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c r="AA60" s="41"/>
      <x:c r="AB60" s="41"/>
      <x:c r="AC60" s="41"/>
      <x:c r="AD60" s="41"/>
      <x:c r="AE60" s="41"/>
      <x:c r="AF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c r="AA61" s="41"/>
      <x:c r="AB61" s="41"/>
      <x:c r="AC61" s="41"/>
      <x:c r="AD61" s="41"/>
      <x:c r="AE61" s="41"/>
      <x:c r="AF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c r="AA62" s="41"/>
      <x:c r="AB62" s="41"/>
      <x:c r="AC62" s="41"/>
      <x:c r="AD62" s="41"/>
      <x:c r="AE62" s="41"/>
      <x:c r="AF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c r="AA63" s="41"/>
      <x:c r="AB63" s="41"/>
      <x:c r="AC63" s="41"/>
      <x:c r="AD63" s="41"/>
      <x:c r="AE63" s="41"/>
      <x:c r="AF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c r="AA64" s="41"/>
      <x:c r="AB64" s="41"/>
      <x:c r="AC64" s="41"/>
      <x:c r="AD64" s="41"/>
      <x:c r="AE64" s="41"/>
      <x:c r="AF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c r="AA65" s="41"/>
      <x:c r="AB65" s="41"/>
      <x:c r="AC65" s="41"/>
      <x:c r="AD65" s="41"/>
      <x:c r="AE65" s="41"/>
      <x:c r="AF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c r="AA66" s="41"/>
      <x:c r="AB66" s="41"/>
      <x:c r="AC66" s="41"/>
      <x:c r="AD66" s="41"/>
      <x:c r="AE66" s="41"/>
      <x:c r="AF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c r="AA67" s="41"/>
      <x:c r="AB67" s="41"/>
      <x:c r="AC67" s="41"/>
      <x:c r="AD67" s="41"/>
      <x:c r="AE67" s="41"/>
      <x:c r="AF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c r="AA68" s="41"/>
      <x:c r="AB68" s="41"/>
      <x:c r="AC68" s="41"/>
      <x:c r="AD68" s="41"/>
      <x:c r="AE68" s="41"/>
      <x:c r="AF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c r="AA69" s="41"/>
      <x:c r="AB69" s="41"/>
      <x:c r="AC69" s="41"/>
      <x:c r="AD69" s="41"/>
      <x:c r="AE69" s="41"/>
      <x:c r="AF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c r="AA70" s="41"/>
      <x:c r="AB70" s="41"/>
      <x:c r="AC70" s="41"/>
      <x:c r="AD70" s="41"/>
      <x:c r="AE70" s="41"/>
      <x:c r="AF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c r="AA71" s="41"/>
      <x:c r="AB71" s="41"/>
      <x:c r="AC71" s="41"/>
      <x:c r="AD71" s="41"/>
      <x:c r="AE71" s="41"/>
      <x:c r="AF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c r="AA72" s="41"/>
      <x:c r="AB72" s="41"/>
      <x:c r="AC72" s="41"/>
      <x:c r="AD72" s="41"/>
      <x:c r="AE72" s="41"/>
      <x:c r="AF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c r="AA73" s="41"/>
      <x:c r="AB73" s="41"/>
      <x:c r="AC73" s="41"/>
      <x:c r="AD73" s="41"/>
      <x:c r="AE73" s="41"/>
      <x:c r="AF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c r="AA74" s="41"/>
      <x:c r="AB74" s="41"/>
      <x:c r="AC74" s="41"/>
      <x:c r="AD74" s="41"/>
      <x:c r="AE74" s="41"/>
      <x:c r="AF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c r="AA75" s="41"/>
      <x:c r="AB75" s="41"/>
      <x:c r="AC75" s="41"/>
      <x:c r="AD75" s="41"/>
      <x:c r="AE75" s="41"/>
      <x:c r="AF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c r="AA76" s="41"/>
      <x:c r="AB76" s="41"/>
      <x:c r="AC76" s="41"/>
      <x:c r="AD76" s="41"/>
      <x:c r="AE76" s="41"/>
      <x:c r="AF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c r="AA77" s="41"/>
      <x:c r="AB77" s="41"/>
      <x:c r="AC77" s="41"/>
      <x:c r="AD77" s="41"/>
      <x:c r="AE77" s="41"/>
      <x:c r="AF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c r="AA78" s="41"/>
      <x:c r="AB78" s="41"/>
      <x:c r="AC78" s="41"/>
      <x:c r="AD78" s="41"/>
      <x:c r="AE78" s="41"/>
      <x:c r="AF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c r="AA79" s="41"/>
      <x:c r="AB79" s="41"/>
      <x:c r="AC79" s="41"/>
      <x:c r="AD79" s="41"/>
      <x:c r="AE79" s="41"/>
      <x:c r="AF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c r="AA80" s="41"/>
      <x:c r="AB80" s="41"/>
      <x:c r="AC80" s="41"/>
      <x:c r="AD80" s="41"/>
      <x:c r="AE80" s="41"/>
      <x:c r="AF80" s="41"/>
    </x:row>
  </x:sheetData>
  <x:mergeCells>
    <x:mergeCell ref="A1:AF1"/>
    <x:mergeCell ref="A2:AF2"/>
    <x:mergeCell ref="A3:AF3"/>
    <x:mergeCell ref="A11:AF11"/>
    <x:mergeCell ref="A26:AF26"/>
  </x:mergeCells>
  <x:conditionalFormatting sqref="C31:C31">
    <x:cfRule type="containsText" dxfId="3" priority="1" operator="containsText" text="OK"/>
    <x:cfRule type="containsText" dxfId="2" priority="2" operator="containsText" text="KIỂM TRA"/>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4"/>
  <x:cols>
    <x:col min="1" max="1" width="10" customWidth="1"/>
    <x:col min="2" max="2" width="34" customWidth="1"/>
    <x:col min="3" max="32" width="12" customWidth="1"/>
  </x:cols>
  <x:sheetData>
    <x:row r="1" ht="15" customHeight="1">
      <x:c r="A1" s="131" t="s">
        <x:v>472</x:v>
      </x:c>
      <x:c r="B1" s="131"/>
      <x:c r="C1" s="132"/>
      <x:c r="D1" s="132"/>
      <x:c r="E1" s="132"/>
      <x:c r="F1" s="132"/>
      <x:c r="G1" s="132"/>
      <x:c r="H1" s="132"/>
      <x:c r="I1" s="132"/>
      <x:c r="J1" s="132"/>
      <x:c r="K1" s="132"/>
      <x:c r="L1" s="132"/>
      <x:c r="M1" s="132"/>
      <x:c r="N1" s="132"/>
      <x:c r="O1" s="132"/>
      <x:c r="P1" s="132"/>
      <x:c r="Q1" s="132"/>
      <x:c r="R1" s="132"/>
      <x:c r="S1" s="132"/>
      <x:c r="T1" s="132"/>
      <x:c r="U1" s="132"/>
      <x:c r="V1" s="132"/>
      <x:c r="W1" s="132"/>
      <x:c r="X1" s="132"/>
      <x:c r="Y1" s="132"/>
      <x:c r="Z1" s="132"/>
      <x:c r="AA1" s="132"/>
      <x:c r="AB1" s="132"/>
      <x:c r="AC1" s="132"/>
      <x:c r="AD1" s="132"/>
      <x:c r="AE1" s="132"/>
      <x:c r="AF1" s="132"/>
    </x:row>
    <x:row r="2" ht="15" customHeight="1">
      <x:c r="A2" s="133" t="s">
        <x:v>473</x:v>
      </x:c>
      <x:c r="B2" s="133"/>
      <x:c r="C2" s="133"/>
      <x:c r="D2" s="133"/>
      <x:c r="E2" s="133"/>
      <x:c r="F2" s="133"/>
      <x:c r="G2" s="133"/>
      <x:c r="H2" s="133"/>
      <x:c r="I2" s="133"/>
      <x:c r="J2" s="133"/>
      <x:c r="K2" s="133"/>
      <x:c r="L2" s="133"/>
      <x:c r="M2" s="133"/>
      <x:c r="N2" s="133"/>
      <x:c r="O2" s="133"/>
      <x:c r="P2" s="133"/>
      <x:c r="Q2" s="133"/>
      <x:c r="R2" s="133"/>
      <x:c r="S2" s="133"/>
      <x:c r="T2" s="133"/>
      <x:c r="U2" s="133"/>
      <x:c r="V2" s="133"/>
      <x:c r="W2" s="133"/>
      <x:c r="X2" s="133"/>
      <x:c r="Y2" s="133"/>
      <x:c r="Z2" s="133"/>
      <x:c r="AA2" s="133"/>
      <x:c r="AB2" s="133"/>
      <x:c r="AC2" s="133"/>
      <x:c r="AD2" s="133"/>
      <x:c r="AE2" s="133"/>
      <x:c r="AF2" s="133"/>
    </x:row>
    <x:row r="3" ht="15" customHeight="1">
      <x:c r="A3" s="134" t="s">
        <x:v>447</x:v>
      </x:c>
      <x:c r="B3" s="134"/>
      <x:c r="C3" s="135"/>
      <x:c r="D3" s="135"/>
      <x:c r="E3" s="135"/>
      <x:c r="F3" s="135"/>
      <x:c r="G3" s="135"/>
      <x:c r="H3" s="135"/>
      <x:c r="I3" s="135"/>
      <x:c r="J3" s="135"/>
      <x:c r="K3" s="135"/>
      <x:c r="L3" s="135"/>
      <x:c r="M3" s="135"/>
      <x:c r="N3" s="135"/>
      <x:c r="O3" s="135"/>
      <x:c r="P3" s="135"/>
      <x:c r="Q3" s="135"/>
      <x:c r="R3" s="135"/>
      <x:c r="S3" s="135"/>
      <x:c r="T3" s="135"/>
      <x:c r="U3" s="135"/>
      <x:c r="V3" s="135"/>
      <x:c r="W3" s="135"/>
      <x:c r="X3" s="135"/>
      <x:c r="Y3" s="135"/>
      <x:c r="Z3" s="135"/>
      <x:c r="AA3" s="135"/>
      <x:c r="AB3" s="135"/>
      <x:c r="AC3" s="135"/>
      <x:c r="AD3" s="135"/>
      <x:c r="AE3" s="135"/>
      <x:c r="AF3" s="135"/>
    </x:row>
    <x:row r="4" ht="15" customHeight="1">
      <x:c r="A4" s="70"/>
      <x:c r="B4" s="70"/>
      <x:c r="C4" s="65"/>
      <x:c r="D4" s="65"/>
      <x:c r="E4" s="65"/>
      <x:c r="F4" s="65"/>
      <x:c r="G4" s="65"/>
      <x:c r="H4" s="65"/>
      <x:c r="I4" s="65"/>
      <x:c r="J4" s="65"/>
      <x:c r="K4" s="65"/>
      <x:c r="L4" s="65"/>
      <x:c r="M4" s="65"/>
      <x:c r="N4" s="65"/>
      <x:c r="O4" s="65"/>
      <x:c r="P4" s="65"/>
      <x:c r="Q4" s="65"/>
      <x:c r="R4" s="65"/>
      <x:c r="S4" s="65"/>
      <x:c r="T4" s="65"/>
      <x:c r="U4" s="65"/>
      <x:c r="V4" s="65"/>
      <x:c r="W4" s="65"/>
      <x:c r="X4" s="65"/>
      <x:c r="Y4" s="65"/>
      <x:c r="Z4" s="65"/>
      <x:c r="AA4" s="65"/>
      <x:c r="AB4" s="65"/>
      <x:c r="AC4" s="65"/>
      <x:c r="AD4" s="65"/>
      <x:c r="AE4" s="65"/>
      <x:c r="AF4" s="65"/>
    </x:row>
    <x:row r="5" ht="15" customHeight="1">
      <x:c r="A5" s="70"/>
      <x:c r="B5" s="70"/>
      <x:c r="C5" s="65"/>
      <x:c r="D5" s="65"/>
      <x:c r="E5" s="65"/>
      <x:c r="F5" s="65"/>
      <x:c r="G5" s="65"/>
      <x:c r="H5" s="65"/>
      <x:c r="I5" s="65"/>
      <x:c r="J5" s="65"/>
      <x:c r="K5" s="65"/>
      <x:c r="L5" s="65"/>
      <x:c r="M5" s="65"/>
      <x:c r="N5" s="65"/>
      <x:c r="O5" s="65"/>
      <x:c r="P5" s="65"/>
      <x:c r="Q5" s="65"/>
      <x:c r="R5" s="65"/>
      <x:c r="S5" s="65"/>
      <x:c r="T5" s="65"/>
      <x:c r="U5" s="65"/>
      <x:c r="V5" s="65"/>
      <x:c r="W5" s="65"/>
      <x:c r="X5" s="65"/>
      <x:c r="Y5" s="65"/>
      <x:c r="Z5" s="65"/>
      <x:c r="AA5" s="65"/>
      <x:c r="AB5" s="65"/>
      <x:c r="AC5" s="65"/>
      <x:c r="AD5" s="65"/>
      <x:c r="AE5" s="65"/>
      <x:c r="AF5" s="65"/>
    </x:row>
    <x:row r="6" ht="15" customHeight="1">
      <x:c r="A6" s="71"/>
      <x:c r="B6" s="71" t="s">
        <x:v>160</x:v>
      </x:c>
      <x:c r="C6" s="42" t="n">
        <x:f>CAPEX!C6</x:f>
        <x:v>2025</x:v>
      </x:c>
      <x:c r="D6" s="42" t="n">
        <x:f>CAPEX!D6</x:f>
        <x:v>2026</x:v>
      </x:c>
      <x:c r="E6" s="42" t="n">
        <x:f>CAPEX!E6</x:f>
        <x:v>2027</x:v>
      </x:c>
      <x:c r="F6" s="42" t="n">
        <x:f>CAPEX!F6</x:f>
        <x:v>2028</x:v>
      </x:c>
      <x:c r="G6" s="42" t="n">
        <x:f>CAPEX!G6</x:f>
        <x:v>2029</x:v>
      </x:c>
      <x:c r="H6" s="42" t="n">
        <x:f>CAPEX!H6</x:f>
        <x:v>2030</x:v>
      </x:c>
      <x:c r="I6" s="42" t="n">
        <x:f>CAPEX!I6</x:f>
        <x:v>2031</x:v>
      </x:c>
      <x:c r="J6" s="42" t="n">
        <x:f>CAPEX!J6</x:f>
        <x:v>2032</x:v>
      </x:c>
      <x:c r="K6" s="42" t="n">
        <x:f>CAPEX!K6</x:f>
        <x:v>2033</x:v>
      </x:c>
      <x:c r="L6" s="42" t="n">
        <x:f>CAPEX!L6</x:f>
        <x:v>2034</x:v>
      </x:c>
      <x:c r="M6" s="42" t="n">
        <x:f>CAPEX!M6</x:f>
        <x:v>2035</x:v>
      </x:c>
      <x:c r="N6" s="42" t="n">
        <x:f>CAPEX!N6</x:f>
        <x:v>2036</x:v>
      </x:c>
      <x:c r="O6" s="42" t="n">
        <x:f>CAPEX!O6</x:f>
        <x:v>2037</x:v>
      </x:c>
      <x:c r="P6" s="42" t="n">
        <x:f>CAPEX!P6</x:f>
        <x:v>2038</x:v>
      </x:c>
      <x:c r="Q6" s="42" t="n">
        <x:f>CAPEX!Q6</x:f>
        <x:v>2039</x:v>
      </x:c>
      <x:c r="R6" s="42" t="n">
        <x:f>CAPEX!R6</x:f>
        <x:v>2040</x:v>
      </x:c>
      <x:c r="S6" s="42" t="n">
        <x:f>CAPEX!S6</x:f>
        <x:v>2041</x:v>
      </x:c>
      <x:c r="T6" s="42" t="n">
        <x:f>CAPEX!T6</x:f>
        <x:v>2042</x:v>
      </x:c>
      <x:c r="U6" s="42" t="n">
        <x:f>CAPEX!U6</x:f>
        <x:v>2043</x:v>
      </x:c>
      <x:c r="V6" s="42" t="n">
        <x:f>CAPEX!V6</x:f>
        <x:v>2044</x:v>
      </x:c>
      <x:c r="W6" s="42" t="n">
        <x:f>CAPEX!W6</x:f>
        <x:v>2045</x:v>
      </x:c>
      <x:c r="X6" s="42" t="n">
        <x:f>CAPEX!X6</x:f>
        <x:v>2046</x:v>
      </x:c>
      <x:c r="Y6" s="42" t="n">
        <x:f>CAPEX!Y6</x:f>
        <x:v>2047</x:v>
      </x:c>
      <x:c r="Z6" s="42" t="n">
        <x:f>CAPEX!Z6</x:f>
        <x:v>2048</x:v>
      </x:c>
      <x:c r="AA6" s="42" t="n">
        <x:f>CAPEX!AA6</x:f>
        <x:v>2049</x:v>
      </x:c>
      <x:c r="AB6" s="42" t="n">
        <x:f>CAPEX!AB6</x:f>
        <x:v>2050</x:v>
      </x:c>
      <x:c r="AC6" s="42" t="n">
        <x:f>CAPEX!AC6</x:f>
        <x:v>2051</x:v>
      </x:c>
      <x:c r="AD6" s="42" t="n">
        <x:f>CAPEX!AD6</x:f>
        <x:v>2052</x:v>
      </x:c>
      <x:c r="AE6" s="42" t="n">
        <x:f>CAPEX!AE6</x:f>
        <x:v>2053</x:v>
      </x:c>
      <x:c r="AF6" s="42" t="n">
        <x:f>CAPEX!AF6</x:f>
        <x:v>2054</x:v>
      </x:c>
    </x:row>
    <x:row r="7" ht="15" customHeight="1">
      <x:c r="A7" s="70"/>
      <x:c r="B7" s="70" t="s">
        <x:v>448</x:v>
      </x:c>
      <x:c r="C7" s="66" t="n">
        <x:f>CAPEX!C7</x:f>
        <x:v>0</x:v>
      </x:c>
      <x:c r="D7" s="66" t="n">
        <x:f>CAPEX!D7</x:f>
        <x:v>1</x:v>
      </x:c>
      <x:c r="E7" s="66" t="n">
        <x:f>CAPEX!E7</x:f>
        <x:v>2</x:v>
      </x:c>
      <x:c r="F7" s="66" t="n">
        <x:f>CAPEX!F7</x:f>
        <x:v>3</x:v>
      </x:c>
      <x:c r="G7" s="66" t="n">
        <x:f>CAPEX!G7</x:f>
        <x:v>4</x:v>
      </x:c>
      <x:c r="H7" s="66" t="n">
        <x:f>CAPEX!H7</x:f>
        <x:v>5</x:v>
      </x:c>
      <x:c r="I7" s="66" t="n">
        <x:f>CAPEX!I7</x:f>
        <x:v>6</x:v>
      </x:c>
      <x:c r="J7" s="66" t="n">
        <x:f>CAPEX!J7</x:f>
        <x:v>7</x:v>
      </x:c>
      <x:c r="K7" s="66" t="n">
        <x:f>CAPEX!K7</x:f>
        <x:v>8</x:v>
      </x:c>
      <x:c r="L7" s="66" t="n">
        <x:f>CAPEX!L7</x:f>
        <x:v>9</x:v>
      </x:c>
      <x:c r="M7" s="66" t="n">
        <x:f>CAPEX!M7</x:f>
        <x:v>10</x:v>
      </x:c>
      <x:c r="N7" s="66" t="n">
        <x:f>CAPEX!N7</x:f>
        <x:v>11</x:v>
      </x:c>
      <x:c r="O7" s="66" t="n">
        <x:f>CAPEX!O7</x:f>
        <x:v>12</x:v>
      </x:c>
      <x:c r="P7" s="66" t="n">
        <x:f>CAPEX!P7</x:f>
        <x:v>13</x:v>
      </x:c>
      <x:c r="Q7" s="66" t="n">
        <x:f>CAPEX!Q7</x:f>
        <x:v>14</x:v>
      </x:c>
      <x:c r="R7" s="66" t="n">
        <x:f>CAPEX!R7</x:f>
        <x:v>15</x:v>
      </x:c>
      <x:c r="S7" s="66" t="n">
        <x:f>CAPEX!S7</x:f>
        <x:v>16</x:v>
      </x:c>
      <x:c r="T7" s="66" t="n">
        <x:f>CAPEX!T7</x:f>
        <x:v>17</x:v>
      </x:c>
      <x:c r="U7" s="66" t="n">
        <x:f>CAPEX!U7</x:f>
        <x:v>18</x:v>
      </x:c>
      <x:c r="V7" s="66" t="n">
        <x:f>CAPEX!V7</x:f>
        <x:v>19</x:v>
      </x:c>
      <x:c r="W7" s="66" t="n">
        <x:f>CAPEX!W7</x:f>
        <x:v>20</x:v>
      </x:c>
      <x:c r="X7" s="66" t="n">
        <x:f>CAPEX!X7</x:f>
        <x:v>21</x:v>
      </x:c>
      <x:c r="Y7" s="66" t="n">
        <x:f>CAPEX!Y7</x:f>
        <x:v>22</x:v>
      </x:c>
      <x:c r="Z7" s="66" t="n">
        <x:f>CAPEX!Z7</x:f>
        <x:v>23</x:v>
      </x:c>
      <x:c r="AA7" s="66" t="n">
        <x:f>CAPEX!AA7</x:f>
        <x:v>24</x:v>
      </x:c>
      <x:c r="AB7" s="66" t="n">
        <x:f>CAPEX!AB7</x:f>
        <x:v>25</x:v>
      </x:c>
      <x:c r="AC7" s="66" t="n">
        <x:f>CAPEX!AC7</x:f>
        <x:v>26</x:v>
      </x:c>
      <x:c r="AD7" s="66" t="n">
        <x:f>CAPEX!AD7</x:f>
        <x:v>27</x:v>
      </x:c>
      <x:c r="AE7" s="66" t="n">
        <x:f>CAPEX!AE7</x:f>
        <x:v>28</x:v>
      </x:c>
      <x:c r="AF7" s="66" t="n">
        <x:f>CAPEX!AF7</x:f>
        <x:v>29</x:v>
      </x:c>
    </x:row>
    <x:row r="8" ht="15" customHeight="1">
      <x:c r="A8" s="70"/>
      <x:c r="B8" s="70" t="s">
        <x:v>450</x:v>
      </x:c>
      <x:c r="C8" s="66" t="n">
        <x:f>CAPEX!C9</x:f>
        <x:v>0</x:v>
      </x:c>
      <x:c r="D8" s="66" t="n">
        <x:f>CAPEX!D9</x:f>
        <x:v>0</x:v>
      </x:c>
      <x:c r="E8" s="66" t="n">
        <x:f>CAPEX!E9</x:f>
        <x:v>1</x:v>
      </x:c>
      <x:c r="F8" s="66" t="n">
        <x:f>CAPEX!F9</x:f>
        <x:v>2</x:v>
      </x:c>
      <x:c r="G8" s="66" t="n">
        <x:f>CAPEX!G9</x:f>
        <x:v>3</x:v>
      </x:c>
      <x:c r="H8" s="66" t="n">
        <x:f>CAPEX!H9</x:f>
        <x:v>4</x:v>
      </x:c>
      <x:c r="I8" s="66" t="n">
        <x:f>CAPEX!I9</x:f>
        <x:v>5</x:v>
      </x:c>
      <x:c r="J8" s="66" t="n">
        <x:f>CAPEX!J9</x:f>
        <x:v>6</x:v>
      </x:c>
      <x:c r="K8" s="66" t="n">
        <x:f>CAPEX!K9</x:f>
        <x:v>7</x:v>
      </x:c>
      <x:c r="L8" s="66" t="n">
        <x:f>CAPEX!L9</x:f>
        <x:v>8</x:v>
      </x:c>
      <x:c r="M8" s="66" t="n">
        <x:f>CAPEX!M9</x:f>
        <x:v>9</x:v>
      </x:c>
      <x:c r="N8" s="66" t="n">
        <x:f>CAPEX!N9</x:f>
        <x:v>10</x:v>
      </x:c>
      <x:c r="O8" s="66" t="n">
        <x:f>CAPEX!O9</x:f>
        <x:v>11</x:v>
      </x:c>
      <x:c r="P8" s="66" t="n">
        <x:f>CAPEX!P9</x:f>
        <x:v>12</x:v>
      </x:c>
      <x:c r="Q8" s="66" t="n">
        <x:f>CAPEX!Q9</x:f>
        <x:v>13</x:v>
      </x:c>
      <x:c r="R8" s="66" t="n">
        <x:f>CAPEX!R9</x:f>
        <x:v>14</x:v>
      </x:c>
      <x:c r="S8" s="66" t="n">
        <x:f>CAPEX!S9</x:f>
        <x:v>15</x:v>
      </x:c>
      <x:c r="T8" s="66" t="n">
        <x:f>CAPEX!T9</x:f>
        <x:v>16</x:v>
      </x:c>
      <x:c r="U8" s="66" t="n">
        <x:f>CAPEX!U9</x:f>
        <x:v>17</x:v>
      </x:c>
      <x:c r="V8" s="66" t="n">
        <x:f>CAPEX!V9</x:f>
        <x:v>18</x:v>
      </x:c>
      <x:c r="W8" s="66" t="n">
        <x:f>CAPEX!W9</x:f>
        <x:v>19</x:v>
      </x:c>
      <x:c r="X8" s="66" t="n">
        <x:f>CAPEX!X9</x:f>
        <x:v>20</x:v>
      </x:c>
      <x:c r="Y8" s="66" t="n">
        <x:f>CAPEX!Y9</x:f>
        <x:v>0</x:v>
      </x:c>
      <x:c r="Z8" s="66" t="n">
        <x:f>CAPEX!Z9</x:f>
        <x:v>0</x:v>
      </x:c>
      <x:c r="AA8" s="66" t="n">
        <x:f>CAPEX!AA9</x:f>
        <x:v>0</x:v>
      </x:c>
      <x:c r="AB8" s="66" t="n">
        <x:f>CAPEX!AB9</x:f>
        <x:v>0</x:v>
      </x:c>
      <x:c r="AC8" s="66" t="n">
        <x:f>CAPEX!AC9</x:f>
        <x:v>0</x:v>
      </x:c>
      <x:c r="AD8" s="66" t="n">
        <x:f>CAPEX!AD9</x:f>
        <x:v>0</x:v>
      </x:c>
      <x:c r="AE8" s="66" t="n">
        <x:f>CAPEX!AE9</x:f>
        <x:v>0</x:v>
      </x:c>
      <x:c r="AF8" s="66" t="n">
        <x:f>CAPEX!AF9</x:f>
        <x:v>0</x:v>
      </x:c>
    </x:row>
    <x:row r="9" ht="15" customHeight="1">
      <x:c r="A9" s="70"/>
      <x:c r="B9" s="70"/>
      <x:c r="C9" s="65"/>
      <x:c r="D9" s="65"/>
      <x:c r="E9" s="65"/>
      <x:c r="F9" s="65"/>
      <x:c r="G9" s="65"/>
      <x:c r="H9" s="65"/>
      <x:c r="I9" s="65"/>
      <x:c r="J9" s="65"/>
      <x:c r="K9" s="65"/>
      <x:c r="L9" s="65"/>
      <x:c r="M9" s="65"/>
      <x:c r="N9" s="65"/>
      <x:c r="O9" s="65"/>
      <x:c r="P9" s="65"/>
      <x:c r="Q9" s="65"/>
      <x:c r="R9" s="65"/>
      <x:c r="S9" s="65"/>
      <x:c r="T9" s="65"/>
      <x:c r="U9" s="65"/>
      <x:c r="V9" s="65"/>
      <x:c r="W9" s="65"/>
      <x:c r="X9" s="65"/>
      <x:c r="Y9" s="65"/>
      <x:c r="Z9" s="65"/>
      <x:c r="AA9" s="65"/>
      <x:c r="AB9" s="65"/>
      <x:c r="AC9" s="65"/>
      <x:c r="AD9" s="65"/>
      <x:c r="AE9" s="65"/>
      <x:c r="AF9" s="65"/>
    </x:row>
    <x:row r="10" ht="15" customHeight="1">
      <x:c r="A10" s="136" t="s">
        <x:v>474</x:v>
      </x:c>
      <x:c r="B10" s="136"/>
      <x:c r="C10" s="137"/>
      <x:c r="D10" s="137"/>
      <x:c r="E10" s="137"/>
      <x:c r="F10" s="137"/>
      <x:c r="G10" s="137"/>
      <x:c r="H10" s="137"/>
      <x:c r="I10" s="137"/>
      <x:c r="J10" s="137"/>
      <x:c r="K10" s="137"/>
      <x:c r="L10" s="137"/>
      <x:c r="M10" s="137"/>
      <x:c r="N10" s="137"/>
      <x:c r="O10" s="137"/>
      <x:c r="P10" s="137"/>
      <x:c r="Q10" s="137"/>
      <x:c r="R10" s="137"/>
      <x:c r="S10" s="137"/>
      <x:c r="T10" s="137"/>
      <x:c r="U10" s="137"/>
      <x:c r="V10" s="137"/>
      <x:c r="W10" s="137"/>
      <x:c r="X10" s="137"/>
      <x:c r="Y10" s="137"/>
      <x:c r="Z10" s="137"/>
      <x:c r="AA10" s="137"/>
      <x:c r="AB10" s="137"/>
      <x:c r="AC10" s="137"/>
      <x:c r="AD10" s="137"/>
      <x:c r="AE10" s="137"/>
      <x:c r="AF10" s="137"/>
    </x:row>
    <x:row r="11" ht="15" customHeight="1">
      <x:c r="A11" s="72" t="s">
        <x:v>266</x:v>
      </x:c>
      <x:c r="B11" s="73" t="s">
        <x:v>475</x:v>
      </x:c>
      <x:c r="C11" s="46" t="n">
        <x:f>IF(C$8&gt;0,Input!$D$43*(1-Input!$D$44)^(C$8-1),0)</x:f>
        <x:v>0</x:v>
      </x:c>
      <x:c r="D11" s="46" t="n">
        <x:f>IF(D$8&gt;0,Input!$D$43*(1-Input!$D$44)^(D$8-1),0)</x:f>
        <x:v>0</x:v>
      </x:c>
      <x:c r="E11" s="46" t="n">
        <x:f>IF(E$8&gt;0,Input!$D$43*(1-Input!$D$44)^(E$8-1),0)</x:f>
        <x:v>473040</x:v>
      </x:c>
      <x:c r="F11" s="46" t="n">
        <x:f>IF(F$8&gt;0,Input!$D$43*(1-Input!$D$44)^(F$8-1),0)</x:f>
        <x:v>472093.92</x:v>
      </x:c>
      <x:c r="G11" s="46" t="n">
        <x:f>IF(G$8&gt;0,Input!$D$43*(1-Input!$D$44)^(G$8-1),0)</x:f>
        <x:v>471149.73216</x:v>
      </x:c>
      <x:c r="H11" s="46" t="n">
        <x:f>IF(H$8&gt;0,Input!$D$43*(1-Input!$D$44)^(H$8-1),0)</x:f>
        <x:v>470207.43269568</x:v>
      </x:c>
      <x:c r="I11" s="46" t="n">
        <x:f>IF(I$8&gt;0,Input!$D$43*(1-Input!$D$44)^(I$8-1),0)</x:f>
        <x:v>469267.0178302886</x:v>
      </x:c>
      <x:c r="J11" s="46" t="n">
        <x:f>IF(J$8&gt;0,Input!$D$43*(1-Input!$D$44)^(J$8-1),0)</x:f>
        <x:v>468328.48379462806</x:v>
      </x:c>
      <x:c r="K11" s="46" t="n">
        <x:f>IF(K$8&gt;0,Input!$D$43*(1-Input!$D$44)^(K$8-1),0)</x:f>
        <x:v>467391.82682703884</x:v>
      </x:c>
      <x:c r="L11" s="46" t="n">
        <x:f>IF(L$8&gt;0,Input!$D$43*(1-Input!$D$44)^(L$8-1),0)</x:f>
        <x:v>466457.04317338474</x:v>
      </x:c>
      <x:c r="M11" s="46" t="n">
        <x:f>IF(M$8&gt;0,Input!$D$43*(1-Input!$D$44)^(M$8-1),0)</x:f>
        <x:v>465524.12908703793</x:v>
      </x:c>
      <x:c r="N11" s="46" t="n">
        <x:f>IF(N$8&gt;0,Input!$D$43*(1-Input!$D$44)^(N$8-1),0)</x:f>
        <x:v>464593.0808288639</x:v>
      </x:c>
      <x:c r="O11" s="46" t="n">
        <x:f>IF(O$8&gt;0,Input!$D$43*(1-Input!$D$44)^(O$8-1),0)</x:f>
        <x:v>463663.89466720616</x:v>
      </x:c>
      <x:c r="P11" s="46" t="n">
        <x:f>IF(P$8&gt;0,Input!$D$43*(1-Input!$D$44)^(P$8-1),0)</x:f>
        <x:v>462736.5668778717</x:v>
      </x:c>
      <x:c r="Q11" s="46" t="n">
        <x:f>IF(Q$8&gt;0,Input!$D$43*(1-Input!$D$44)^(Q$8-1),0)</x:f>
        <x:v>461811.093744116</x:v>
      </x:c>
      <x:c r="R11" s="46" t="n">
        <x:f>IF(R$8&gt;0,Input!$D$43*(1-Input!$D$44)^(R$8-1),0)</x:f>
        <x:v>460887.4715566278</x:v>
      </x:c>
      <x:c r="S11" s="46" t="n">
        <x:f>IF(S$8&gt;0,Input!$D$43*(1-Input!$D$44)^(S$8-1),0)</x:f>
        <x:v>459965.6966135145</x:v>
      </x:c>
      <x:c r="T11" s="46" t="n">
        <x:f>IF(T$8&gt;0,Input!$D$43*(1-Input!$D$44)^(T$8-1),0)</x:f>
        <x:v>459045.7652202875</x:v>
      </x:c>
      <x:c r="U11" s="46" t="n">
        <x:f>IF(U$8&gt;0,Input!$D$43*(1-Input!$D$44)^(U$8-1),0)</x:f>
        <x:v>458127.67368984694</x:v>
      </x:c>
      <x:c r="V11" s="46" t="n">
        <x:f>IF(V$8&gt;0,Input!$D$43*(1-Input!$D$44)^(V$8-1),0)</x:f>
        <x:v>457211.41834246716</x:v>
      </x:c>
      <x:c r="W11" s="46" t="n">
        <x:f>IF(W$8&gt;0,Input!$D$43*(1-Input!$D$44)^(W$8-1),0)</x:f>
        <x:v>456296.99550578225</x:v>
      </x:c>
      <x:c r="X11" s="46" t="n">
        <x:f>IF(X$8&gt;0,Input!$D$43*(1-Input!$D$44)^(X$8-1),0)</x:f>
        <x:v>455384.4015147707</x:v>
      </x:c>
      <x:c r="Y11" s="46" t="n">
        <x:f>IF(Y$8&gt;0,Input!$D$43*(1-Input!$D$44)^(Y$8-1),0)</x:f>
        <x:v>0</x:v>
      </x:c>
      <x:c r="Z11" s="46" t="n">
        <x:f>IF(Z$8&gt;0,Input!$D$43*(1-Input!$D$44)^(Z$8-1),0)</x:f>
        <x:v>0</x:v>
      </x:c>
      <x:c r="AA11" s="46" t="n">
        <x:f>IF(AA$8&gt;0,Input!$D$43*(1-Input!$D$44)^(AA$8-1),0)</x:f>
        <x:v>0</x:v>
      </x:c>
      <x:c r="AB11" s="46" t="n">
        <x:f>IF(AB$8&gt;0,Input!$D$43*(1-Input!$D$44)^(AB$8-1),0)</x:f>
        <x:v>0</x:v>
      </x:c>
      <x:c r="AC11" s="46" t="n">
        <x:f>IF(AC$8&gt;0,Input!$D$43*(1-Input!$D$44)^(AC$8-1),0)</x:f>
        <x:v>0</x:v>
      </x:c>
      <x:c r="AD11" s="46" t="n">
        <x:f>IF(AD$8&gt;0,Input!$D$43*(1-Input!$D$44)^(AD$8-1),0)</x:f>
        <x:v>0</x:v>
      </x:c>
      <x:c r="AE11" s="46" t="n">
        <x:f>IF(AE$8&gt;0,Input!$D$43*(1-Input!$D$44)^(AE$8-1),0)</x:f>
        <x:v>0</x:v>
      </x:c>
      <x:c r="AF11" s="46" t="n">
        <x:f>IF(AF$8&gt;0,Input!$D$43*(1-Input!$D$44)^(AF$8-1),0)</x:f>
        <x:v>0</x:v>
      </x:c>
    </x:row>
    <x:row r="12" ht="15" customHeight="1">
      <x:c r="A12" s="72" t="s">
        <x:v>270</x:v>
      </x:c>
      <x:c r="B12" s="72" t="s">
        <x:v>476</x:v>
      </x:c>
      <x:c r="C12" s="43" t="n">
        <x:f>IF(C$8&gt;0,(1-Input!$D$44)^(C$8-1),0)</x:f>
        <x:v>0</x:v>
      </x:c>
      <x:c r="D12" s="43" t="n">
        <x:f>IF(D$8&gt;0,(1-Input!$D$44)^(D$8-1),0)</x:f>
        <x:v>0</x:v>
      </x:c>
      <x:c r="E12" s="43" t="n">
        <x:f>IF(E$8&gt;0,(1-Input!$D$44)^(E$8-1),0)</x:f>
        <x:v>1</x:v>
      </x:c>
      <x:c r="F12" s="43" t="n">
        <x:f>IF(F$8&gt;0,(1-Input!$D$44)^(F$8-1),0)</x:f>
        <x:v>0.998</x:v>
      </x:c>
      <x:c r="G12" s="43" t="n">
        <x:f>IF(G$8&gt;0,(1-Input!$D$44)^(G$8-1),0)</x:f>
        <x:v>0.996004</x:v>
      </x:c>
      <x:c r="H12" s="43" t="n">
        <x:f>IF(H$8&gt;0,(1-Input!$D$44)^(H$8-1),0)</x:f>
        <x:v>0.994011992</x:v>
      </x:c>
      <x:c r="I12" s="43" t="n">
        <x:f>IF(I$8&gt;0,(1-Input!$D$44)^(I$8-1),0)</x:f>
        <x:v>0.992023968016</x:v>
      </x:c>
      <x:c r="J12" s="43" t="n">
        <x:f>IF(J$8&gt;0,(1-Input!$D$44)^(J$8-1),0)</x:f>
        <x:v>0.990039920079968</x:v>
      </x:c>
      <x:c r="K12" s="43" t="n">
        <x:f>IF(K$8&gt;0,(1-Input!$D$44)^(K$8-1),0)</x:f>
        <x:v>0.9880598402398081</x:v>
      </x:c>
      <x:c r="L12" s="43" t="n">
        <x:f>IF(L$8&gt;0,(1-Input!$D$44)^(L$8-1),0)</x:f>
        <x:v>0.9860837205593285</x:v>
      </x:c>
      <x:c r="M12" s="43" t="n">
        <x:f>IF(M$8&gt;0,(1-Input!$D$44)^(M$8-1),0)</x:f>
        <x:v>0.9841115531182097</x:v>
      </x:c>
      <x:c r="N12" s="43" t="n">
        <x:f>IF(N$8&gt;0,(1-Input!$D$44)^(N$8-1),0)</x:f>
        <x:v>0.9821433300119734</x:v>
      </x:c>
      <x:c r="O12" s="43" t="n">
        <x:f>IF(O$8&gt;0,(1-Input!$D$44)^(O$8-1),0)</x:f>
        <x:v>0.9801790433519494</x:v>
      </x:c>
      <x:c r="P12" s="43" t="n">
        <x:f>IF(P$8&gt;0,(1-Input!$D$44)^(P$8-1),0)</x:f>
        <x:v>0.9782186852652455</x:v>
      </x:c>
      <x:c r="Q12" s="43" t="n">
        <x:f>IF(Q$8&gt;0,(1-Input!$D$44)^(Q$8-1),0)</x:f>
        <x:v>0.976262247894715</x:v>
      </x:c>
      <x:c r="R12" s="43" t="n">
        <x:f>IF(R$8&gt;0,(1-Input!$D$44)^(R$8-1),0)</x:f>
        <x:v>0.9743097233989256</x:v>
      </x:c>
      <x:c r="S12" s="43" t="n">
        <x:f>IF(S$8&gt;0,(1-Input!$D$44)^(S$8-1),0)</x:f>
        <x:v>0.9723611039521277</x:v>
      </x:c>
      <x:c r="T12" s="43" t="n">
        <x:f>IF(T$8&gt;0,(1-Input!$D$44)^(T$8-1),0)</x:f>
        <x:v>0.9704163817442235</x:v>
      </x:c>
      <x:c r="U12" s="43" t="n">
        <x:f>IF(U$8&gt;0,(1-Input!$D$44)^(U$8-1),0)</x:f>
        <x:v>0.9684755489807351</x:v>
      </x:c>
      <x:c r="V12" s="43" t="n">
        <x:f>IF(V$8&gt;0,(1-Input!$D$44)^(V$8-1),0)</x:f>
        <x:v>0.9665385978827735</x:v>
      </x:c>
      <x:c r="W12" s="43" t="n">
        <x:f>IF(W$8&gt;0,(1-Input!$D$44)^(W$8-1),0)</x:f>
        <x:v>0.964605520687008</x:v>
      </x:c>
      <x:c r="X12" s="43" t="n">
        <x:f>IF(X$8&gt;0,(1-Input!$D$44)^(X$8-1),0)</x:f>
        <x:v>0.962676309645634</x:v>
      </x:c>
      <x:c r="Y12" s="43" t="n">
        <x:f>IF(Y$8&gt;0,(1-Input!$D$44)^(Y$8-1),0)</x:f>
        <x:v>0</x:v>
      </x:c>
      <x:c r="Z12" s="43" t="n">
        <x:f>IF(Z$8&gt;0,(1-Input!$D$44)^(Z$8-1),0)</x:f>
        <x:v>0</x:v>
      </x:c>
      <x:c r="AA12" s="43" t="n">
        <x:f>IF(AA$8&gt;0,(1-Input!$D$44)^(AA$8-1),0)</x:f>
        <x:v>0</x:v>
      </x:c>
      <x:c r="AB12" s="43" t="n">
        <x:f>IF(AB$8&gt;0,(1-Input!$D$44)^(AB$8-1),0)</x:f>
        <x:v>0</x:v>
      </x:c>
      <x:c r="AC12" s="43" t="n">
        <x:f>IF(AC$8&gt;0,(1-Input!$D$44)^(AC$8-1),0)</x:f>
        <x:v>0</x:v>
      </x:c>
      <x:c r="AD12" s="43" t="n">
        <x:f>IF(AD$8&gt;0,(1-Input!$D$44)^(AD$8-1),0)</x:f>
        <x:v>0</x:v>
      </x:c>
      <x:c r="AE12" s="43" t="n">
        <x:f>IF(AE$8&gt;0,(1-Input!$D$44)^(AE$8-1),0)</x:f>
        <x:v>0</x:v>
      </x:c>
      <x:c r="AF12" s="43" t="n">
        <x:f>IF(AF$8&gt;0,(1-Input!$D$44)^(AF$8-1),0)</x:f>
        <x:v>0</x:v>
      </x:c>
    </x:row>
    <x:row r="13" ht="15" customHeight="1">
      <x:c r="A13" s="72" t="s">
        <x:v>274</x:v>
      </x:c>
      <x:c r="B13" s="73" t="s">
        <x:v>477</x:v>
      </x:c>
      <x:c r="C13" s="44" t="n">
        <x:f>IF(C$8&gt;0,Input!$D$45*(1+Input!$D$46)^(C$8-1),0)</x:f>
        <x:v>0</x:v>
      </x:c>
      <x:c r="D13" s="44" t="n">
        <x:f>IF(D$8&gt;0,Input!$D$45*(1+Input!$D$46)^(D$8-1),0)</x:f>
        <x:v>0</x:v>
      </x:c>
      <x:c r="E13" s="44" t="n">
        <x:f>IF(E$8&gt;0,Input!$D$45*(1+Input!$D$46)^(E$8-1),0)</x:f>
        <x:v>1807.4</x:v>
      </x:c>
      <x:c r="F13" s="44" t="n">
        <x:f>IF(F$8&gt;0,Input!$D$45*(1+Input!$D$46)^(F$8-1),0)</x:f>
        <x:v>1843.5480000000002</x:v>
      </x:c>
      <x:c r="G13" s="44" t="n">
        <x:f>IF(G$8&gt;0,Input!$D$45*(1+Input!$D$46)^(G$8-1),0)</x:f>
        <x:v>1880.41896</x:v>
      </x:c>
      <x:c r="H13" s="44" t="n">
        <x:f>IF(H$8&gt;0,Input!$D$45*(1+Input!$D$46)^(H$8-1),0)</x:f>
        <x:v>1918.0273392000004</x:v>
      </x:c>
      <x:c r="I13" s="44" t="n">
        <x:f>IF(I$8&gt;0,Input!$D$45*(1+Input!$D$46)^(I$8-1),0)</x:f>
        <x:v>1956.3878859840001</x:v>
      </x:c>
      <x:c r="J13" s="44" t="n">
        <x:f>IF(J$8&gt;0,Input!$D$45*(1+Input!$D$46)^(J$8-1),0)</x:f>
        <x:v>1995.51564370368</x:v>
      </x:c>
      <x:c r="K13" s="44" t="n">
        <x:f>IF(K$8&gt;0,Input!$D$45*(1+Input!$D$46)^(K$8-1),0)</x:f>
        <x:v>2035.4259565777538</x:v>
      </x:c>
      <x:c r="L13" s="44" t="n">
        <x:f>IF(L$8&gt;0,Input!$D$45*(1+Input!$D$46)^(L$8-1),0)</x:f>
        <x:v>2076.134475709309</x:v>
      </x:c>
      <x:c r="M13" s="44" t="n">
        <x:f>IF(M$8&gt;0,Input!$D$45*(1+Input!$D$46)^(M$8-1),0)</x:f>
        <x:v>2117.657165223495</x:v>
      </x:c>
      <x:c r="N13" s="44" t="n">
        <x:f>IF(N$8&gt;0,Input!$D$45*(1+Input!$D$46)^(N$8-1),0)</x:f>
        <x:v>2160.010308527965</x:v>
      </x:c>
      <x:c r="O13" s="44" t="n">
        <x:f>IF(O$8&gt;0,Input!$D$45*(1+Input!$D$46)^(O$8-1),0)</x:f>
        <x:v>2203.2105146985245</x:v>
      </x:c>
      <x:c r="P13" s="44" t="n">
        <x:f>IF(P$8&gt;0,Input!$D$45*(1+Input!$D$46)^(P$8-1),0)</x:f>
        <x:v>2247.274724992495</x:v>
      </x:c>
      <x:c r="Q13" s="44" t="n">
        <x:f>IF(Q$8&gt;0,Input!$D$45*(1+Input!$D$46)^(Q$8-1),0)</x:f>
        <x:v>2292.2202194923448</x:v>
      </x:c>
      <x:c r="R13" s="44" t="n">
        <x:f>IF(R$8&gt;0,Input!$D$45*(1+Input!$D$46)^(R$8-1),0)</x:f>
        <x:v>2338.064623882192</x:v>
      </x:c>
      <x:c r="S13" s="44" t="n">
        <x:f>IF(S$8&gt;0,Input!$D$45*(1+Input!$D$46)^(S$8-1),0)</x:f>
        <x:v>2384.8259163598354</x:v>
      </x:c>
      <x:c r="T13" s="44" t="n">
        <x:f>IF(T$8&gt;0,Input!$D$45*(1+Input!$D$46)^(T$8-1),0)</x:f>
        <x:v>2432.5224346870323</x:v>
      </x:c>
      <x:c r="U13" s="44" t="n">
        <x:f>IF(U$8&gt;0,Input!$D$45*(1+Input!$D$46)^(U$8-1),0)</x:f>
        <x:v>2481.1728833807733</x:v>
      </x:c>
      <x:c r="V13" s="44" t="n">
        <x:f>IF(V$8&gt;0,Input!$D$45*(1+Input!$D$46)^(V$8-1),0)</x:f>
        <x:v>2530.796341048389</x:v>
      </x:c>
      <x:c r="W13" s="44" t="n">
        <x:f>IF(W$8&gt;0,Input!$D$45*(1+Input!$D$46)^(W$8-1),0)</x:f>
        <x:v>2581.4122678693566</x:v>
      </x:c>
      <x:c r="X13" s="44" t="n">
        <x:f>IF(X$8&gt;0,Input!$D$45*(1+Input!$D$46)^(X$8-1),0)</x:f>
        <x:v>2633.0405132267438</x:v>
      </x:c>
      <x:c r="Y13" s="44" t="n">
        <x:f>IF(Y$8&gt;0,Input!$D$45*(1+Input!$D$46)^(Y$8-1),0)</x:f>
        <x:v>0</x:v>
      </x:c>
      <x:c r="Z13" s="44" t="n">
        <x:f>IF(Z$8&gt;0,Input!$D$45*(1+Input!$D$46)^(Z$8-1),0)</x:f>
        <x:v>0</x:v>
      </x:c>
      <x:c r="AA13" s="44" t="n">
        <x:f>IF(AA$8&gt;0,Input!$D$45*(1+Input!$D$46)^(AA$8-1),0)</x:f>
        <x:v>0</x:v>
      </x:c>
      <x:c r="AB13" s="44" t="n">
        <x:f>IF(AB$8&gt;0,Input!$D$45*(1+Input!$D$46)^(AB$8-1),0)</x:f>
        <x:v>0</x:v>
      </x:c>
      <x:c r="AC13" s="44" t="n">
        <x:f>IF(AC$8&gt;0,Input!$D$45*(1+Input!$D$46)^(AC$8-1),0)</x:f>
        <x:v>0</x:v>
      </x:c>
      <x:c r="AD13" s="44" t="n">
        <x:f>IF(AD$8&gt;0,Input!$D$45*(1+Input!$D$46)^(AD$8-1),0)</x:f>
        <x:v>0</x:v>
      </x:c>
      <x:c r="AE13" s="44" t="n">
        <x:f>IF(AE$8&gt;0,Input!$D$45*(1+Input!$D$46)^(AE$8-1),0)</x:f>
        <x:v>0</x:v>
      </x:c>
      <x:c r="AF13" s="44" t="n">
        <x:f>IF(AF$8&gt;0,Input!$D$45*(1+Input!$D$46)^(AF$8-1),0)</x:f>
        <x:v>0</x:v>
      </x:c>
    </x:row>
    <x:row r="14" ht="15" customHeight="1">
      <x:c r="A14" s="72" t="s">
        <x:v>277</x:v>
      </x:c>
      <x:c r="B14" s="72" t="s">
        <x:v>478</x:v>
      </x:c>
      <x:c r="C14" s="45" t="n">
        <x:f t="shared" ref="C14:AF14" si="0">C11*1000*C13/1000000000</x:f>
        <x:v>0</x:v>
      </x:c>
      <x:c r="D14" s="45">
        <x:f t="shared" si="0"/>
        <x:v>0</x:v>
      </x:c>
      <x:c r="E14" s="45">
        <x:f t="shared" si="0"/>
        <x:v>854.97249599999998</x:v>
      </x:c>
      <x:c r="F14" s="45">
        <x:f t="shared" si="0"/>
        <x:v>870.32780202816014</x:v>
      </x:c>
      <x:c r="G14" s="45">
        <x:f t="shared" si="0"/>
        <x:v>885.95888935258586</x:v>
      </x:c>
      <x:c r="H14" s="45">
        <x:f t="shared" si="0"/>
        <x:v>901.8707110053582</x:v>
      </x:c>
      <x:c r="I14" s="45">
        <x:f t="shared" si="0"/>
        <x:v>918.06830897501447</x:v>
      </x:c>
      <x:c r="J14" s="45">
        <x:f t="shared" si="0"/>
        <x:v>934.55681580420583</x:v>
      </x:c>
      <x:c r="K14" s="45">
        <x:f t="shared" si="0"/>
        <x:v>951.34145621604932</x:v>
      </x:c>
      <x:c r="L14" s="45">
        <x:f t="shared" si="0"/>
        <x:v>968.42754876968934</x:v>
      </x:c>
      <x:c r="M14" s="45">
        <x:f t="shared" si="0"/>
        <x:v>985.82050754559316</x:v>
      </x:c>
      <x:c r="N14" s="45">
        <x:f t="shared" si="0"/>
        <x:v>1003.5258438611121</x:v>
      </x:c>
      <x:c r="O14" s="45">
        <x:f t="shared" si="0"/>
        <x:v>1021.5491680168577</x:v>
      </x:c>
      <x:c r="P14" s="45">
        <x:f t="shared" si="0"/>
        <x:v>1039.8961910744401</x:v>
      </x:c>
      <x:c r="Q14" s="45">
        <x:f t="shared" si="0"/>
        <x:v>1058.5727266661374</x:v>
      </x:c>
      <x:c r="R14" s="45">
        <x:f t="shared" si="0"/>
        <x:v>1077.5846928370609</x:v>
      </x:c>
      <x:c r="S14" s="45">
        <x:f t="shared" si="0"/>
        <x:v>1096.9381139204149</x:v>
      </x:c>
      <x:c r="T14" s="45">
        <x:f t="shared" si="0"/>
        <x:v>1116.6391224464253</x:v>
      </x:c>
      <x:c r="U14" s="45">
        <x:f t="shared" si="0"/>
        <x:v>1136.6939610855632</x:v>
      </x:c>
      <x:c r="V14" s="45">
        <x:f t="shared" si="0"/>
        <x:v>1157.1089846266602</x:v>
      </x:c>
      <x:c r="W14" s="45">
        <x:f t="shared" si="0"/>
        <x:v>1177.8906619905545</x:v>
      </x:c>
      <x:c r="X14" s="45">
        <x:f t="shared" si="0"/>
        <x:v>1199.0455782799047</x:v>
      </x:c>
      <x:c r="Y14" s="45">
        <x:f t="shared" si="0"/>
        <x:v>0</x:v>
      </x:c>
      <x:c r="Z14" s="45">
        <x:f t="shared" si="0"/>
        <x:v>0</x:v>
      </x:c>
      <x:c r="AA14" s="45">
        <x:f t="shared" si="0"/>
        <x:v>0</x:v>
      </x:c>
      <x:c r="AB14" s="45">
        <x:f t="shared" si="0"/>
        <x:v>0</x:v>
      </x:c>
      <x:c r="AC14" s="45">
        <x:f t="shared" si="0"/>
        <x:v>0</x:v>
      </x:c>
      <x:c r="AD14" s="45">
        <x:f t="shared" si="0"/>
        <x:v>0</x:v>
      </x:c>
      <x:c r="AE14" s="45">
        <x:f t="shared" si="0"/>
        <x:v>0</x:v>
      </x:c>
      <x:c r="AF14" s="45">
        <x:f t="shared" si="0"/>
        <x:v>0</x:v>
      </x:c>
    </x:row>
    <x:row r="15" ht="15" customHeight="1">
      <x:c r="A15" s="72" t="s">
        <x:v>282</x:v>
      </x:c>
      <x:c r="B15" s="72" t="s">
        <x:v>479</x:v>
      </x:c>
      <x:c r="C15" s="45" t="n">
        <x:f>IF(C$8&gt;0,Input!$D$48*(1+Input!$D$46)^(C$8-1),0)</x:f>
        <x:v>0</x:v>
      </x:c>
      <x:c r="D15" s="45" t="n">
        <x:f>IF(D$8&gt;0,Input!$D$48*(1+Input!$D$46)^(D$8-1),0)</x:f>
        <x:v>0</x:v>
      </x:c>
      <x:c r="E15" s="45" t="n">
        <x:f>IF(E$8&gt;0,Input!$D$48*(1+Input!$D$46)^(E$8-1),0)</x:f>
        <x:v>0</x:v>
      </x:c>
      <x:c r="F15" s="45" t="n">
        <x:f>IF(F$8&gt;0,Input!$D$48*(1+Input!$D$46)^(F$8-1),0)</x:f>
        <x:v>0</x:v>
      </x:c>
      <x:c r="G15" s="45" t="n">
        <x:f>IF(G$8&gt;0,Input!$D$48*(1+Input!$D$46)^(G$8-1),0)</x:f>
        <x:v>0</x:v>
      </x:c>
      <x:c r="H15" s="45" t="n">
        <x:f>IF(H$8&gt;0,Input!$D$48*(1+Input!$D$46)^(H$8-1),0)</x:f>
        <x:v>0</x:v>
      </x:c>
      <x:c r="I15" s="45" t="n">
        <x:f>IF(I$8&gt;0,Input!$D$48*(1+Input!$D$46)^(I$8-1),0)</x:f>
        <x:v>0</x:v>
      </x:c>
      <x:c r="J15" s="45" t="n">
        <x:f>IF(J$8&gt;0,Input!$D$48*(1+Input!$D$46)^(J$8-1),0)</x:f>
        <x:v>0</x:v>
      </x:c>
      <x:c r="K15" s="45" t="n">
        <x:f>IF(K$8&gt;0,Input!$D$48*(1+Input!$D$46)^(K$8-1),0)</x:f>
        <x:v>0</x:v>
      </x:c>
      <x:c r="L15" s="45" t="n">
        <x:f>IF(L$8&gt;0,Input!$D$48*(1+Input!$D$46)^(L$8-1),0)</x:f>
        <x:v>0</x:v>
      </x:c>
      <x:c r="M15" s="45" t="n">
        <x:f>IF(M$8&gt;0,Input!$D$48*(1+Input!$D$46)^(M$8-1),0)</x:f>
        <x:v>0</x:v>
      </x:c>
      <x:c r="N15" s="45" t="n">
        <x:f>IF(N$8&gt;0,Input!$D$48*(1+Input!$D$46)^(N$8-1),0)</x:f>
        <x:v>0</x:v>
      </x:c>
      <x:c r="O15" s="45" t="n">
        <x:f>IF(O$8&gt;0,Input!$D$48*(1+Input!$D$46)^(O$8-1),0)</x:f>
        <x:v>0</x:v>
      </x:c>
      <x:c r="P15" s="45" t="n">
        <x:f>IF(P$8&gt;0,Input!$D$48*(1+Input!$D$46)^(P$8-1),0)</x:f>
        <x:v>0</x:v>
      </x:c>
      <x:c r="Q15" s="45" t="n">
        <x:f>IF(Q$8&gt;0,Input!$D$48*(1+Input!$D$46)^(Q$8-1),0)</x:f>
        <x:v>0</x:v>
      </x:c>
      <x:c r="R15" s="45" t="n">
        <x:f>IF(R$8&gt;0,Input!$D$48*(1+Input!$D$46)^(R$8-1),0)</x:f>
        <x:v>0</x:v>
      </x:c>
      <x:c r="S15" s="45" t="n">
        <x:f>IF(S$8&gt;0,Input!$D$48*(1+Input!$D$46)^(S$8-1),0)</x:f>
        <x:v>0</x:v>
      </x:c>
      <x:c r="T15" s="45" t="n">
        <x:f>IF(T$8&gt;0,Input!$D$48*(1+Input!$D$46)^(T$8-1),0)</x:f>
        <x:v>0</x:v>
      </x:c>
      <x:c r="U15" s="45" t="n">
        <x:f>IF(U$8&gt;0,Input!$D$48*(1+Input!$D$46)^(U$8-1),0)</x:f>
        <x:v>0</x:v>
      </x:c>
      <x:c r="V15" s="45" t="n">
        <x:f>IF(V$8&gt;0,Input!$D$48*(1+Input!$D$46)^(V$8-1),0)</x:f>
        <x:v>0</x:v>
      </x:c>
      <x:c r="W15" s="45" t="n">
        <x:f>IF(W$8&gt;0,Input!$D$48*(1+Input!$D$46)^(W$8-1),0)</x:f>
        <x:v>0</x:v>
      </x:c>
      <x:c r="X15" s="45" t="n">
        <x:f>IF(X$8&gt;0,Input!$D$48*(1+Input!$D$46)^(X$8-1),0)</x:f>
        <x:v>0</x:v>
      </x:c>
      <x:c r="Y15" s="45" t="n">
        <x:f>IF(Y$8&gt;0,Input!$D$48*(1+Input!$D$46)^(Y$8-1),0)</x:f>
        <x:v>0</x:v>
      </x:c>
      <x:c r="Z15" s="45" t="n">
        <x:f>IF(Z$8&gt;0,Input!$D$48*(1+Input!$D$46)^(Z$8-1),0)</x:f>
        <x:v>0</x:v>
      </x:c>
      <x:c r="AA15" s="45" t="n">
        <x:f>IF(AA$8&gt;0,Input!$D$48*(1+Input!$D$46)^(AA$8-1),0)</x:f>
        <x:v>0</x:v>
      </x:c>
      <x:c r="AB15" s="45" t="n">
        <x:f>IF(AB$8&gt;0,Input!$D$48*(1+Input!$D$46)^(AB$8-1),0)</x:f>
        <x:v>0</x:v>
      </x:c>
      <x:c r="AC15" s="45" t="n">
        <x:f>IF(AC$8&gt;0,Input!$D$48*(1+Input!$D$46)^(AC$8-1),0)</x:f>
        <x:v>0</x:v>
      </x:c>
      <x:c r="AD15" s="45" t="n">
        <x:f>IF(AD$8&gt;0,Input!$D$48*(1+Input!$D$46)^(AD$8-1),0)</x:f>
        <x:v>0</x:v>
      </x:c>
      <x:c r="AE15" s="45" t="n">
        <x:f>IF(AE$8&gt;0,Input!$D$48*(1+Input!$D$46)^(AE$8-1),0)</x:f>
        <x:v>0</x:v>
      </x:c>
      <x:c r="AF15" s="45" t="n">
        <x:f>IF(AF$8&gt;0,Input!$D$48*(1+Input!$D$46)^(AF$8-1),0)</x:f>
        <x:v>0</x:v>
      </x:c>
    </x:row>
    <x:row r="16" ht="15" customHeight="1">
      <x:c r="A16" s="72" t="s">
        <x:v>287</x:v>
      </x:c>
      <x:c r="B16" s="73" t="s">
        <x:v>480</x:v>
      </x:c>
      <x:c r="C16" s="44" t="n">
        <x:f t="shared" ref="C16:AF16" si="1">SUM(C14:C15)</x:f>
        <x:v>0</x:v>
      </x:c>
      <x:c r="D16" s="44">
        <x:f t="shared" si="1"/>
        <x:v>0</x:v>
      </x:c>
      <x:c r="E16" s="44">
        <x:f t="shared" si="1"/>
        <x:v>854.97249599999998</x:v>
      </x:c>
      <x:c r="F16" s="44">
        <x:f t="shared" si="1"/>
        <x:v>870.32780202816014</x:v>
      </x:c>
      <x:c r="G16" s="44">
        <x:f t="shared" si="1"/>
        <x:v>885.95888935258586</x:v>
      </x:c>
      <x:c r="H16" s="44">
        <x:f t="shared" si="1"/>
        <x:v>901.8707110053582</x:v>
      </x:c>
      <x:c r="I16" s="44">
        <x:f t="shared" si="1"/>
        <x:v>918.06830897501447</x:v>
      </x:c>
      <x:c r="J16" s="44">
        <x:f t="shared" si="1"/>
        <x:v>934.55681580420583</x:v>
      </x:c>
      <x:c r="K16" s="44">
        <x:f t="shared" si="1"/>
        <x:v>951.34145621604932</x:v>
      </x:c>
      <x:c r="L16" s="44">
        <x:f t="shared" si="1"/>
        <x:v>968.42754876968934</x:v>
      </x:c>
      <x:c r="M16" s="44">
        <x:f t="shared" si="1"/>
        <x:v>985.82050754559316</x:v>
      </x:c>
      <x:c r="N16" s="44">
        <x:f t="shared" si="1"/>
        <x:v>1003.5258438611121</x:v>
      </x:c>
      <x:c r="O16" s="44">
        <x:f t="shared" si="1"/>
        <x:v>1021.5491680168577</x:v>
      </x:c>
      <x:c r="P16" s="44">
        <x:f t="shared" si="1"/>
        <x:v>1039.8961910744401</x:v>
      </x:c>
      <x:c r="Q16" s="44">
        <x:f t="shared" si="1"/>
        <x:v>1058.5727266661374</x:v>
      </x:c>
      <x:c r="R16" s="44">
        <x:f t="shared" si="1"/>
        <x:v>1077.5846928370609</x:v>
      </x:c>
      <x:c r="S16" s="44">
        <x:f t="shared" si="1"/>
        <x:v>1096.9381139204149</x:v>
      </x:c>
      <x:c r="T16" s="44">
        <x:f t="shared" si="1"/>
        <x:v>1116.6391224464253</x:v>
      </x:c>
      <x:c r="U16" s="44">
        <x:f t="shared" si="1"/>
        <x:v>1136.6939610855632</x:v>
      </x:c>
      <x:c r="V16" s="44">
        <x:f t="shared" si="1"/>
        <x:v>1157.1089846266602</x:v>
      </x:c>
      <x:c r="W16" s="44">
        <x:f t="shared" si="1"/>
        <x:v>1177.8906619905545</x:v>
      </x:c>
      <x:c r="X16" s="44">
        <x:f t="shared" si="1"/>
        <x:v>1199.0455782799047</x:v>
      </x:c>
      <x:c r="Y16" s="44">
        <x:f t="shared" si="1"/>
        <x:v>0</x:v>
      </x:c>
      <x:c r="Z16" s="44">
        <x:f t="shared" si="1"/>
        <x:v>0</x:v>
      </x:c>
      <x:c r="AA16" s="44">
        <x:f t="shared" si="1"/>
        <x:v>0</x:v>
      </x:c>
      <x:c r="AB16" s="44">
        <x:f t="shared" si="1"/>
        <x:v>0</x:v>
      </x:c>
      <x:c r="AC16" s="44">
        <x:f t="shared" si="1"/>
        <x:v>0</x:v>
      </x:c>
      <x:c r="AD16" s="44">
        <x:f t="shared" si="1"/>
        <x:v>0</x:v>
      </x:c>
      <x:c r="AE16" s="44">
        <x:f t="shared" si="1"/>
        <x:v>0</x:v>
      </x:c>
      <x:c r="AF16" s="44">
        <x:f t="shared" si="1"/>
        <x:v>0</x:v>
      </x:c>
    </x:row>
    <x:row r="17" ht="15" customHeight="1">
      <x:c r="A17" s="70"/>
      <x:c r="B17" s="70"/>
      <x:c r="C17" s="65"/>
      <x:c r="D17" s="65"/>
      <x:c r="E17" s="65"/>
      <x:c r="F17" s="65"/>
      <x:c r="G17" s="65"/>
      <x:c r="H17" s="65"/>
      <x:c r="I17" s="65"/>
      <x:c r="J17" s="65"/>
      <x:c r="K17" s="65"/>
      <x:c r="L17" s="65"/>
      <x:c r="M17" s="65"/>
      <x:c r="N17" s="65"/>
      <x:c r="O17" s="65"/>
      <x:c r="P17" s="65"/>
      <x:c r="Q17" s="65"/>
      <x:c r="R17" s="65"/>
      <x:c r="S17" s="65"/>
      <x:c r="T17" s="65"/>
      <x:c r="U17" s="65"/>
      <x:c r="V17" s="65"/>
      <x:c r="W17" s="65"/>
      <x:c r="X17" s="65"/>
      <x:c r="Y17" s="65"/>
      <x:c r="Z17" s="65"/>
      <x:c r="AA17" s="65"/>
      <x:c r="AB17" s="65"/>
      <x:c r="AC17" s="65"/>
      <x:c r="AD17" s="65"/>
      <x:c r="AE17" s="65"/>
      <x:c r="AF17" s="65"/>
    </x:row>
    <x:row r="18" ht="15" customHeight="1">
      <x:c r="A18" s="136" t="s">
        <x:v>481</x:v>
      </x:c>
      <x:c r="B18" s="136"/>
      <x:c r="C18" s="137"/>
      <x:c r="D18" s="137"/>
      <x:c r="E18" s="137"/>
      <x:c r="F18" s="137"/>
      <x:c r="G18" s="137"/>
      <x:c r="H18" s="137"/>
      <x:c r="I18" s="137"/>
      <x:c r="J18" s="137"/>
      <x:c r="K18" s="137"/>
      <x:c r="L18" s="137"/>
      <x:c r="M18" s="137"/>
      <x:c r="N18" s="137"/>
      <x:c r="O18" s="137"/>
      <x:c r="P18" s="137"/>
      <x:c r="Q18" s="137"/>
      <x:c r="R18" s="137"/>
      <x:c r="S18" s="137"/>
      <x:c r="T18" s="137"/>
      <x:c r="U18" s="137"/>
      <x:c r="V18" s="137"/>
      <x:c r="W18" s="137"/>
      <x:c r="X18" s="137"/>
      <x:c r="Y18" s="137"/>
      <x:c r="Z18" s="137"/>
      <x:c r="AA18" s="137"/>
      <x:c r="AB18" s="137"/>
      <x:c r="AC18" s="137"/>
      <x:c r="AD18" s="137"/>
      <x:c r="AE18" s="137"/>
      <x:c r="AF18" s="137"/>
    </x:row>
    <x:row r="19" ht="15" customHeight="1">
      <x:c r="A19" s="72" t="s">
        <x:v>306</x:v>
      </x:c>
      <x:c r="B19" s="72" t="s">
        <x:v>482</x:v>
      </x:c>
      <x:c r="C19" s="45" t="n">
        <x:f>IF(C$8&gt;0,Input!$D$21*Input!$D$50*(1+Input!$D$51)^(C$8-1),0)</x:f>
        <x:v>0</x:v>
      </x:c>
      <x:c r="D19" s="45" t="n">
        <x:f>IF(D$8&gt;0,Input!$D$21*Input!$D$50*(1+Input!$D$51)^(D$8-1),0)</x:f>
        <x:v>0</x:v>
      </x:c>
      <x:c r="E19" s="45" t="n">
        <x:f>IF(E$8&gt;0,Input!$D$21*Input!$D$50*(1+Input!$D$51)^(E$8-1),0)</x:f>
        <x:v>122.3</x:v>
      </x:c>
      <x:c r="F19" s="45" t="n">
        <x:f>IF(F$8&gt;0,Input!$D$21*Input!$D$50*(1+Input!$D$51)^(F$8-1),0)</x:f>
        <x:v>124.746</x:v>
      </x:c>
      <x:c r="G19" s="45" t="n">
        <x:f>IF(G$8&gt;0,Input!$D$21*Input!$D$50*(1+Input!$D$51)^(G$8-1),0)</x:f>
        <x:v>127.24092</x:v>
      </x:c>
      <x:c r="H19" s="45" t="n">
        <x:f>IF(H$8&gt;0,Input!$D$21*Input!$D$50*(1+Input!$D$51)^(H$8-1),0)</x:f>
        <x:v>129.7857384</x:v>
      </x:c>
      <x:c r="I19" s="45" t="n">
        <x:f>IF(I$8&gt;0,Input!$D$21*Input!$D$50*(1+Input!$D$51)^(I$8-1),0)</x:f>
        <x:v>132.381453168</x:v>
      </x:c>
      <x:c r="J19" s="45" t="n">
        <x:f>IF(J$8&gt;0,Input!$D$21*Input!$D$50*(1+Input!$D$51)^(J$8-1),0)</x:f>
        <x:v>135.02908223136</x:v>
      </x:c>
      <x:c r="K19" s="45" t="n">
        <x:f>IF(K$8&gt;0,Input!$D$21*Input!$D$50*(1+Input!$D$51)^(K$8-1),0)</x:f>
        <x:v>137.7296638759872</x:v>
      </x:c>
      <x:c r="L19" s="45" t="n">
        <x:f>IF(L$8&gt;0,Input!$D$21*Input!$D$50*(1+Input!$D$51)^(L$8-1),0)</x:f>
        <x:v>140.48425715350695</x:v>
      </x:c>
      <x:c r="M19" s="45" t="n">
        <x:f>IF(M$8&gt;0,Input!$D$21*Input!$D$50*(1+Input!$D$51)^(M$8-1),0)</x:f>
        <x:v>143.2939422965771</x:v>
      </x:c>
      <x:c r="N19" s="45" t="n">
        <x:f>IF(N$8&gt;0,Input!$D$21*Input!$D$50*(1+Input!$D$51)^(N$8-1),0)</x:f>
        <x:v>146.15982114250863</x:v>
      </x:c>
      <x:c r="O19" s="45" t="n">
        <x:f>IF(O$8&gt;0,Input!$D$21*Input!$D$50*(1+Input!$D$51)^(O$8-1),0)</x:f>
        <x:v>149.08301756535883</x:v>
      </x:c>
      <x:c r="P19" s="45" t="n">
        <x:f>IF(P$8&gt;0,Input!$D$21*Input!$D$50*(1+Input!$D$51)^(P$8-1),0)</x:f>
        <x:v>152.064677916666</x:v>
      </x:c>
      <x:c r="Q19" s="45" t="n">
        <x:f>IF(Q$8&gt;0,Input!$D$21*Input!$D$50*(1+Input!$D$51)^(Q$8-1),0)</x:f>
        <x:v>155.1059714749993</x:v>
      </x:c>
      <x:c r="R19" s="45" t="n">
        <x:f>IF(R$8&gt;0,Input!$D$21*Input!$D$50*(1+Input!$D$51)^(R$8-1),0)</x:f>
        <x:v>158.2080909044993</x:v>
      </x:c>
      <x:c r="S19" s="45" t="n">
        <x:f>IF(S$8&gt;0,Input!$D$21*Input!$D$50*(1+Input!$D$51)^(S$8-1),0)</x:f>
        <x:v>161.37225272258928</x:v>
      </x:c>
      <x:c r="T19" s="45" t="n">
        <x:f>IF(T$8&gt;0,Input!$D$21*Input!$D$50*(1+Input!$D$51)^(T$8-1),0)</x:f>
        <x:v>164.5996977770411</x:v>
      </x:c>
      <x:c r="U19" s="45" t="n">
        <x:f>IF(U$8&gt;0,Input!$D$21*Input!$D$50*(1+Input!$D$51)^(U$8-1),0)</x:f>
        <x:v>167.8916917325819</x:v>
      </x:c>
      <x:c r="V19" s="45" t="n">
        <x:f>IF(V$8&gt;0,Input!$D$21*Input!$D$50*(1+Input!$D$51)^(V$8-1),0)</x:f>
        <x:v>171.24952556723355</x:v>
      </x:c>
      <x:c r="W19" s="45" t="n">
        <x:f>IF(W$8&gt;0,Input!$D$21*Input!$D$50*(1+Input!$D$51)^(W$8-1),0)</x:f>
        <x:v>174.67451607857822</x:v>
      </x:c>
      <x:c r="X19" s="45" t="n">
        <x:f>IF(X$8&gt;0,Input!$D$21*Input!$D$50*(1+Input!$D$51)^(X$8-1),0)</x:f>
        <x:v>178.16800640014978</x:v>
      </x:c>
      <x:c r="Y19" s="45" t="n">
        <x:f>IF(Y$8&gt;0,Input!$D$21*Input!$D$50*(1+Input!$D$51)^(Y$8-1),0)</x:f>
        <x:v>0</x:v>
      </x:c>
      <x:c r="Z19" s="45" t="n">
        <x:f>IF(Z$8&gt;0,Input!$D$21*Input!$D$50*(1+Input!$D$51)^(Z$8-1),0)</x:f>
        <x:v>0</x:v>
      </x:c>
      <x:c r="AA19" s="45" t="n">
        <x:f>IF(AA$8&gt;0,Input!$D$21*Input!$D$50*(1+Input!$D$51)^(AA$8-1),0)</x:f>
        <x:v>0</x:v>
      </x:c>
      <x:c r="AB19" s="45" t="n">
        <x:f>IF(AB$8&gt;0,Input!$D$21*Input!$D$50*(1+Input!$D$51)^(AB$8-1),0)</x:f>
        <x:v>0</x:v>
      </x:c>
      <x:c r="AC19" s="45" t="n">
        <x:f>IF(AC$8&gt;0,Input!$D$21*Input!$D$50*(1+Input!$D$51)^(AC$8-1),0)</x:f>
        <x:v>0</x:v>
      </x:c>
      <x:c r="AD19" s="45" t="n">
        <x:f>IF(AD$8&gt;0,Input!$D$21*Input!$D$50*(1+Input!$D$51)^(AD$8-1),0)</x:f>
        <x:v>0</x:v>
      </x:c>
      <x:c r="AE19" s="45" t="n">
        <x:f>IF(AE$8&gt;0,Input!$D$21*Input!$D$50*(1+Input!$D$51)^(AE$8-1),0)</x:f>
        <x:v>0</x:v>
      </x:c>
      <x:c r="AF19" s="45" t="n">
        <x:f>IF(AF$8&gt;0,Input!$D$21*Input!$D$50*(1+Input!$D$51)^(AF$8-1),0)</x:f>
        <x:v>0</x:v>
      </x:c>
    </x:row>
    <x:row r="20" ht="15" customHeight="1">
      <x:c r="A20" s="72" t="s">
        <x:v>311</x:v>
      </x:c>
      <x:c r="B20" s="73" t="s">
        <x:v>47</x:v>
      </x:c>
      <x:c r="C20" s="44" t="n">
        <x:f t="shared" ref="C20:AF20" si="2">C16-C19</x:f>
        <x:v>0</x:v>
      </x:c>
      <x:c r="D20" s="44">
        <x:f t="shared" si="2"/>
        <x:v>0</x:v>
      </x:c>
      <x:c r="E20" s="44">
        <x:f t="shared" si="2"/>
        <x:v>732.67249600000002</x:v>
      </x:c>
      <x:c r="F20" s="44">
        <x:f t="shared" si="2"/>
        <x:v>745.58180202816015</x:v>
      </x:c>
      <x:c r="G20" s="44">
        <x:f t="shared" si="2"/>
        <x:v>758.7179693525859</x:v>
      </x:c>
      <x:c r="H20" s="44">
        <x:f t="shared" si="2"/>
        <x:v>772.08497260535819</x:v>
      </x:c>
      <x:c r="I20" s="44">
        <x:f t="shared" si="2"/>
        <x:v>785.68685580701447</x:v>
      </x:c>
      <x:c r="J20" s="44">
        <x:f t="shared" si="2"/>
        <x:v>799.52773357284582</x:v>
      </x:c>
      <x:c r="K20" s="44">
        <x:f t="shared" si="2"/>
        <x:v>813.61179234006215</x:v>
      </x:c>
      <x:c r="L20" s="44">
        <x:f t="shared" si="2"/>
        <x:v>827.94329161618248</x:v>
      </x:c>
      <x:c r="M20" s="44">
        <x:f t="shared" si="2"/>
        <x:v>842.52656524901613</x:v>
      </x:c>
      <x:c r="N20" s="44">
        <x:f t="shared" si="2"/>
        <x:v>857.36602271860352</x:v>
      </x:c>
      <x:c r="O20" s="44">
        <x:f t="shared" si="2"/>
        <x:v>872.46615045149895</x:v>
      </x:c>
      <x:c r="P20" s="44">
        <x:f t="shared" si="2"/>
        <x:v>887.83151315777422</x:v>
      </x:c>
      <x:c r="Q20" s="44">
        <x:f t="shared" si="2"/>
        <x:v>903.46675519113819</x:v>
      </x:c>
      <x:c r="R20" s="44">
        <x:f t="shared" si="2"/>
        <x:v>919.37660193256158</x:v>
      </x:c>
      <x:c r="S20" s="44">
        <x:f t="shared" si="2"/>
        <x:v>935.56586119782571</x:v>
      </x:c>
      <x:c r="T20" s="44">
        <x:f t="shared" si="2"/>
        <x:v>952.03942466938429</x:v>
      </x:c>
      <x:c r="U20" s="44">
        <x:f t="shared" si="2"/>
        <x:v>968.80226935298128</x:v>
      </x:c>
      <x:c r="V20" s="44">
        <x:f t="shared" si="2"/>
        <x:v>985.85945905942674</x:v>
      </x:c>
      <x:c r="W20" s="44">
        <x:f t="shared" si="2"/>
        <x:v>1003.2161459119764</x:v>
      </x:c>
      <x:c r="X20" s="44">
        <x:f t="shared" si="2"/>
        <x:v>1020.877571879755</x:v>
      </x:c>
      <x:c r="Y20" s="44">
        <x:f t="shared" si="2"/>
        <x:v>0</x:v>
      </x:c>
      <x:c r="Z20" s="44">
        <x:f t="shared" si="2"/>
        <x:v>0</x:v>
      </x:c>
      <x:c r="AA20" s="44">
        <x:f t="shared" si="2"/>
        <x:v>0</x:v>
      </x:c>
      <x:c r="AB20" s="44">
        <x:f t="shared" si="2"/>
        <x:v>0</x:v>
      </x:c>
      <x:c r="AC20" s="44">
        <x:f t="shared" si="2"/>
        <x:v>0</x:v>
      </x:c>
      <x:c r="AD20" s="44">
        <x:f t="shared" si="2"/>
        <x:v>0</x:v>
      </x:c>
      <x:c r="AE20" s="44">
        <x:f t="shared" si="2"/>
        <x:v>0</x:v>
      </x:c>
      <x:c r="AF20" s="44">
        <x:f t="shared" si="2"/>
        <x:v>0</x:v>
      </x:c>
    </x:row>
    <x:row r="21" ht="15" customHeight="1">
      <x:c r="A21" s="72" t="s">
        <x:v>315</x:v>
      </x:c>
      <x:c r="B21" s="73" t="s">
        <x:v>483</x:v>
      </x:c>
      <x:c r="C21" s="47" t="n">
        <x:f t="shared" ref="C21:AF21" si="3">IF(C16=0,0,C20/C16)</x:f>
        <x:v>0</x:v>
      </x:c>
      <x:c r="D21" s="47">
        <x:f t="shared" si="3"/>
        <x:v>0</x:v>
      </x:c>
      <x:c r="E21" s="47">
        <x:f t="shared" si="3"/>
        <x:v>0.85695446277841436</x:v>
      </x:c>
      <x:c r="F21" s="47">
        <x:f t="shared" si="3"/>
        <x:v>0.85666779837516471</x:v>
      </x:c>
      <x:c r="G21" s="47">
        <x:f t="shared" si="3"/>
        <x:v>0.85638055949415304</x:v>
      </x:c>
      <x:c r="H21" s="47">
        <x:f t="shared" si="3"/>
        <x:v>0.85609274498412125</x:v>
      </x:c>
      <x:c r="I21" s="47">
        <x:f t="shared" si="3"/>
        <x:v>0.8558043536915042</x:v>
      </x:c>
      <x:c r="J21" s="47">
        <x:f t="shared" si="3"/>
        <x:v>0.85551538446042508</x:v>
      </x:c>
      <x:c r="K21" s="47">
        <x:f t="shared" si="3"/>
        <x:v>0.85522583613269054</x:v>
      </x:c>
      <x:c r="L21" s="47">
        <x:f t="shared" si="3"/>
        <x:v>0.85493570754778614</x:v>
      </x:c>
      <x:c r="M21" s="47">
        <x:f t="shared" si="3"/>
        <x:v>0.85464499754287182</x:v>
      </x:c>
      <x:c r="N21" s="47">
        <x:f t="shared" si="3"/>
        <x:v>0.8543537049527774</x:v>
      </x:c>
      <x:c r="O21" s="47">
        <x:f t="shared" si="3"/>
        <x:v>0.85406182860999735</x:v>
      </x:c>
      <x:c r="P21" s="47">
        <x:f t="shared" si="3"/>
        <x:v>0.85376936734468678</x:v>
      </x:c>
      <x:c r="Q21" s="47">
        <x:f t="shared" si="3"/>
        <x:v>0.85347631998465612</x:v>
      </x:c>
      <x:c r="R21" s="47">
        <x:f t="shared" si="3"/>
        <x:v>0.85318268535536668</x:v>
      </x:c>
      <x:c r="S21" s="47">
        <x:f t="shared" si="3"/>
        <x:v>0.85288846227992665</x:v>
      </x:c>
      <x:c r="T21" s="47">
        <x:f t="shared" si="3"/>
        <x:v>0.85259364957908479</x:v>
      </x:c>
      <x:c r="U21" s="47">
        <x:f t="shared" si="3"/>
        <x:v>0.85229824607122717</x:v>
      </x:c>
      <x:c r="V21" s="47">
        <x:f t="shared" si="3"/>
        <x:v>0.852002250572372</x:v>
      </x:c>
      <x:c r="W21" s="47">
        <x:f t="shared" si="3"/>
        <x:v>0.85170566189616437</x:v>
      </x:c>
      <x:c r="X21" s="47">
        <x:f t="shared" si="3"/>
        <x:v>0.85140847885387205</x:v>
      </x:c>
      <x:c r="Y21" s="47">
        <x:f t="shared" si="3"/>
        <x:v>0</x:v>
      </x:c>
      <x:c r="Z21" s="47">
        <x:f t="shared" si="3"/>
        <x:v>0</x:v>
      </x:c>
      <x:c r="AA21" s="47">
        <x:f t="shared" si="3"/>
        <x:v>0</x:v>
      </x:c>
      <x:c r="AB21" s="47">
        <x:f t="shared" si="3"/>
        <x:v>0</x:v>
      </x:c>
      <x:c r="AC21" s="47">
        <x:f t="shared" si="3"/>
        <x:v>0</x:v>
      </x:c>
      <x:c r="AD21" s="47">
        <x:f t="shared" si="3"/>
        <x:v>0</x:v>
      </x:c>
      <x:c r="AE21" s="47">
        <x:f t="shared" si="3"/>
        <x:v>0</x:v>
      </x:c>
      <x:c r="AF21" s="47">
        <x:f t="shared" si="3"/>
        <x:v>0</x:v>
      </x:c>
    </x:row>
    <x:row r="22" ht="15" customHeight="1">
      <x:c r="A22" s="70"/>
      <x:c r="B22" s="70"/>
      <x:c r="C22" s="65"/>
      <x:c r="D22" s="65"/>
      <x:c r="E22" s="65"/>
      <x:c r="F22" s="65"/>
      <x:c r="G22" s="65"/>
      <x:c r="H22" s="65"/>
      <x:c r="I22" s="65"/>
      <x:c r="J22" s="65"/>
      <x:c r="K22" s="65"/>
      <x:c r="L22" s="65"/>
      <x:c r="M22" s="65"/>
      <x:c r="N22" s="65"/>
      <x:c r="O22" s="65"/>
      <x:c r="P22" s="65"/>
      <x:c r="Q22" s="65"/>
      <x:c r="R22" s="65"/>
      <x:c r="S22" s="65"/>
      <x:c r="T22" s="65"/>
      <x:c r="U22" s="65"/>
      <x:c r="V22" s="65"/>
      <x:c r="W22" s="65"/>
      <x:c r="X22" s="65"/>
      <x:c r="Y22" s="65"/>
      <x:c r="Z22" s="65"/>
      <x:c r="AA22" s="65"/>
      <x:c r="AB22" s="65"/>
      <x:c r="AC22" s="65"/>
      <x:c r="AD22" s="65"/>
      <x:c r="AE22" s="65"/>
      <x:c r="AF22" s="65"/>
    </x:row>
    <x:row r="23" ht="15" customHeight="1">
      <x:c r="A23" s="136" t="s">
        <x:v>484</x:v>
      </x:c>
      <x:c r="B23" s="136"/>
      <x:c r="C23" s="137"/>
      <x:c r="D23" s="137"/>
      <x:c r="E23" s="137"/>
      <x:c r="F23" s="137"/>
      <x:c r="G23" s="137"/>
      <x:c r="H23" s="137"/>
      <x:c r="I23" s="137"/>
      <x:c r="J23" s="137"/>
      <x:c r="K23" s="137"/>
      <x:c r="L23" s="137"/>
      <x:c r="M23" s="137"/>
      <x:c r="N23" s="137"/>
      <x:c r="O23" s="137"/>
      <x:c r="P23" s="137"/>
      <x:c r="Q23" s="137"/>
      <x:c r="R23" s="137"/>
      <x:c r="S23" s="137"/>
      <x:c r="T23" s="137"/>
      <x:c r="U23" s="137"/>
      <x:c r="V23" s="137"/>
      <x:c r="W23" s="137"/>
      <x:c r="X23" s="137"/>
      <x:c r="Y23" s="137"/>
      <x:c r="Z23" s="137"/>
      <x:c r="AA23" s="137"/>
      <x:c r="AB23" s="137"/>
      <x:c r="AC23" s="137"/>
      <x:c r="AD23" s="137"/>
      <x:c r="AE23" s="137"/>
      <x:c r="AF23" s="137"/>
    </x:row>
    <x:row r="24" ht="15" customHeight="1">
      <x:c r="A24" s="70" t="s">
        <x:v>485</x:v>
      </x:c>
      <x:c r="B24" s="70" t="s">
        <x:v>486</x:v>
      </x:c>
      <x:c r="C24" s="74" t="n">
        <x:f>SUM(C11:AF11)</x:f>
        <x:v>9283183.644129414</x:v>
      </x:c>
      <x:c r="D24" s="65"/>
      <x:c r="E24" s="65"/>
      <x:c r="F24" s="65"/>
      <x:c r="G24" s="65"/>
      <x:c r="H24" s="65"/>
      <x:c r="I24" s="65"/>
      <x:c r="J24" s="65"/>
      <x:c r="K24" s="65"/>
      <x:c r="L24" s="65"/>
      <x:c r="M24" s="65"/>
      <x:c r="N24" s="65"/>
      <x:c r="O24" s="65"/>
      <x:c r="P24" s="65"/>
      <x:c r="Q24" s="65"/>
      <x:c r="R24" s="65"/>
      <x:c r="S24" s="65"/>
      <x:c r="T24" s="65"/>
      <x:c r="U24" s="65"/>
      <x:c r="V24" s="65"/>
      <x:c r="W24" s="65"/>
      <x:c r="X24" s="65"/>
      <x:c r="Y24" s="65"/>
      <x:c r="Z24" s="65"/>
      <x:c r="AA24" s="65"/>
      <x:c r="AB24" s="65"/>
      <x:c r="AC24" s="65"/>
      <x:c r="AD24" s="65"/>
      <x:c r="AE24" s="65"/>
      <x:c r="AF24" s="65"/>
    </x:row>
    <x:row r="25" ht="15" customHeight="1">
      <x:c r="A25" s="70" t="s">
        <x:v>487</x:v>
      </x:c>
      <x:c r="B25" s="70" t="s">
        <x:v>488</x:v>
      </x:c>
      <x:c r="C25" s="68" t="n">
        <x:f>SUM(C16:AF16)</x:f>
        <x:v>20356.789580501787</x:v>
      </x:c>
      <x:c r="D25" s="65"/>
      <x:c r="E25" s="65"/>
      <x:c r="F25" s="65"/>
      <x:c r="G25" s="65"/>
      <x:c r="H25" s="65"/>
      <x:c r="I25" s="65"/>
      <x:c r="J25" s="65"/>
      <x:c r="K25" s="65"/>
      <x:c r="L25" s="65"/>
      <x:c r="M25" s="65"/>
      <x:c r="N25" s="65"/>
      <x:c r="O25" s="65"/>
      <x:c r="P25" s="65"/>
      <x:c r="Q25" s="65"/>
      <x:c r="R25" s="65"/>
      <x:c r="S25" s="65"/>
      <x:c r="T25" s="65"/>
      <x:c r="U25" s="65"/>
      <x:c r="V25" s="65"/>
      <x:c r="W25" s="65"/>
      <x:c r="X25" s="65"/>
      <x:c r="Y25" s="65"/>
      <x:c r="Z25" s="65"/>
      <x:c r="AA25" s="65"/>
      <x:c r="AB25" s="65"/>
      <x:c r="AC25" s="65"/>
      <x:c r="AD25" s="65"/>
      <x:c r="AE25" s="65"/>
      <x:c r="AF25" s="65"/>
    </x:row>
    <x:row r="26" ht="15" customHeight="1">
      <x:c r="A26" s="70" t="s">
        <x:v>489</x:v>
      </x:c>
      <x:c r="B26" s="70" t="s">
        <x:v>490</x:v>
      </x:c>
      <x:c r="C26" s="68" t="n">
        <x:f>SUM(C19:AF19)</x:f>
        <x:v>2971.568326407637</x:v>
      </x:c>
      <x:c r="D26" s="65"/>
      <x:c r="E26" s="65"/>
      <x:c r="F26" s="65"/>
      <x:c r="G26" s="65"/>
      <x:c r="H26" s="65"/>
      <x:c r="I26" s="65"/>
      <x:c r="J26" s="65"/>
      <x:c r="K26" s="65"/>
      <x:c r="L26" s="65"/>
      <x:c r="M26" s="65"/>
      <x:c r="N26" s="65"/>
      <x:c r="O26" s="65"/>
      <x:c r="P26" s="65"/>
      <x:c r="Q26" s="65"/>
      <x:c r="R26" s="65"/>
      <x:c r="S26" s="65"/>
      <x:c r="T26" s="65"/>
      <x:c r="U26" s="65"/>
      <x:c r="V26" s="65"/>
      <x:c r="W26" s="65"/>
      <x:c r="X26" s="65"/>
      <x:c r="Y26" s="65"/>
      <x:c r="Z26" s="65"/>
      <x:c r="AA26" s="65"/>
      <x:c r="AB26" s="65"/>
      <x:c r="AC26" s="65"/>
      <x:c r="AD26" s="65"/>
      <x:c r="AE26" s="65"/>
      <x:c r="AF26" s="65"/>
    </x:row>
    <x:row r="27" ht="15" customHeight="1">
      <x:c r="A27" s="70" t="s">
        <x:v>491</x:v>
      </x:c>
      <x:c r="B27" s="70" t="s">
        <x:v>492</x:v>
      </x:c>
      <x:c r="C27" s="68" t="n">
        <x:f>SUM(C20:AF20)</x:f>
        <x:v>17385.221254094155</x:v>
      </x:c>
      <x:c r="D27" s="65"/>
      <x:c r="E27" s="65"/>
      <x:c r="F27" s="65"/>
      <x:c r="G27" s="65"/>
      <x:c r="H27" s="65"/>
      <x:c r="I27" s="65"/>
      <x:c r="J27" s="65"/>
      <x:c r="K27" s="65"/>
      <x:c r="L27" s="65"/>
      <x:c r="M27" s="65"/>
      <x:c r="N27" s="65"/>
      <x:c r="O27" s="65"/>
      <x:c r="P27" s="65"/>
      <x:c r="Q27" s="65"/>
      <x:c r="R27" s="65"/>
      <x:c r="S27" s="65"/>
      <x:c r="T27" s="65"/>
      <x:c r="U27" s="65"/>
      <x:c r="V27" s="65"/>
      <x:c r="W27" s="65"/>
      <x:c r="X27" s="65"/>
      <x:c r="Y27" s="65"/>
      <x:c r="Z27" s="65"/>
      <x:c r="AA27" s="65"/>
      <x:c r="AB27" s="65"/>
      <x:c r="AC27" s="65"/>
      <x:c r="AD27" s="65"/>
      <x:c r="AE27" s="65"/>
      <x:c r="AF27" s="65"/>
    </x:row>
    <x:row r="28" ht="15" customHeight="1">
      <x:c r="A28" s="70"/>
      <x:c r="B28" s="70"/>
      <x:c r="C28" s="65"/>
      <x:c r="D28" s="65"/>
      <x:c r="E28" s="65"/>
      <x:c r="F28" s="65"/>
      <x:c r="G28" s="65"/>
      <x:c r="H28" s="65"/>
      <x:c r="I28" s="65"/>
      <x:c r="J28" s="65"/>
      <x:c r="K28" s="65"/>
      <x:c r="L28" s="65"/>
      <x:c r="M28" s="65"/>
      <x:c r="N28" s="65"/>
      <x:c r="O28" s="65"/>
      <x:c r="P28" s="65"/>
      <x:c r="Q28" s="65"/>
      <x:c r="R28" s="65"/>
      <x:c r="S28" s="65"/>
      <x:c r="T28" s="65"/>
      <x:c r="U28" s="65"/>
      <x:c r="V28" s="65"/>
      <x:c r="W28" s="65"/>
      <x:c r="X28" s="65"/>
      <x:c r="Y28" s="65"/>
      <x:c r="Z28" s="65"/>
      <x:c r="AA28" s="65"/>
      <x:c r="AB28" s="65"/>
      <x:c r="AC28" s="65"/>
      <x:c r="AD28" s="65"/>
      <x:c r="AE28" s="65"/>
      <x:c r="AF28" s="65"/>
    </x:row>
    <x:row r="29" ht="15" customHeight="1">
      <x:c r="A29" s="70"/>
      <x:c r="B29" s="70"/>
      <x:c r="C29" s="65"/>
      <x:c r="D29" s="65"/>
      <x:c r="E29" s="65"/>
      <x:c r="F29" s="65"/>
      <x:c r="G29" s="65"/>
      <x:c r="H29" s="65"/>
      <x:c r="I29" s="65"/>
      <x:c r="J29" s="65"/>
      <x:c r="K29" s="65"/>
      <x:c r="L29" s="65"/>
      <x:c r="M29" s="65"/>
      <x:c r="N29" s="65"/>
      <x:c r="O29" s="65"/>
      <x:c r="P29" s="65"/>
      <x:c r="Q29" s="65"/>
      <x:c r="R29" s="65"/>
      <x:c r="S29" s="65"/>
      <x:c r="T29" s="65"/>
      <x:c r="U29" s="65"/>
      <x:c r="V29" s="65"/>
      <x:c r="W29" s="65"/>
      <x:c r="X29" s="65"/>
      <x:c r="Y29" s="65"/>
      <x:c r="Z29" s="65"/>
      <x:c r="AA29" s="65"/>
      <x:c r="AB29" s="65"/>
      <x:c r="AC29" s="65"/>
      <x:c r="AD29" s="65"/>
      <x:c r="AE29" s="65"/>
      <x:c r="AF29" s="65"/>
    </x:row>
    <x:row r="30" ht="15" customHeight="1">
      <x:c r="A30" s="70"/>
      <x:c r="B30" s="70"/>
      <x:c r="C30" s="65"/>
      <x:c r="D30" s="65"/>
      <x:c r="E30" s="65"/>
      <x:c r="F30" s="65"/>
      <x:c r="G30" s="65"/>
      <x:c r="H30" s="65"/>
      <x:c r="I30" s="65"/>
      <x:c r="J30" s="65"/>
      <x:c r="K30" s="65"/>
      <x:c r="L30" s="65"/>
      <x:c r="M30" s="65"/>
      <x:c r="N30" s="65"/>
      <x:c r="O30" s="65"/>
      <x:c r="P30" s="65"/>
      <x:c r="Q30" s="65"/>
      <x:c r="R30" s="65"/>
      <x:c r="S30" s="65"/>
      <x:c r="T30" s="65"/>
      <x:c r="U30" s="65"/>
      <x:c r="V30" s="65"/>
      <x:c r="W30" s="65"/>
      <x:c r="X30" s="65"/>
      <x:c r="Y30" s="65"/>
      <x:c r="Z30" s="65"/>
      <x:c r="AA30" s="65"/>
      <x:c r="AB30" s="65"/>
      <x:c r="AC30" s="65"/>
      <x:c r="AD30" s="65"/>
      <x:c r="AE30" s="65"/>
      <x:c r="AF30" s="65"/>
    </x:row>
    <x:row r="31" ht="15" customHeight="1">
      <x:c r="A31" s="70"/>
      <x:c r="B31" s="70"/>
      <x:c r="C31" s="65"/>
      <x:c r="D31" s="65"/>
      <x:c r="E31" s="65"/>
      <x:c r="F31" s="65"/>
      <x:c r="G31" s="65"/>
      <x:c r="H31" s="65"/>
      <x:c r="I31" s="65"/>
      <x:c r="J31" s="65"/>
      <x:c r="K31" s="65"/>
      <x:c r="L31" s="65"/>
      <x:c r="M31" s="65"/>
      <x:c r="N31" s="65"/>
      <x:c r="O31" s="65"/>
      <x:c r="P31" s="65"/>
      <x:c r="Q31" s="65"/>
      <x:c r="R31" s="65"/>
      <x:c r="S31" s="65"/>
      <x:c r="T31" s="65"/>
      <x:c r="U31" s="65"/>
      <x:c r="V31" s="65"/>
      <x:c r="W31" s="65"/>
      <x:c r="X31" s="65"/>
      <x:c r="Y31" s="65"/>
      <x:c r="Z31" s="65"/>
      <x:c r="AA31" s="65"/>
      <x:c r="AB31" s="65"/>
      <x:c r="AC31" s="65"/>
      <x:c r="AD31" s="65"/>
      <x:c r="AE31" s="65"/>
      <x:c r="AF31" s="65"/>
    </x:row>
    <x:row r="32" ht="15" customHeight="1">
      <x:c r="A32" s="70"/>
      <x:c r="B32" s="70"/>
      <x:c r="C32" s="65"/>
      <x:c r="D32" s="65"/>
      <x:c r="E32" s="65"/>
      <x:c r="F32" s="65"/>
      <x:c r="G32" s="65"/>
      <x:c r="H32" s="65"/>
      <x:c r="I32" s="65"/>
      <x:c r="J32" s="65"/>
      <x:c r="K32" s="65"/>
      <x:c r="L32" s="65"/>
      <x:c r="M32" s="65"/>
      <x:c r="N32" s="65"/>
      <x:c r="O32" s="65"/>
      <x:c r="P32" s="65"/>
      <x:c r="Q32" s="65"/>
      <x:c r="R32" s="65"/>
      <x:c r="S32" s="65"/>
      <x:c r="T32" s="65"/>
      <x:c r="U32" s="65"/>
      <x:c r="V32" s="65"/>
      <x:c r="W32" s="65"/>
      <x:c r="X32" s="65"/>
      <x:c r="Y32" s="65"/>
      <x:c r="Z32" s="65"/>
      <x:c r="AA32" s="65"/>
      <x:c r="AB32" s="65"/>
      <x:c r="AC32" s="65"/>
      <x:c r="AD32" s="65"/>
      <x:c r="AE32" s="65"/>
      <x:c r="AF32" s="65"/>
    </x:row>
    <x:row r="33" ht="15" customHeight="1">
      <x:c r="A33" s="70"/>
      <x:c r="B33" s="70"/>
      <x:c r="C33" s="65"/>
      <x:c r="D33" s="65"/>
      <x:c r="E33" s="65"/>
      <x:c r="F33" s="65"/>
      <x:c r="G33" s="65"/>
      <x:c r="H33" s="65"/>
      <x:c r="I33" s="65"/>
      <x:c r="J33" s="65"/>
      <x:c r="K33" s="65"/>
      <x:c r="L33" s="65"/>
      <x:c r="M33" s="65"/>
      <x:c r="N33" s="65"/>
      <x:c r="O33" s="65"/>
      <x:c r="P33" s="65"/>
      <x:c r="Q33" s="65"/>
      <x:c r="R33" s="65"/>
      <x:c r="S33" s="65"/>
      <x:c r="T33" s="65"/>
      <x:c r="U33" s="65"/>
      <x:c r="V33" s="65"/>
      <x:c r="W33" s="65"/>
      <x:c r="X33" s="65"/>
      <x:c r="Y33" s="65"/>
      <x:c r="Z33" s="65"/>
      <x:c r="AA33" s="65"/>
      <x:c r="AB33" s="65"/>
      <x:c r="AC33" s="65"/>
      <x:c r="AD33" s="65"/>
      <x:c r="AE33" s="65"/>
      <x:c r="AF33" s="65"/>
    </x:row>
    <x:row r="34" ht="15" customHeight="1">
      <x:c r="A34" s="70"/>
      <x:c r="B34" s="70"/>
      <x:c r="C34" s="65"/>
      <x:c r="D34" s="65"/>
      <x:c r="E34" s="65"/>
      <x:c r="F34" s="65"/>
      <x:c r="G34" s="65"/>
      <x:c r="H34" s="65"/>
      <x:c r="I34" s="65"/>
      <x:c r="J34" s="65"/>
      <x:c r="K34" s="65"/>
      <x:c r="L34" s="65"/>
      <x:c r="M34" s="65"/>
      <x:c r="N34" s="65"/>
      <x:c r="O34" s="65"/>
      <x:c r="P34" s="65"/>
      <x:c r="Q34" s="65"/>
      <x:c r="R34" s="65"/>
      <x:c r="S34" s="65"/>
      <x:c r="T34" s="65"/>
      <x:c r="U34" s="65"/>
      <x:c r="V34" s="65"/>
      <x:c r="W34" s="65"/>
      <x:c r="X34" s="65"/>
      <x:c r="Y34" s="65"/>
      <x:c r="Z34" s="65"/>
      <x:c r="AA34" s="65"/>
      <x:c r="AB34" s="65"/>
      <x:c r="AC34" s="65"/>
      <x:c r="AD34" s="65"/>
      <x:c r="AE34" s="65"/>
      <x:c r="AF34" s="65"/>
    </x:row>
    <x:row r="35" ht="15" customHeight="1">
      <x:c r="A35" s="70"/>
      <x:c r="B35" s="70"/>
      <x:c r="C35" s="65"/>
      <x:c r="D35" s="65"/>
      <x:c r="E35" s="65"/>
      <x:c r="F35" s="65"/>
      <x:c r="G35" s="65"/>
      <x:c r="H35" s="65"/>
      <x:c r="I35" s="65"/>
      <x:c r="J35" s="65"/>
      <x:c r="K35" s="65"/>
      <x:c r="L35" s="65"/>
      <x:c r="M35" s="65"/>
      <x:c r="N35" s="65"/>
      <x:c r="O35" s="65"/>
      <x:c r="P35" s="65"/>
      <x:c r="Q35" s="65"/>
      <x:c r="R35" s="65"/>
      <x:c r="S35" s="65"/>
      <x:c r="T35" s="65"/>
      <x:c r="U35" s="65"/>
      <x:c r="V35" s="65"/>
      <x:c r="W35" s="65"/>
      <x:c r="X35" s="65"/>
      <x:c r="Y35" s="65"/>
      <x:c r="Z35" s="65"/>
      <x:c r="AA35" s="65"/>
      <x:c r="AB35" s="65"/>
      <x:c r="AC35" s="65"/>
      <x:c r="AD35" s="65"/>
      <x:c r="AE35" s="65"/>
      <x:c r="AF35" s="65"/>
    </x:row>
    <x:row r="36" ht="15" customHeight="1">
      <x:c r="A36" s="70"/>
      <x:c r="B36" s="70"/>
      <x:c r="C36" s="65"/>
      <x:c r="D36" s="65"/>
      <x:c r="E36" s="65"/>
      <x:c r="F36" s="65"/>
      <x:c r="G36" s="65"/>
      <x:c r="H36" s="65"/>
      <x:c r="I36" s="65"/>
      <x:c r="J36" s="65"/>
      <x:c r="K36" s="65"/>
      <x:c r="L36" s="65"/>
      <x:c r="M36" s="65"/>
      <x:c r="N36" s="65"/>
      <x:c r="O36" s="65"/>
      <x:c r="P36" s="65"/>
      <x:c r="Q36" s="65"/>
      <x:c r="R36" s="65"/>
      <x:c r="S36" s="65"/>
      <x:c r="T36" s="65"/>
      <x:c r="U36" s="65"/>
      <x:c r="V36" s="65"/>
      <x:c r="W36" s="65"/>
      <x:c r="X36" s="65"/>
      <x:c r="Y36" s="65"/>
      <x:c r="Z36" s="65"/>
      <x:c r="AA36" s="65"/>
      <x:c r="AB36" s="65"/>
      <x:c r="AC36" s="65"/>
      <x:c r="AD36" s="65"/>
      <x:c r="AE36" s="65"/>
      <x:c r="AF36" s="65"/>
    </x:row>
    <x:row r="37" ht="15" customHeight="1">
      <x:c r="A37" s="70"/>
      <x:c r="B37" s="70"/>
      <x:c r="C37" s="65"/>
      <x:c r="D37" s="65"/>
      <x:c r="E37" s="65"/>
      <x:c r="F37" s="65"/>
      <x:c r="G37" s="65"/>
      <x:c r="H37" s="65"/>
      <x:c r="I37" s="65"/>
      <x:c r="J37" s="65"/>
      <x:c r="K37" s="65"/>
      <x:c r="L37" s="65"/>
      <x:c r="M37" s="65"/>
      <x:c r="N37" s="65"/>
      <x:c r="O37" s="65"/>
      <x:c r="P37" s="65"/>
      <x:c r="Q37" s="65"/>
      <x:c r="R37" s="65"/>
      <x:c r="S37" s="65"/>
      <x:c r="T37" s="65"/>
      <x:c r="U37" s="65"/>
      <x:c r="V37" s="65"/>
      <x:c r="W37" s="65"/>
      <x:c r="X37" s="65"/>
      <x:c r="Y37" s="65"/>
      <x:c r="Z37" s="65"/>
      <x:c r="AA37" s="65"/>
      <x:c r="AB37" s="65"/>
      <x:c r="AC37" s="65"/>
      <x:c r="AD37" s="65"/>
      <x:c r="AE37" s="65"/>
      <x:c r="AF37" s="65"/>
    </x:row>
    <x:row r="38" ht="15" customHeight="1">
      <x:c r="A38" s="70"/>
      <x:c r="B38" s="70"/>
      <x:c r="C38" s="65"/>
      <x:c r="D38" s="65"/>
      <x:c r="E38" s="65"/>
      <x:c r="F38" s="65"/>
      <x:c r="G38" s="65"/>
      <x:c r="H38" s="65"/>
      <x:c r="I38" s="65"/>
      <x:c r="J38" s="65"/>
      <x:c r="K38" s="65"/>
      <x:c r="L38" s="65"/>
      <x:c r="M38" s="65"/>
      <x:c r="N38" s="65"/>
      <x:c r="O38" s="65"/>
      <x:c r="P38" s="65"/>
      <x:c r="Q38" s="65"/>
      <x:c r="R38" s="65"/>
      <x:c r="S38" s="65"/>
      <x:c r="T38" s="65"/>
      <x:c r="U38" s="65"/>
      <x:c r="V38" s="65"/>
      <x:c r="W38" s="65"/>
      <x:c r="X38" s="65"/>
      <x:c r="Y38" s="65"/>
      <x:c r="Z38" s="65"/>
      <x:c r="AA38" s="65"/>
      <x:c r="AB38" s="65"/>
      <x:c r="AC38" s="65"/>
      <x:c r="AD38" s="65"/>
      <x:c r="AE38" s="65"/>
      <x:c r="AF38" s="65"/>
    </x:row>
    <x:row r="39" ht="15" customHeight="1">
      <x:c r="A39" s="70"/>
      <x:c r="B39" s="70"/>
      <x:c r="C39" s="65"/>
      <x:c r="D39" s="65"/>
      <x:c r="E39" s="65"/>
      <x:c r="F39" s="65"/>
      <x:c r="G39" s="65"/>
      <x:c r="H39" s="65"/>
      <x:c r="I39" s="65"/>
      <x:c r="J39" s="65"/>
      <x:c r="K39" s="65"/>
      <x:c r="L39" s="65"/>
      <x:c r="M39" s="65"/>
      <x:c r="N39" s="65"/>
      <x:c r="O39" s="65"/>
      <x:c r="P39" s="65"/>
      <x:c r="Q39" s="65"/>
      <x:c r="R39" s="65"/>
      <x:c r="S39" s="65"/>
      <x:c r="T39" s="65"/>
      <x:c r="U39" s="65"/>
      <x:c r="V39" s="65"/>
      <x:c r="W39" s="65"/>
      <x:c r="X39" s="65"/>
      <x:c r="Y39" s="65"/>
      <x:c r="Z39" s="65"/>
      <x:c r="AA39" s="65"/>
      <x:c r="AB39" s="65"/>
      <x:c r="AC39" s="65"/>
      <x:c r="AD39" s="65"/>
      <x:c r="AE39" s="65"/>
      <x:c r="AF39" s="65"/>
    </x:row>
    <x:row r="40" ht="15" customHeight="1">
      <x:c r="A40" s="70"/>
      <x:c r="B40" s="70"/>
      <x:c r="C40" s="65"/>
      <x:c r="D40" s="65"/>
      <x:c r="E40" s="65"/>
      <x:c r="F40" s="65"/>
      <x:c r="G40" s="65"/>
      <x:c r="H40" s="65"/>
      <x:c r="I40" s="65"/>
      <x:c r="J40" s="65"/>
      <x:c r="K40" s="65"/>
      <x:c r="L40" s="65"/>
      <x:c r="M40" s="65"/>
      <x:c r="N40" s="65"/>
      <x:c r="O40" s="65"/>
      <x:c r="P40" s="65"/>
      <x:c r="Q40" s="65"/>
      <x:c r="R40" s="65"/>
      <x:c r="S40" s="65"/>
      <x:c r="T40" s="65"/>
      <x:c r="U40" s="65"/>
      <x:c r="V40" s="65"/>
      <x:c r="W40" s="65"/>
      <x:c r="X40" s="65"/>
      <x:c r="Y40" s="65"/>
      <x:c r="Z40" s="65"/>
      <x:c r="AA40" s="65"/>
      <x:c r="AB40" s="65"/>
      <x:c r="AC40" s="65"/>
      <x:c r="AD40" s="65"/>
      <x:c r="AE40" s="65"/>
      <x:c r="AF40" s="65"/>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c r="AA41" s="41"/>
      <x:c r="AB41" s="41"/>
      <x:c r="AC41" s="41"/>
      <x:c r="AD41" s="41"/>
      <x:c r="AE41" s="41"/>
      <x:c r="AF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c r="AA42" s="41"/>
      <x:c r="AB42" s="41"/>
      <x:c r="AC42" s="41"/>
      <x:c r="AD42" s="41"/>
      <x:c r="AE42" s="41"/>
      <x:c r="AF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c r="AA43" s="41"/>
      <x:c r="AB43" s="41"/>
      <x:c r="AC43" s="41"/>
      <x:c r="AD43" s="41"/>
      <x:c r="AE43" s="41"/>
      <x:c r="AF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c r="AA44" s="41"/>
      <x:c r="AB44" s="41"/>
      <x:c r="AC44" s="41"/>
      <x:c r="AD44" s="41"/>
      <x:c r="AE44" s="41"/>
      <x:c r="AF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c r="AA45" s="41"/>
      <x:c r="AB45" s="41"/>
      <x:c r="AC45" s="41"/>
      <x:c r="AD45" s="41"/>
      <x:c r="AE45" s="41"/>
      <x:c r="AF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c r="AA46" s="41"/>
      <x:c r="AB46" s="41"/>
      <x:c r="AC46" s="41"/>
      <x:c r="AD46" s="41"/>
      <x:c r="AE46" s="41"/>
      <x:c r="AF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c r="AA47" s="41"/>
      <x:c r="AB47" s="41"/>
      <x:c r="AC47" s="41"/>
      <x:c r="AD47" s="41"/>
      <x:c r="AE47" s="41"/>
      <x:c r="AF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c r="AA48" s="41"/>
      <x:c r="AB48" s="41"/>
      <x:c r="AC48" s="41"/>
      <x:c r="AD48" s="41"/>
      <x:c r="AE48" s="41"/>
      <x:c r="AF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c r="AA49" s="41"/>
      <x:c r="AB49" s="41"/>
      <x:c r="AC49" s="41"/>
      <x:c r="AD49" s="41"/>
      <x:c r="AE49" s="41"/>
      <x:c r="AF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c r="AA50" s="41"/>
      <x:c r="AB50" s="41"/>
      <x:c r="AC50" s="41"/>
      <x:c r="AD50" s="41"/>
      <x:c r="AE50" s="41"/>
      <x:c r="AF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c r="AA51" s="41"/>
      <x:c r="AB51" s="41"/>
      <x:c r="AC51" s="41"/>
      <x:c r="AD51" s="41"/>
      <x:c r="AE51" s="41"/>
      <x:c r="AF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c r="AA52" s="41"/>
      <x:c r="AB52" s="41"/>
      <x:c r="AC52" s="41"/>
      <x:c r="AD52" s="41"/>
      <x:c r="AE52" s="41"/>
      <x:c r="AF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c r="AA53" s="41"/>
      <x:c r="AB53" s="41"/>
      <x:c r="AC53" s="41"/>
      <x:c r="AD53" s="41"/>
      <x:c r="AE53" s="41"/>
      <x:c r="AF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c r="AA54" s="41"/>
      <x:c r="AB54" s="41"/>
      <x:c r="AC54" s="41"/>
      <x:c r="AD54" s="41"/>
      <x:c r="AE54" s="41"/>
      <x:c r="AF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c r="AA55" s="41"/>
      <x:c r="AB55" s="41"/>
      <x:c r="AC55" s="41"/>
      <x:c r="AD55" s="41"/>
      <x:c r="AE55" s="41"/>
      <x:c r="AF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c r="AA56" s="41"/>
      <x:c r="AB56" s="41"/>
      <x:c r="AC56" s="41"/>
      <x:c r="AD56" s="41"/>
      <x:c r="AE56" s="41"/>
      <x:c r="AF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c r="AA57" s="41"/>
      <x:c r="AB57" s="41"/>
      <x:c r="AC57" s="41"/>
      <x:c r="AD57" s="41"/>
      <x:c r="AE57" s="41"/>
      <x:c r="AF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c r="AA58" s="41"/>
      <x:c r="AB58" s="41"/>
      <x:c r="AC58" s="41"/>
      <x:c r="AD58" s="41"/>
      <x:c r="AE58" s="41"/>
      <x:c r="AF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c r="AA59" s="41"/>
      <x:c r="AB59" s="41"/>
      <x:c r="AC59" s="41"/>
      <x:c r="AD59" s="41"/>
      <x:c r="AE59" s="41"/>
      <x:c r="AF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c r="AA60" s="41"/>
      <x:c r="AB60" s="41"/>
      <x:c r="AC60" s="41"/>
      <x:c r="AD60" s="41"/>
      <x:c r="AE60" s="41"/>
      <x:c r="AF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c r="AA61" s="41"/>
      <x:c r="AB61" s="41"/>
      <x:c r="AC61" s="41"/>
      <x:c r="AD61" s="41"/>
      <x:c r="AE61" s="41"/>
      <x:c r="AF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c r="AA62" s="41"/>
      <x:c r="AB62" s="41"/>
      <x:c r="AC62" s="41"/>
      <x:c r="AD62" s="41"/>
      <x:c r="AE62" s="41"/>
      <x:c r="AF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c r="AA63" s="41"/>
      <x:c r="AB63" s="41"/>
      <x:c r="AC63" s="41"/>
      <x:c r="AD63" s="41"/>
      <x:c r="AE63" s="41"/>
      <x:c r="AF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c r="AA64" s="41"/>
      <x:c r="AB64" s="41"/>
      <x:c r="AC64" s="41"/>
      <x:c r="AD64" s="41"/>
      <x:c r="AE64" s="41"/>
      <x:c r="AF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c r="AA65" s="41"/>
      <x:c r="AB65" s="41"/>
      <x:c r="AC65" s="41"/>
      <x:c r="AD65" s="41"/>
      <x:c r="AE65" s="41"/>
      <x:c r="AF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c r="AA66" s="41"/>
      <x:c r="AB66" s="41"/>
      <x:c r="AC66" s="41"/>
      <x:c r="AD66" s="41"/>
      <x:c r="AE66" s="41"/>
      <x:c r="AF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c r="AA67" s="41"/>
      <x:c r="AB67" s="41"/>
      <x:c r="AC67" s="41"/>
      <x:c r="AD67" s="41"/>
      <x:c r="AE67" s="41"/>
      <x:c r="AF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c r="AA68" s="41"/>
      <x:c r="AB68" s="41"/>
      <x:c r="AC68" s="41"/>
      <x:c r="AD68" s="41"/>
      <x:c r="AE68" s="41"/>
      <x:c r="AF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c r="AA69" s="41"/>
      <x:c r="AB69" s="41"/>
      <x:c r="AC69" s="41"/>
      <x:c r="AD69" s="41"/>
      <x:c r="AE69" s="41"/>
      <x:c r="AF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c r="AA70" s="41"/>
      <x:c r="AB70" s="41"/>
      <x:c r="AC70" s="41"/>
      <x:c r="AD70" s="41"/>
      <x:c r="AE70" s="41"/>
      <x:c r="AF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c r="AA71" s="41"/>
      <x:c r="AB71" s="41"/>
      <x:c r="AC71" s="41"/>
      <x:c r="AD71" s="41"/>
      <x:c r="AE71" s="41"/>
      <x:c r="AF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c r="AA72" s="41"/>
      <x:c r="AB72" s="41"/>
      <x:c r="AC72" s="41"/>
      <x:c r="AD72" s="41"/>
      <x:c r="AE72" s="41"/>
      <x:c r="AF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c r="AA73" s="41"/>
      <x:c r="AB73" s="41"/>
      <x:c r="AC73" s="41"/>
      <x:c r="AD73" s="41"/>
      <x:c r="AE73" s="41"/>
      <x:c r="AF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c r="AA74" s="41"/>
      <x:c r="AB74" s="41"/>
      <x:c r="AC74" s="41"/>
      <x:c r="AD74" s="41"/>
      <x:c r="AE74" s="41"/>
      <x:c r="AF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c r="AA75" s="41"/>
      <x:c r="AB75" s="41"/>
      <x:c r="AC75" s="41"/>
      <x:c r="AD75" s="41"/>
      <x:c r="AE75" s="41"/>
      <x:c r="AF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c r="AA76" s="41"/>
      <x:c r="AB76" s="41"/>
      <x:c r="AC76" s="41"/>
      <x:c r="AD76" s="41"/>
      <x:c r="AE76" s="41"/>
      <x:c r="AF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c r="AA77" s="41"/>
      <x:c r="AB77" s="41"/>
      <x:c r="AC77" s="41"/>
      <x:c r="AD77" s="41"/>
      <x:c r="AE77" s="41"/>
      <x:c r="AF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c r="AA78" s="41"/>
      <x:c r="AB78" s="41"/>
      <x:c r="AC78" s="41"/>
      <x:c r="AD78" s="41"/>
      <x:c r="AE78" s="41"/>
      <x:c r="AF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c r="AA79" s="41"/>
      <x:c r="AB79" s="41"/>
      <x:c r="AC79" s="41"/>
      <x:c r="AD79" s="41"/>
      <x:c r="AE79" s="41"/>
      <x:c r="AF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c r="AA80" s="41"/>
      <x:c r="AB80" s="41"/>
      <x:c r="AC80" s="41"/>
      <x:c r="AD80" s="41"/>
      <x:c r="AE80" s="41"/>
      <x:c r="AF80" s="41"/>
    </x:row>
  </x:sheetData>
  <x:mergeCells>
    <x:mergeCell ref="A23:AF23"/>
    <x:mergeCell ref="A1:AF1"/>
    <x:mergeCell ref="A2:AF2"/>
    <x:mergeCell ref="A3:AF3"/>
    <x:mergeCell ref="A10:AF10"/>
    <x:mergeCell ref="A18:AF18"/>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4"/>
  <x:cols>
    <x:col min="1" max="1" width="10" customWidth="1"/>
    <x:col min="2" max="2" width="34" customWidth="1"/>
    <x:col min="3" max="32" width="12" customWidth="1"/>
  </x:cols>
  <x:sheetData>
    <x:row r="1" ht="15" customHeight="1">
      <x:c r="A1" s="131" t="s">
        <x:v>493</x:v>
      </x:c>
      <x:c r="B1" s="131"/>
      <x:c r="C1" s="132"/>
      <x:c r="D1" s="132"/>
      <x:c r="E1" s="132"/>
      <x:c r="F1" s="132"/>
      <x:c r="G1" s="132"/>
      <x:c r="H1" s="132"/>
      <x:c r="I1" s="132"/>
      <x:c r="J1" s="132"/>
      <x:c r="K1" s="132"/>
      <x:c r="L1" s="132"/>
      <x:c r="M1" s="132"/>
      <x:c r="N1" s="132"/>
      <x:c r="O1" s="132"/>
      <x:c r="P1" s="132"/>
      <x:c r="Q1" s="132"/>
      <x:c r="R1" s="132"/>
      <x:c r="S1" s="132"/>
      <x:c r="T1" s="132"/>
      <x:c r="U1" s="132"/>
      <x:c r="V1" s="132"/>
      <x:c r="W1" s="132"/>
      <x:c r="X1" s="132"/>
      <x:c r="Y1" s="132"/>
      <x:c r="Z1" s="132"/>
      <x:c r="AA1" s="132"/>
      <x:c r="AB1" s="132"/>
      <x:c r="AC1" s="132"/>
      <x:c r="AD1" s="132"/>
      <x:c r="AE1" s="132"/>
      <x:c r="AF1" s="132"/>
    </x:row>
    <x:row r="2" ht="15" customHeight="1">
      <x:c r="A2" s="133" t="s">
        <x:v>494</x:v>
      </x:c>
      <x:c r="B2" s="133"/>
      <x:c r="C2" s="133"/>
      <x:c r="D2" s="133"/>
      <x:c r="E2" s="133"/>
      <x:c r="F2" s="133"/>
      <x:c r="G2" s="133"/>
      <x:c r="H2" s="133"/>
      <x:c r="I2" s="133"/>
      <x:c r="J2" s="133"/>
      <x:c r="K2" s="133"/>
      <x:c r="L2" s="133"/>
      <x:c r="M2" s="133"/>
      <x:c r="N2" s="133"/>
      <x:c r="O2" s="133"/>
      <x:c r="P2" s="133"/>
      <x:c r="Q2" s="133"/>
      <x:c r="R2" s="133"/>
      <x:c r="S2" s="133"/>
      <x:c r="T2" s="133"/>
      <x:c r="U2" s="133"/>
      <x:c r="V2" s="133"/>
      <x:c r="W2" s="133"/>
      <x:c r="X2" s="133"/>
      <x:c r="Y2" s="133"/>
      <x:c r="Z2" s="133"/>
      <x:c r="AA2" s="133"/>
      <x:c r="AB2" s="133"/>
      <x:c r="AC2" s="133"/>
      <x:c r="AD2" s="133"/>
      <x:c r="AE2" s="133"/>
      <x:c r="AF2" s="133"/>
    </x:row>
    <x:row r="3" ht="15" customHeight="1">
      <x:c r="A3" s="134" t="s">
        <x:v>447</x:v>
      </x:c>
      <x:c r="B3" s="134"/>
      <x:c r="C3" s="135"/>
      <x:c r="D3" s="135"/>
      <x:c r="E3" s="135"/>
      <x:c r="F3" s="135"/>
      <x:c r="G3" s="135"/>
      <x:c r="H3" s="135"/>
      <x:c r="I3" s="135"/>
      <x:c r="J3" s="135"/>
      <x:c r="K3" s="135"/>
      <x:c r="L3" s="135"/>
      <x:c r="M3" s="135"/>
      <x:c r="N3" s="135"/>
      <x:c r="O3" s="135"/>
      <x:c r="P3" s="135"/>
      <x:c r="Q3" s="135"/>
      <x:c r="R3" s="135"/>
      <x:c r="S3" s="135"/>
      <x:c r="T3" s="135"/>
      <x:c r="U3" s="135"/>
      <x:c r="V3" s="135"/>
      <x:c r="W3" s="135"/>
      <x:c r="X3" s="135"/>
      <x:c r="Y3" s="135"/>
      <x:c r="Z3" s="135"/>
      <x:c r="AA3" s="135"/>
      <x:c r="AB3" s="135"/>
      <x:c r="AC3" s="135"/>
      <x:c r="AD3" s="135"/>
      <x:c r="AE3" s="135"/>
      <x:c r="AF3" s="135"/>
    </x:row>
    <x:row r="4" ht="15" customHeight="1">
      <x:c r="A4" s="70"/>
      <x:c r="B4" s="70"/>
      <x:c r="C4" s="65"/>
      <x:c r="D4" s="65"/>
      <x:c r="E4" s="65"/>
      <x:c r="F4" s="65"/>
      <x:c r="G4" s="65"/>
      <x:c r="H4" s="65"/>
      <x:c r="I4" s="65"/>
      <x:c r="J4" s="65"/>
      <x:c r="K4" s="65"/>
      <x:c r="L4" s="65"/>
      <x:c r="M4" s="65"/>
      <x:c r="N4" s="65"/>
      <x:c r="O4" s="65"/>
      <x:c r="P4" s="65"/>
      <x:c r="Q4" s="65"/>
      <x:c r="R4" s="65"/>
      <x:c r="S4" s="65"/>
      <x:c r="T4" s="65"/>
      <x:c r="U4" s="65"/>
      <x:c r="V4" s="65"/>
      <x:c r="W4" s="65"/>
      <x:c r="X4" s="65"/>
      <x:c r="Y4" s="65"/>
      <x:c r="Z4" s="65"/>
      <x:c r="AA4" s="65"/>
      <x:c r="AB4" s="65"/>
      <x:c r="AC4" s="65"/>
      <x:c r="AD4" s="65"/>
      <x:c r="AE4" s="65"/>
      <x:c r="AF4" s="65"/>
    </x:row>
    <x:row r="5" ht="15" customHeight="1">
      <x:c r="A5" s="70"/>
      <x:c r="B5" s="70"/>
      <x:c r="C5" s="65"/>
      <x:c r="D5" s="65"/>
      <x:c r="E5" s="65"/>
      <x:c r="F5" s="65"/>
      <x:c r="G5" s="65"/>
      <x:c r="H5" s="65"/>
      <x:c r="I5" s="65"/>
      <x:c r="J5" s="65"/>
      <x:c r="K5" s="65"/>
      <x:c r="L5" s="65"/>
      <x:c r="M5" s="65"/>
      <x:c r="N5" s="65"/>
      <x:c r="O5" s="65"/>
      <x:c r="P5" s="65"/>
      <x:c r="Q5" s="65"/>
      <x:c r="R5" s="65"/>
      <x:c r="S5" s="65"/>
      <x:c r="T5" s="65"/>
      <x:c r="U5" s="65"/>
      <x:c r="V5" s="65"/>
      <x:c r="W5" s="65"/>
      <x:c r="X5" s="65"/>
      <x:c r="Y5" s="65"/>
      <x:c r="Z5" s="65"/>
      <x:c r="AA5" s="65"/>
      <x:c r="AB5" s="65"/>
      <x:c r="AC5" s="65"/>
      <x:c r="AD5" s="65"/>
      <x:c r="AE5" s="65"/>
      <x:c r="AF5" s="65"/>
    </x:row>
    <x:row r="6" ht="15" customHeight="1">
      <x:c r="A6" s="71"/>
      <x:c r="B6" s="71" t="s">
        <x:v>160</x:v>
      </x:c>
      <x:c r="C6" s="42" t="n">
        <x:f>CAPEX!C6</x:f>
        <x:v>2025</x:v>
      </x:c>
      <x:c r="D6" s="42" t="n">
        <x:f>CAPEX!D6</x:f>
        <x:v>2026</x:v>
      </x:c>
      <x:c r="E6" s="42" t="n">
        <x:f>CAPEX!E6</x:f>
        <x:v>2027</x:v>
      </x:c>
      <x:c r="F6" s="42" t="n">
        <x:f>CAPEX!F6</x:f>
        <x:v>2028</x:v>
      </x:c>
      <x:c r="G6" s="42" t="n">
        <x:f>CAPEX!G6</x:f>
        <x:v>2029</x:v>
      </x:c>
      <x:c r="H6" s="42" t="n">
        <x:f>CAPEX!H6</x:f>
        <x:v>2030</x:v>
      </x:c>
      <x:c r="I6" s="42" t="n">
        <x:f>CAPEX!I6</x:f>
        <x:v>2031</x:v>
      </x:c>
      <x:c r="J6" s="42" t="n">
        <x:f>CAPEX!J6</x:f>
        <x:v>2032</x:v>
      </x:c>
      <x:c r="K6" s="42" t="n">
        <x:f>CAPEX!K6</x:f>
        <x:v>2033</x:v>
      </x:c>
      <x:c r="L6" s="42" t="n">
        <x:f>CAPEX!L6</x:f>
        <x:v>2034</x:v>
      </x:c>
      <x:c r="M6" s="42" t="n">
        <x:f>CAPEX!M6</x:f>
        <x:v>2035</x:v>
      </x:c>
      <x:c r="N6" s="42" t="n">
        <x:f>CAPEX!N6</x:f>
        <x:v>2036</x:v>
      </x:c>
      <x:c r="O6" s="42" t="n">
        <x:f>CAPEX!O6</x:f>
        <x:v>2037</x:v>
      </x:c>
      <x:c r="P6" s="42" t="n">
        <x:f>CAPEX!P6</x:f>
        <x:v>2038</x:v>
      </x:c>
      <x:c r="Q6" s="42" t="n">
        <x:f>CAPEX!Q6</x:f>
        <x:v>2039</x:v>
      </x:c>
      <x:c r="R6" s="42" t="n">
        <x:f>CAPEX!R6</x:f>
        <x:v>2040</x:v>
      </x:c>
      <x:c r="S6" s="42" t="n">
        <x:f>CAPEX!S6</x:f>
        <x:v>2041</x:v>
      </x:c>
      <x:c r="T6" s="42" t="n">
        <x:f>CAPEX!T6</x:f>
        <x:v>2042</x:v>
      </x:c>
      <x:c r="U6" s="42" t="n">
        <x:f>CAPEX!U6</x:f>
        <x:v>2043</x:v>
      </x:c>
      <x:c r="V6" s="42" t="n">
        <x:f>CAPEX!V6</x:f>
        <x:v>2044</x:v>
      </x:c>
      <x:c r="W6" s="42" t="n">
        <x:f>CAPEX!W6</x:f>
        <x:v>2045</x:v>
      </x:c>
      <x:c r="X6" s="42" t="n">
        <x:f>CAPEX!X6</x:f>
        <x:v>2046</x:v>
      </x:c>
      <x:c r="Y6" s="42" t="n">
        <x:f>CAPEX!Y6</x:f>
        <x:v>2047</x:v>
      </x:c>
      <x:c r="Z6" s="42" t="n">
        <x:f>CAPEX!Z6</x:f>
        <x:v>2048</x:v>
      </x:c>
      <x:c r="AA6" s="42" t="n">
        <x:f>CAPEX!AA6</x:f>
        <x:v>2049</x:v>
      </x:c>
      <x:c r="AB6" s="42" t="n">
        <x:f>CAPEX!AB6</x:f>
        <x:v>2050</x:v>
      </x:c>
      <x:c r="AC6" s="42" t="n">
        <x:f>CAPEX!AC6</x:f>
        <x:v>2051</x:v>
      </x:c>
      <x:c r="AD6" s="42" t="n">
        <x:f>CAPEX!AD6</x:f>
        <x:v>2052</x:v>
      </x:c>
      <x:c r="AE6" s="42" t="n">
        <x:f>CAPEX!AE6</x:f>
        <x:v>2053</x:v>
      </x:c>
      <x:c r="AF6" s="42" t="n">
        <x:f>CAPEX!AF6</x:f>
        <x:v>2054</x:v>
      </x:c>
    </x:row>
    <x:row r="7" ht="15" customHeight="1">
      <x:c r="A7" s="70"/>
      <x:c r="B7" s="70" t="s">
        <x:v>448</x:v>
      </x:c>
      <x:c r="C7" s="66" t="n">
        <x:f>CAPEX!C7</x:f>
        <x:v>0</x:v>
      </x:c>
      <x:c r="D7" s="66" t="n">
        <x:f>CAPEX!D7</x:f>
        <x:v>1</x:v>
      </x:c>
      <x:c r="E7" s="66" t="n">
        <x:f>CAPEX!E7</x:f>
        <x:v>2</x:v>
      </x:c>
      <x:c r="F7" s="66" t="n">
        <x:f>CAPEX!F7</x:f>
        <x:v>3</x:v>
      </x:c>
      <x:c r="G7" s="66" t="n">
        <x:f>CAPEX!G7</x:f>
        <x:v>4</x:v>
      </x:c>
      <x:c r="H7" s="66" t="n">
        <x:f>CAPEX!H7</x:f>
        <x:v>5</x:v>
      </x:c>
      <x:c r="I7" s="66" t="n">
        <x:f>CAPEX!I7</x:f>
        <x:v>6</x:v>
      </x:c>
      <x:c r="J7" s="66" t="n">
        <x:f>CAPEX!J7</x:f>
        <x:v>7</x:v>
      </x:c>
      <x:c r="K7" s="66" t="n">
        <x:f>CAPEX!K7</x:f>
        <x:v>8</x:v>
      </x:c>
      <x:c r="L7" s="66" t="n">
        <x:f>CAPEX!L7</x:f>
        <x:v>9</x:v>
      </x:c>
      <x:c r="M7" s="66" t="n">
        <x:f>CAPEX!M7</x:f>
        <x:v>10</x:v>
      </x:c>
      <x:c r="N7" s="66" t="n">
        <x:f>CAPEX!N7</x:f>
        <x:v>11</x:v>
      </x:c>
      <x:c r="O7" s="66" t="n">
        <x:f>CAPEX!O7</x:f>
        <x:v>12</x:v>
      </x:c>
      <x:c r="P7" s="66" t="n">
        <x:f>CAPEX!P7</x:f>
        <x:v>13</x:v>
      </x:c>
      <x:c r="Q7" s="66" t="n">
        <x:f>CAPEX!Q7</x:f>
        <x:v>14</x:v>
      </x:c>
      <x:c r="R7" s="66" t="n">
        <x:f>CAPEX!R7</x:f>
        <x:v>15</x:v>
      </x:c>
      <x:c r="S7" s="66" t="n">
        <x:f>CAPEX!S7</x:f>
        <x:v>16</x:v>
      </x:c>
      <x:c r="T7" s="66" t="n">
        <x:f>CAPEX!T7</x:f>
        <x:v>17</x:v>
      </x:c>
      <x:c r="U7" s="66" t="n">
        <x:f>CAPEX!U7</x:f>
        <x:v>18</x:v>
      </x:c>
      <x:c r="V7" s="66" t="n">
        <x:f>CAPEX!V7</x:f>
        <x:v>19</x:v>
      </x:c>
      <x:c r="W7" s="66" t="n">
        <x:f>CAPEX!W7</x:f>
        <x:v>20</x:v>
      </x:c>
      <x:c r="X7" s="66" t="n">
        <x:f>CAPEX!X7</x:f>
        <x:v>21</x:v>
      </x:c>
      <x:c r="Y7" s="66" t="n">
        <x:f>CAPEX!Y7</x:f>
        <x:v>22</x:v>
      </x:c>
      <x:c r="Z7" s="66" t="n">
        <x:f>CAPEX!Z7</x:f>
        <x:v>23</x:v>
      </x:c>
      <x:c r="AA7" s="66" t="n">
        <x:f>CAPEX!AA7</x:f>
        <x:v>24</x:v>
      </x:c>
      <x:c r="AB7" s="66" t="n">
        <x:f>CAPEX!AB7</x:f>
        <x:v>25</x:v>
      </x:c>
      <x:c r="AC7" s="66" t="n">
        <x:f>CAPEX!AC7</x:f>
        <x:v>26</x:v>
      </x:c>
      <x:c r="AD7" s="66" t="n">
        <x:f>CAPEX!AD7</x:f>
        <x:v>27</x:v>
      </x:c>
      <x:c r="AE7" s="66" t="n">
        <x:f>CAPEX!AE7</x:f>
        <x:v>28</x:v>
      </x:c>
      <x:c r="AF7" s="66" t="n">
        <x:f>CAPEX!AF7</x:f>
        <x:v>29</x:v>
      </x:c>
    </x:row>
    <x:row r="8" ht="15" customHeight="1">
      <x:c r="A8" s="70"/>
      <x:c r="B8" s="70" t="s">
        <x:v>450</x:v>
      </x:c>
      <x:c r="C8" s="66" t="n">
        <x:f>CAPEX!C9</x:f>
        <x:v>0</x:v>
      </x:c>
      <x:c r="D8" s="66" t="n">
        <x:f>CAPEX!D9</x:f>
        <x:v>0</x:v>
      </x:c>
      <x:c r="E8" s="66" t="n">
        <x:f>CAPEX!E9</x:f>
        <x:v>1</x:v>
      </x:c>
      <x:c r="F8" s="66" t="n">
        <x:f>CAPEX!F9</x:f>
        <x:v>2</x:v>
      </x:c>
      <x:c r="G8" s="66" t="n">
        <x:f>CAPEX!G9</x:f>
        <x:v>3</x:v>
      </x:c>
      <x:c r="H8" s="66" t="n">
        <x:f>CAPEX!H9</x:f>
        <x:v>4</x:v>
      </x:c>
      <x:c r="I8" s="66" t="n">
        <x:f>CAPEX!I9</x:f>
        <x:v>5</x:v>
      </x:c>
      <x:c r="J8" s="66" t="n">
        <x:f>CAPEX!J9</x:f>
        <x:v>6</x:v>
      </x:c>
      <x:c r="K8" s="66" t="n">
        <x:f>CAPEX!K9</x:f>
        <x:v>7</x:v>
      </x:c>
      <x:c r="L8" s="66" t="n">
        <x:f>CAPEX!L9</x:f>
        <x:v>8</x:v>
      </x:c>
      <x:c r="M8" s="66" t="n">
        <x:f>CAPEX!M9</x:f>
        <x:v>9</x:v>
      </x:c>
      <x:c r="N8" s="66" t="n">
        <x:f>CAPEX!N9</x:f>
        <x:v>10</x:v>
      </x:c>
      <x:c r="O8" s="66" t="n">
        <x:f>CAPEX!O9</x:f>
        <x:v>11</x:v>
      </x:c>
      <x:c r="P8" s="66" t="n">
        <x:f>CAPEX!P9</x:f>
        <x:v>12</x:v>
      </x:c>
      <x:c r="Q8" s="66" t="n">
        <x:f>CAPEX!Q9</x:f>
        <x:v>13</x:v>
      </x:c>
      <x:c r="R8" s="66" t="n">
        <x:f>CAPEX!R9</x:f>
        <x:v>14</x:v>
      </x:c>
      <x:c r="S8" s="66" t="n">
        <x:f>CAPEX!S9</x:f>
        <x:v>15</x:v>
      </x:c>
      <x:c r="T8" s="66" t="n">
        <x:f>CAPEX!T9</x:f>
        <x:v>16</x:v>
      </x:c>
      <x:c r="U8" s="66" t="n">
        <x:f>CAPEX!U9</x:f>
        <x:v>17</x:v>
      </x:c>
      <x:c r="V8" s="66" t="n">
        <x:f>CAPEX!V9</x:f>
        <x:v>18</x:v>
      </x:c>
      <x:c r="W8" s="66" t="n">
        <x:f>CAPEX!W9</x:f>
        <x:v>19</x:v>
      </x:c>
      <x:c r="X8" s="66" t="n">
        <x:f>CAPEX!X9</x:f>
        <x:v>20</x:v>
      </x:c>
      <x:c r="Y8" s="66" t="n">
        <x:f>CAPEX!Y9</x:f>
        <x:v>0</x:v>
      </x:c>
      <x:c r="Z8" s="66" t="n">
        <x:f>CAPEX!Z9</x:f>
        <x:v>0</x:v>
      </x:c>
      <x:c r="AA8" s="66" t="n">
        <x:f>CAPEX!AA9</x:f>
        <x:v>0</x:v>
      </x:c>
      <x:c r="AB8" s="66" t="n">
        <x:f>CAPEX!AB9</x:f>
        <x:v>0</x:v>
      </x:c>
      <x:c r="AC8" s="66" t="n">
        <x:f>CAPEX!AC9</x:f>
        <x:v>0</x:v>
      </x:c>
      <x:c r="AD8" s="66" t="n">
        <x:f>CAPEX!AD9</x:f>
        <x:v>0</x:v>
      </x:c>
      <x:c r="AE8" s="66" t="n">
        <x:f>CAPEX!AE9</x:f>
        <x:v>0</x:v>
      </x:c>
      <x:c r="AF8" s="66" t="n">
        <x:f>CAPEX!AF9</x:f>
        <x:v>0</x:v>
      </x:c>
    </x:row>
    <x:row r="9" ht="15" customHeight="1">
      <x:c r="A9" s="70"/>
      <x:c r="B9" s="70"/>
      <x:c r="C9" s="65"/>
      <x:c r="D9" s="65"/>
      <x:c r="E9" s="65"/>
      <x:c r="F9" s="65"/>
      <x:c r="G9" s="65"/>
      <x:c r="H9" s="65"/>
      <x:c r="I9" s="65"/>
      <x:c r="J9" s="65"/>
      <x:c r="K9" s="65"/>
      <x:c r="L9" s="65"/>
      <x:c r="M9" s="65"/>
      <x:c r="N9" s="65"/>
      <x:c r="O9" s="65"/>
      <x:c r="P9" s="65"/>
      <x:c r="Q9" s="65"/>
      <x:c r="R9" s="65"/>
      <x:c r="S9" s="65"/>
      <x:c r="T9" s="65"/>
      <x:c r="U9" s="65"/>
      <x:c r="V9" s="65"/>
      <x:c r="W9" s="65"/>
      <x:c r="X9" s="65"/>
      <x:c r="Y9" s="65"/>
      <x:c r="Z9" s="65"/>
      <x:c r="AA9" s="65"/>
      <x:c r="AB9" s="65"/>
      <x:c r="AC9" s="65"/>
      <x:c r="AD9" s="65"/>
      <x:c r="AE9" s="65"/>
      <x:c r="AF9" s="65"/>
    </x:row>
    <x:row r="10" ht="15" customHeight="1">
      <x:c r="A10" s="136" t="s">
        <x:v>495</x:v>
      </x:c>
      <x:c r="B10" s="136"/>
      <x:c r="C10" s="137"/>
      <x:c r="D10" s="137"/>
      <x:c r="E10" s="137"/>
      <x:c r="F10" s="137"/>
      <x:c r="G10" s="137"/>
      <x:c r="H10" s="137"/>
      <x:c r="I10" s="137"/>
      <x:c r="J10" s="137"/>
      <x:c r="K10" s="137"/>
      <x:c r="L10" s="137"/>
      <x:c r="M10" s="137"/>
      <x:c r="N10" s="137"/>
      <x:c r="O10" s="137"/>
      <x:c r="P10" s="137"/>
      <x:c r="Q10" s="137"/>
      <x:c r="R10" s="137"/>
      <x:c r="S10" s="137"/>
      <x:c r="T10" s="137"/>
      <x:c r="U10" s="137"/>
      <x:c r="V10" s="137"/>
      <x:c r="W10" s="137"/>
      <x:c r="X10" s="137"/>
      <x:c r="Y10" s="137"/>
      <x:c r="Z10" s="137"/>
      <x:c r="AA10" s="137"/>
      <x:c r="AB10" s="137"/>
      <x:c r="AC10" s="137"/>
      <x:c r="AD10" s="137"/>
      <x:c r="AE10" s="137"/>
      <x:c r="AF10" s="137"/>
    </x:row>
    <x:row r="11" ht="15" customHeight="1">
      <x:c r="A11" s="72" t="s">
        <x:v>496</x:v>
      </x:c>
      <x:c r="B11" s="72" t="s">
        <x:v>497</x:v>
      </x:c>
      <x:c r="C11" s="45" t="n">
        <x:f>0</x:f>
        <x:v>0</x:v>
      </x:c>
      <x:c r="D11" s="45" t="n">
        <x:f t="shared" ref="D11:AF11" si="0">C18</x:f>
        <x:v>1712.1999999999998</x:v>
      </x:c>
      <x:c r="E11" s="45">
        <x:f t="shared" si="0"/>
        <x:v>4280.5</x:v>
      </x:c>
      <x:c r="F11" s="45">
        <x:f t="shared" si="0"/>
        <x:v>3923.7916666666665</x:v>
      </x:c>
      <x:c r="G11" s="45">
        <x:f t="shared" si="0"/>
        <x:v>3567.083333333333</x:v>
      </x:c>
      <x:c r="H11" s="45">
        <x:f t="shared" si="0"/>
        <x:v>3210.3749999999995</x:v>
      </x:c>
      <x:c r="I11" s="45">
        <x:f t="shared" si="0"/>
        <x:v>2853.6666666666661</x:v>
      </x:c>
      <x:c r="J11" s="45">
        <x:f t="shared" si="0"/>
        <x:v>2496.9583333333326</x:v>
      </x:c>
      <x:c r="K11" s="45">
        <x:f t="shared" si="0"/>
        <x:v>2140.2499999999991</x:v>
      </x:c>
      <x:c r="L11" s="45">
        <x:f t="shared" si="0"/>
        <x:v>1783.5416666666658</x:v>
      </x:c>
      <x:c r="M11" s="45">
        <x:f t="shared" si="0"/>
        <x:v>1426.8333333333326</x:v>
      </x:c>
      <x:c r="N11" s="45">
        <x:f t="shared" si="0"/>
        <x:v>1070.1249999999993</x:v>
      </x:c>
      <x:c r="O11" s="45">
        <x:f t="shared" si="0"/>
        <x:v>713.41666666666606</x:v>
      </x:c>
      <x:c r="P11" s="45">
        <x:f t="shared" si="0"/>
        <x:v>356.70833333333275</x:v>
      </x:c>
      <x:c r="Q11" s="45">
        <x:f t="shared" si="0"/>
        <x:v>0</x:v>
      </x:c>
      <x:c r="R11" s="45">
        <x:f t="shared" si="0"/>
        <x:v>0</x:v>
      </x:c>
      <x:c r="S11" s="45">
        <x:f t="shared" si="0"/>
        <x:v>0</x:v>
      </x:c>
      <x:c r="T11" s="45">
        <x:f t="shared" si="0"/>
        <x:v>0</x:v>
      </x:c>
      <x:c r="U11" s="45">
        <x:f t="shared" si="0"/>
        <x:v>0</x:v>
      </x:c>
      <x:c r="V11" s="45">
        <x:f t="shared" si="0"/>
        <x:v>0</x:v>
      </x:c>
      <x:c r="W11" s="45">
        <x:f t="shared" si="0"/>
        <x:v>0</x:v>
      </x:c>
      <x:c r="X11" s="45">
        <x:f t="shared" si="0"/>
        <x:v>0</x:v>
      </x:c>
      <x:c r="Y11" s="45">
        <x:f t="shared" si="0"/>
        <x:v>0</x:v>
      </x:c>
      <x:c r="Z11" s="45">
        <x:f t="shared" si="0"/>
        <x:v>0</x:v>
      </x:c>
      <x:c r="AA11" s="45">
        <x:f t="shared" si="0"/>
        <x:v>0</x:v>
      </x:c>
      <x:c r="AB11" s="45">
        <x:f t="shared" si="0"/>
        <x:v>0</x:v>
      </x:c>
      <x:c r="AC11" s="45">
        <x:f t="shared" si="0"/>
        <x:v>0</x:v>
      </x:c>
      <x:c r="AD11" s="45">
        <x:f t="shared" si="0"/>
        <x:v>0</x:v>
      </x:c>
      <x:c r="AE11" s="45">
        <x:f t="shared" si="0"/>
        <x:v>0</x:v>
      </x:c>
      <x:c r="AF11" s="45">
        <x:f t="shared" si="0"/>
        <x:v>0</x:v>
      </x:c>
    </x:row>
    <x:row r="12" ht="15" customHeight="1">
      <x:c r="A12" s="72" t="s">
        <x:v>498</x:v>
      </x:c>
      <x:c r="B12" s="72" t="s">
        <x:v>459</x:v>
      </x:c>
      <x:c r="C12" s="45" t="n">
        <x:f>CAPEX!C20</x:f>
        <x:v>1712.1999999999998</x:v>
      </x:c>
      <x:c r="D12" s="45" t="n">
        <x:f>CAPEX!D20</x:f>
        <x:v>2568.2999999999997</x:v>
      </x:c>
      <x:c r="E12" s="45" t="n">
        <x:f>CAPEX!E20</x:f>
        <x:v>0</x:v>
      </x:c>
      <x:c r="F12" s="45" t="n">
        <x:f>CAPEX!F20</x:f>
        <x:v>0</x:v>
      </x:c>
      <x:c r="G12" s="45" t="n">
        <x:f>CAPEX!G20</x:f>
        <x:v>0</x:v>
      </x:c>
      <x:c r="H12" s="45" t="n">
        <x:f>CAPEX!H20</x:f>
        <x:v>0</x:v>
      </x:c>
      <x:c r="I12" s="45" t="n">
        <x:f>CAPEX!I20</x:f>
        <x:v>0</x:v>
      </x:c>
      <x:c r="J12" s="45" t="n">
        <x:f>CAPEX!J20</x:f>
        <x:v>0</x:v>
      </x:c>
      <x:c r="K12" s="45" t="n">
        <x:f>CAPEX!K20</x:f>
        <x:v>0</x:v>
      </x:c>
      <x:c r="L12" s="45" t="n">
        <x:f>CAPEX!L20</x:f>
        <x:v>0</x:v>
      </x:c>
      <x:c r="M12" s="45" t="n">
        <x:f>CAPEX!M20</x:f>
        <x:v>0</x:v>
      </x:c>
      <x:c r="N12" s="45" t="n">
        <x:f>CAPEX!N20</x:f>
        <x:v>0</x:v>
      </x:c>
      <x:c r="O12" s="45" t="n">
        <x:f>CAPEX!O20</x:f>
        <x:v>0</x:v>
      </x:c>
      <x:c r="P12" s="45" t="n">
        <x:f>CAPEX!P20</x:f>
        <x:v>0</x:v>
      </x:c>
      <x:c r="Q12" s="45" t="n">
        <x:f>CAPEX!Q20</x:f>
        <x:v>0</x:v>
      </x:c>
      <x:c r="R12" s="45" t="n">
        <x:f>CAPEX!R20</x:f>
        <x:v>0</x:v>
      </x:c>
      <x:c r="S12" s="45" t="n">
        <x:f>CAPEX!S20</x:f>
        <x:v>0</x:v>
      </x:c>
      <x:c r="T12" s="45" t="n">
        <x:f>CAPEX!T20</x:f>
        <x:v>0</x:v>
      </x:c>
      <x:c r="U12" s="45" t="n">
        <x:f>CAPEX!U20</x:f>
        <x:v>0</x:v>
      </x:c>
      <x:c r="V12" s="45" t="n">
        <x:f>CAPEX!V20</x:f>
        <x:v>0</x:v>
      </x:c>
      <x:c r="W12" s="45" t="n">
        <x:f>CAPEX!W20</x:f>
        <x:v>0</x:v>
      </x:c>
      <x:c r="X12" s="45" t="n">
        <x:f>CAPEX!X20</x:f>
        <x:v>0</x:v>
      </x:c>
      <x:c r="Y12" s="45" t="n">
        <x:f>CAPEX!Y20</x:f>
        <x:v>0</x:v>
      </x:c>
      <x:c r="Z12" s="45" t="n">
        <x:f>CAPEX!Z20</x:f>
        <x:v>0</x:v>
      </x:c>
      <x:c r="AA12" s="45" t="n">
        <x:f>CAPEX!AA20</x:f>
        <x:v>0</x:v>
      </x:c>
      <x:c r="AB12" s="45" t="n">
        <x:f>CAPEX!AB20</x:f>
        <x:v>0</x:v>
      </x:c>
      <x:c r="AC12" s="45" t="n">
        <x:f>CAPEX!AC20</x:f>
        <x:v>0</x:v>
      </x:c>
      <x:c r="AD12" s="45" t="n">
        <x:f>CAPEX!AD20</x:f>
        <x:v>0</x:v>
      </x:c>
      <x:c r="AE12" s="45" t="n">
        <x:f>CAPEX!AE20</x:f>
        <x:v>0</x:v>
      </x:c>
      <x:c r="AF12" s="45" t="n">
        <x:f>CAPEX!AF20</x:f>
        <x:v>0</x:v>
      </x:c>
    </x:row>
    <x:row r="13" ht="15" customHeight="1">
      <x:c r="A13" s="72" t="s">
        <x:v>499</x:v>
      </x:c>
      <x:c r="B13" s="72" t="s">
        <x:v>500</x:v>
      </x:c>
      <x:c r="C13" s="48" t="str">
        <x:f>IF(AND(C$6-Input!$D$14-Input!$D$59+1&gt;=1,C$6-Input!$D$14-Input!$D$59+1&lt;=Input!$D$58),C$6-Input!$D$14-Input!$D$59+1,"")</x:f>
      </x:c>
      <x:c r="D13" s="48" t="str">
        <x:f>IF(AND(D$6-Input!$D$14-Input!$D$59+1&gt;=1,D$6-Input!$D$14-Input!$D$59+1&lt;=Input!$D$58),D$6-Input!$D$14-Input!$D$59+1,"")</x:f>
      </x:c>
      <x:c r="E13" s="48" t="n">
        <x:f>IF(AND(E$6-Input!$D$14-Input!$D$59+1&gt;=1,E$6-Input!$D$14-Input!$D$59+1&lt;=Input!$D$58),E$6-Input!$D$14-Input!$D$59+1,"")</x:f>
        <x:v>1</x:v>
      </x:c>
      <x:c r="F13" s="48" t="n">
        <x:f>IF(AND(F$6-Input!$D$14-Input!$D$59+1&gt;=1,F$6-Input!$D$14-Input!$D$59+1&lt;=Input!$D$58),F$6-Input!$D$14-Input!$D$59+1,"")</x:f>
        <x:v>2</x:v>
      </x:c>
      <x:c r="G13" s="48" t="n">
        <x:f>IF(AND(G$6-Input!$D$14-Input!$D$59+1&gt;=1,G$6-Input!$D$14-Input!$D$59+1&lt;=Input!$D$58),G$6-Input!$D$14-Input!$D$59+1,"")</x:f>
        <x:v>3</x:v>
      </x:c>
      <x:c r="H13" s="48" t="n">
        <x:f>IF(AND(H$6-Input!$D$14-Input!$D$59+1&gt;=1,H$6-Input!$D$14-Input!$D$59+1&lt;=Input!$D$58),H$6-Input!$D$14-Input!$D$59+1,"")</x:f>
        <x:v>4</x:v>
      </x:c>
      <x:c r="I13" s="48" t="n">
        <x:f>IF(AND(I$6-Input!$D$14-Input!$D$59+1&gt;=1,I$6-Input!$D$14-Input!$D$59+1&lt;=Input!$D$58),I$6-Input!$D$14-Input!$D$59+1,"")</x:f>
        <x:v>5</x:v>
      </x:c>
      <x:c r="J13" s="48" t="n">
        <x:f>IF(AND(J$6-Input!$D$14-Input!$D$59+1&gt;=1,J$6-Input!$D$14-Input!$D$59+1&lt;=Input!$D$58),J$6-Input!$D$14-Input!$D$59+1,"")</x:f>
        <x:v>6</x:v>
      </x:c>
      <x:c r="K13" s="48" t="n">
        <x:f>IF(AND(K$6-Input!$D$14-Input!$D$59+1&gt;=1,K$6-Input!$D$14-Input!$D$59+1&lt;=Input!$D$58),K$6-Input!$D$14-Input!$D$59+1,"")</x:f>
        <x:v>7</x:v>
      </x:c>
      <x:c r="L13" s="48" t="n">
        <x:f>IF(AND(L$6-Input!$D$14-Input!$D$59+1&gt;=1,L$6-Input!$D$14-Input!$D$59+1&lt;=Input!$D$58),L$6-Input!$D$14-Input!$D$59+1,"")</x:f>
        <x:v>8</x:v>
      </x:c>
      <x:c r="M13" s="48" t="n">
        <x:f>IF(AND(M$6-Input!$D$14-Input!$D$59+1&gt;=1,M$6-Input!$D$14-Input!$D$59+1&lt;=Input!$D$58),M$6-Input!$D$14-Input!$D$59+1,"")</x:f>
        <x:v>9</x:v>
      </x:c>
      <x:c r="N13" s="48" t="n">
        <x:f>IF(AND(N$6-Input!$D$14-Input!$D$59+1&gt;=1,N$6-Input!$D$14-Input!$D$59+1&lt;=Input!$D$58),N$6-Input!$D$14-Input!$D$59+1,"")</x:f>
        <x:v>10</x:v>
      </x:c>
      <x:c r="O13" s="48" t="n">
        <x:f>IF(AND(O$6-Input!$D$14-Input!$D$59+1&gt;=1,O$6-Input!$D$14-Input!$D$59+1&lt;=Input!$D$58),O$6-Input!$D$14-Input!$D$59+1,"")</x:f>
        <x:v>11</x:v>
      </x:c>
      <x:c r="P13" s="48" t="n">
        <x:f>IF(AND(P$6-Input!$D$14-Input!$D$59+1&gt;=1,P$6-Input!$D$14-Input!$D$59+1&lt;=Input!$D$58),P$6-Input!$D$14-Input!$D$59+1,"")</x:f>
        <x:v>12</x:v>
      </x:c>
      <x:c r="Q13" s="48" t="str">
        <x:f>IF(AND(Q$6-Input!$D$14-Input!$D$59+1&gt;=1,Q$6-Input!$D$14-Input!$D$59+1&lt;=Input!$D$58),Q$6-Input!$D$14-Input!$D$59+1,"")</x:f>
      </x:c>
      <x:c r="R13" s="48" t="str">
        <x:f>IF(AND(R$6-Input!$D$14-Input!$D$59+1&gt;=1,R$6-Input!$D$14-Input!$D$59+1&lt;=Input!$D$58),R$6-Input!$D$14-Input!$D$59+1,"")</x:f>
      </x:c>
      <x:c r="S13" s="48" t="str">
        <x:f>IF(AND(S$6-Input!$D$14-Input!$D$59+1&gt;=1,S$6-Input!$D$14-Input!$D$59+1&lt;=Input!$D$58),S$6-Input!$D$14-Input!$D$59+1,"")</x:f>
      </x:c>
      <x:c r="T13" s="48" t="str">
        <x:f>IF(AND(T$6-Input!$D$14-Input!$D$59+1&gt;=1,T$6-Input!$D$14-Input!$D$59+1&lt;=Input!$D$58),T$6-Input!$D$14-Input!$D$59+1,"")</x:f>
      </x:c>
      <x:c r="U13" s="48" t="str">
        <x:f>IF(AND(U$6-Input!$D$14-Input!$D$59+1&gt;=1,U$6-Input!$D$14-Input!$D$59+1&lt;=Input!$D$58),U$6-Input!$D$14-Input!$D$59+1,"")</x:f>
      </x:c>
      <x:c r="V13" s="48" t="str">
        <x:f>IF(AND(V$6-Input!$D$14-Input!$D$59+1&gt;=1,V$6-Input!$D$14-Input!$D$59+1&lt;=Input!$D$58),V$6-Input!$D$14-Input!$D$59+1,"")</x:f>
      </x:c>
      <x:c r="W13" s="48" t="str">
        <x:f>IF(AND(W$6-Input!$D$14-Input!$D$59+1&gt;=1,W$6-Input!$D$14-Input!$D$59+1&lt;=Input!$D$58),W$6-Input!$D$14-Input!$D$59+1,"")</x:f>
      </x:c>
      <x:c r="X13" s="48" t="str">
        <x:f>IF(AND(X$6-Input!$D$14-Input!$D$59+1&gt;=1,X$6-Input!$D$14-Input!$D$59+1&lt;=Input!$D$58),X$6-Input!$D$14-Input!$D$59+1,"")</x:f>
      </x:c>
      <x:c r="Y13" s="48" t="str">
        <x:f>IF(AND(Y$6-Input!$D$14-Input!$D$59+1&gt;=1,Y$6-Input!$D$14-Input!$D$59+1&lt;=Input!$D$58),Y$6-Input!$D$14-Input!$D$59+1,"")</x:f>
      </x:c>
      <x:c r="Z13" s="48" t="str">
        <x:f>IF(AND(Z$6-Input!$D$14-Input!$D$59+1&gt;=1,Z$6-Input!$D$14-Input!$D$59+1&lt;=Input!$D$58),Z$6-Input!$D$14-Input!$D$59+1,"")</x:f>
      </x:c>
      <x:c r="AA13" s="48" t="str">
        <x:f>IF(AND(AA$6-Input!$D$14-Input!$D$59+1&gt;=1,AA$6-Input!$D$14-Input!$D$59+1&lt;=Input!$D$58),AA$6-Input!$D$14-Input!$D$59+1,"")</x:f>
      </x:c>
      <x:c r="AB13" s="48" t="str">
        <x:f>IF(AND(AB$6-Input!$D$14-Input!$D$59+1&gt;=1,AB$6-Input!$D$14-Input!$D$59+1&lt;=Input!$D$58),AB$6-Input!$D$14-Input!$D$59+1,"")</x:f>
      </x:c>
      <x:c r="AC13" s="48" t="str">
        <x:f>IF(AND(AC$6-Input!$D$14-Input!$D$59+1&gt;=1,AC$6-Input!$D$14-Input!$D$59+1&lt;=Input!$D$58),AC$6-Input!$D$14-Input!$D$59+1,"")</x:f>
      </x:c>
      <x:c r="AD13" s="48" t="str">
        <x:f>IF(AND(AD$6-Input!$D$14-Input!$D$59+1&gt;=1,AD$6-Input!$D$14-Input!$D$59+1&lt;=Input!$D$58),AD$6-Input!$D$14-Input!$D$59+1,"")</x:f>
      </x:c>
      <x:c r="AE13" s="48" t="str">
        <x:f>IF(AND(AE$6-Input!$D$14-Input!$D$59+1&gt;=1,AE$6-Input!$D$14-Input!$D$59+1&lt;=Input!$D$58),AE$6-Input!$D$14-Input!$D$59+1,"")</x:f>
      </x:c>
      <x:c r="AF13" s="48" t="str">
        <x:f>IF(AND(AF$6-Input!$D$14-Input!$D$59+1&gt;=1,AF$6-Input!$D$14-Input!$D$59+1&lt;=Input!$D$58),AF$6-Input!$D$14-Input!$D$59+1,"")</x:f>
      </x:c>
    </x:row>
    <x:row r="14" ht="15" customHeight="1">
      <x:c r="A14" s="72" t="s">
        <x:v>501</x:v>
      </x:c>
      <x:c r="B14" s="72" t="s">
        <x:v>502</x:v>
      </x:c>
      <x:c r="C14" s="45" t="n">
        <x:f>IF(AND(Input!$D$60="Niên kim",C13&gt;=1,C13&lt;=Input!$D$58),Input!$D$63*Input!$D$57/(1-(1+Input!$D$57)^(-Input!$D$58)),0)</x:f>
        <x:v>0</x:v>
      </x:c>
      <x:c r="D14" s="45" t="n">
        <x:f>IF(AND(Input!$D$60="Niên kim",D13&gt;=1,D13&lt;=Input!$D$58),Input!$D$63*Input!$D$57/(1-(1+Input!$D$57)^(-Input!$D$58)),0)</x:f>
        <x:v>0</x:v>
      </x:c>
      <x:c r="E14" s="45" t="n">
        <x:f>IF(AND(Input!$D$60="Niên kim",E13&gt;=1,E13&lt;=Input!$D$58),Input!$D$63*Input!$D$57/(1-(1+Input!$D$57)^(-Input!$D$58)),0)</x:f>
        <x:v>0</x:v>
      </x:c>
      <x:c r="F14" s="45" t="n">
        <x:f>IF(AND(Input!$D$60="Niên kim",F13&gt;=1,F13&lt;=Input!$D$58),Input!$D$63*Input!$D$57/(1-(1+Input!$D$57)^(-Input!$D$58)),0)</x:f>
        <x:v>0</x:v>
      </x:c>
      <x:c r="G14" s="45" t="n">
        <x:f>IF(AND(Input!$D$60="Niên kim",G13&gt;=1,G13&lt;=Input!$D$58),Input!$D$63*Input!$D$57/(1-(1+Input!$D$57)^(-Input!$D$58)),0)</x:f>
        <x:v>0</x:v>
      </x:c>
      <x:c r="H14" s="45" t="n">
        <x:f>IF(AND(Input!$D$60="Niên kim",H13&gt;=1,H13&lt;=Input!$D$58),Input!$D$63*Input!$D$57/(1-(1+Input!$D$57)^(-Input!$D$58)),0)</x:f>
        <x:v>0</x:v>
      </x:c>
      <x:c r="I14" s="45" t="n">
        <x:f>IF(AND(Input!$D$60="Niên kim",I13&gt;=1,I13&lt;=Input!$D$58),Input!$D$63*Input!$D$57/(1-(1+Input!$D$57)^(-Input!$D$58)),0)</x:f>
        <x:v>0</x:v>
      </x:c>
      <x:c r="J14" s="45" t="n">
        <x:f>IF(AND(Input!$D$60="Niên kim",J13&gt;=1,J13&lt;=Input!$D$58),Input!$D$63*Input!$D$57/(1-(1+Input!$D$57)^(-Input!$D$58)),0)</x:f>
        <x:v>0</x:v>
      </x:c>
      <x:c r="K14" s="45" t="n">
        <x:f>IF(AND(Input!$D$60="Niên kim",K13&gt;=1,K13&lt;=Input!$D$58),Input!$D$63*Input!$D$57/(1-(1+Input!$D$57)^(-Input!$D$58)),0)</x:f>
        <x:v>0</x:v>
      </x:c>
      <x:c r="L14" s="45" t="n">
        <x:f>IF(AND(Input!$D$60="Niên kim",L13&gt;=1,L13&lt;=Input!$D$58),Input!$D$63*Input!$D$57/(1-(1+Input!$D$57)^(-Input!$D$58)),0)</x:f>
        <x:v>0</x:v>
      </x:c>
      <x:c r="M14" s="45" t="n">
        <x:f>IF(AND(Input!$D$60="Niên kim",M13&gt;=1,M13&lt;=Input!$D$58),Input!$D$63*Input!$D$57/(1-(1+Input!$D$57)^(-Input!$D$58)),0)</x:f>
        <x:v>0</x:v>
      </x:c>
      <x:c r="N14" s="45" t="n">
        <x:f>IF(AND(Input!$D$60="Niên kim",N13&gt;=1,N13&lt;=Input!$D$58),Input!$D$63*Input!$D$57/(1-(1+Input!$D$57)^(-Input!$D$58)),0)</x:f>
        <x:v>0</x:v>
      </x:c>
      <x:c r="O14" s="45" t="n">
        <x:f>IF(AND(Input!$D$60="Niên kim",O13&gt;=1,O13&lt;=Input!$D$58),Input!$D$63*Input!$D$57/(1-(1+Input!$D$57)^(-Input!$D$58)),0)</x:f>
        <x:v>0</x:v>
      </x:c>
      <x:c r="P14" s="45" t="n">
        <x:f>IF(AND(Input!$D$60="Niên kim",P13&gt;=1,P13&lt;=Input!$D$58),Input!$D$63*Input!$D$57/(1-(1+Input!$D$57)^(-Input!$D$58)),0)</x:f>
        <x:v>0</x:v>
      </x:c>
      <x:c r="Q14" s="45" t="n">
        <x:f>IF(AND(Input!$D$60="Niên kim",Q13&gt;=1,Q13&lt;=Input!$D$58),Input!$D$63*Input!$D$57/(1-(1+Input!$D$57)^(-Input!$D$58)),0)</x:f>
        <x:v>0</x:v>
      </x:c>
      <x:c r="R14" s="45" t="n">
        <x:f>IF(AND(Input!$D$60="Niên kim",R13&gt;=1,R13&lt;=Input!$D$58),Input!$D$63*Input!$D$57/(1-(1+Input!$D$57)^(-Input!$D$58)),0)</x:f>
        <x:v>0</x:v>
      </x:c>
      <x:c r="S14" s="45" t="n">
        <x:f>IF(AND(Input!$D$60="Niên kim",S13&gt;=1,S13&lt;=Input!$D$58),Input!$D$63*Input!$D$57/(1-(1+Input!$D$57)^(-Input!$D$58)),0)</x:f>
        <x:v>0</x:v>
      </x:c>
      <x:c r="T14" s="45" t="n">
        <x:f>IF(AND(Input!$D$60="Niên kim",T13&gt;=1,T13&lt;=Input!$D$58),Input!$D$63*Input!$D$57/(1-(1+Input!$D$57)^(-Input!$D$58)),0)</x:f>
        <x:v>0</x:v>
      </x:c>
      <x:c r="U14" s="45" t="n">
        <x:f>IF(AND(Input!$D$60="Niên kim",U13&gt;=1,U13&lt;=Input!$D$58),Input!$D$63*Input!$D$57/(1-(1+Input!$D$57)^(-Input!$D$58)),0)</x:f>
        <x:v>0</x:v>
      </x:c>
      <x:c r="V14" s="45" t="n">
        <x:f>IF(AND(Input!$D$60="Niên kim",V13&gt;=1,V13&lt;=Input!$D$58),Input!$D$63*Input!$D$57/(1-(1+Input!$D$57)^(-Input!$D$58)),0)</x:f>
        <x:v>0</x:v>
      </x:c>
      <x:c r="W14" s="45" t="n">
        <x:f>IF(AND(Input!$D$60="Niên kim",W13&gt;=1,W13&lt;=Input!$D$58),Input!$D$63*Input!$D$57/(1-(1+Input!$D$57)^(-Input!$D$58)),0)</x:f>
        <x:v>0</x:v>
      </x:c>
      <x:c r="X14" s="45" t="n">
        <x:f>IF(AND(Input!$D$60="Niên kim",X13&gt;=1,X13&lt;=Input!$D$58),Input!$D$63*Input!$D$57/(1-(1+Input!$D$57)^(-Input!$D$58)),0)</x:f>
        <x:v>0</x:v>
      </x:c>
      <x:c r="Y14" s="45" t="n">
        <x:f>IF(AND(Input!$D$60="Niên kim",Y13&gt;=1,Y13&lt;=Input!$D$58),Input!$D$63*Input!$D$57/(1-(1+Input!$D$57)^(-Input!$D$58)),0)</x:f>
        <x:v>0</x:v>
      </x:c>
      <x:c r="Z14" s="45" t="n">
        <x:f>IF(AND(Input!$D$60="Niên kim",Z13&gt;=1,Z13&lt;=Input!$D$58),Input!$D$63*Input!$D$57/(1-(1+Input!$D$57)^(-Input!$D$58)),0)</x:f>
        <x:v>0</x:v>
      </x:c>
      <x:c r="AA14" s="45" t="n">
        <x:f>IF(AND(Input!$D$60="Niên kim",AA13&gt;=1,AA13&lt;=Input!$D$58),Input!$D$63*Input!$D$57/(1-(1+Input!$D$57)^(-Input!$D$58)),0)</x:f>
        <x:v>0</x:v>
      </x:c>
      <x:c r="AB14" s="45" t="n">
        <x:f>IF(AND(Input!$D$60="Niên kim",AB13&gt;=1,AB13&lt;=Input!$D$58),Input!$D$63*Input!$D$57/(1-(1+Input!$D$57)^(-Input!$D$58)),0)</x:f>
        <x:v>0</x:v>
      </x:c>
      <x:c r="AC14" s="45" t="n">
        <x:f>IF(AND(Input!$D$60="Niên kim",AC13&gt;=1,AC13&lt;=Input!$D$58),Input!$D$63*Input!$D$57/(1-(1+Input!$D$57)^(-Input!$D$58)),0)</x:f>
        <x:v>0</x:v>
      </x:c>
      <x:c r="AD14" s="45" t="n">
        <x:f>IF(AND(Input!$D$60="Niên kim",AD13&gt;=1,AD13&lt;=Input!$D$58),Input!$D$63*Input!$D$57/(1-(1+Input!$D$57)^(-Input!$D$58)),0)</x:f>
        <x:v>0</x:v>
      </x:c>
      <x:c r="AE14" s="45" t="n">
        <x:f>IF(AND(Input!$D$60="Niên kim",AE13&gt;=1,AE13&lt;=Input!$D$58),Input!$D$63*Input!$D$57/(1-(1+Input!$D$57)^(-Input!$D$58)),0)</x:f>
        <x:v>0</x:v>
      </x:c>
      <x:c r="AF14" s="45" t="n">
        <x:f>IF(AND(Input!$D$60="Niên kim",AF13&gt;=1,AF13&lt;=Input!$D$58),Input!$D$63*Input!$D$57/(1-(1+Input!$D$57)^(-Input!$D$58)),0)</x:f>
        <x:v>0</x:v>
      </x:c>
    </x:row>
    <x:row r="15" ht="15" customHeight="1">
      <x:c r="A15" s="72" t="s">
        <x:v>503</x:v>
      </x:c>
      <x:c r="B15" s="73" t="s">
        <x:v>504</x:v>
      </x:c>
      <x:c r="C15" s="44" t="n">
        <x:f>IF(AND(C13&gt;=1,C13&lt;=Input!$D$58),MIN(C11+C12,IF(Input!$D$60="Gốc đều",Input!$D$63/Input!$D$58,MAX(0,C14-C16))),0)</x:f>
        <x:v>0</x:v>
      </x:c>
      <x:c r="D15" s="44" t="n">
        <x:f>IF(AND(D13&gt;=1,D13&lt;=Input!$D$58),MIN(D11+D12,IF(Input!$D$60="Gốc đều",Input!$D$63/Input!$D$58,MAX(0,D14-D16))),0)</x:f>
        <x:v>0</x:v>
      </x:c>
      <x:c r="E15" s="44" t="n">
        <x:f>IF(AND(E13&gt;=1,E13&lt;=Input!$D$58),MIN(E11+E12,IF(Input!$D$60="Gốc đều",Input!$D$63/Input!$D$58,MAX(0,E14-E16))),0)</x:f>
        <x:v>356.7083333333333</x:v>
      </x:c>
      <x:c r="F15" s="44" t="n">
        <x:f>IF(AND(F13&gt;=1,F13&lt;=Input!$D$58),MIN(F11+F12,IF(Input!$D$60="Gốc đều",Input!$D$63/Input!$D$58,MAX(0,F14-F16))),0)</x:f>
        <x:v>356.7083333333333</x:v>
      </x:c>
      <x:c r="G15" s="44" t="n">
        <x:f>IF(AND(G13&gt;=1,G13&lt;=Input!$D$58),MIN(G11+G12,IF(Input!$D$60="Gốc đều",Input!$D$63/Input!$D$58,MAX(0,G14-G16))),0)</x:f>
        <x:v>356.7083333333333</x:v>
      </x:c>
      <x:c r="H15" s="44" t="n">
        <x:f>IF(AND(H13&gt;=1,H13&lt;=Input!$D$58),MIN(H11+H12,IF(Input!$D$60="Gốc đều",Input!$D$63/Input!$D$58,MAX(0,H14-H16))),0)</x:f>
        <x:v>356.7083333333333</x:v>
      </x:c>
      <x:c r="I15" s="44" t="n">
        <x:f>IF(AND(I13&gt;=1,I13&lt;=Input!$D$58),MIN(I11+I12,IF(Input!$D$60="Gốc đều",Input!$D$63/Input!$D$58,MAX(0,I14-I16))),0)</x:f>
        <x:v>356.7083333333333</x:v>
      </x:c>
      <x:c r="J15" s="44" t="n">
        <x:f>IF(AND(J13&gt;=1,J13&lt;=Input!$D$58),MIN(J11+J12,IF(Input!$D$60="Gốc đều",Input!$D$63/Input!$D$58,MAX(0,J14-J16))),0)</x:f>
        <x:v>356.7083333333333</x:v>
      </x:c>
      <x:c r="K15" s="44" t="n">
        <x:f>IF(AND(K13&gt;=1,K13&lt;=Input!$D$58),MIN(K11+K12,IF(Input!$D$60="Gốc đều",Input!$D$63/Input!$D$58,MAX(0,K14-K16))),0)</x:f>
        <x:v>356.7083333333333</x:v>
      </x:c>
      <x:c r="L15" s="44" t="n">
        <x:f>IF(AND(L13&gt;=1,L13&lt;=Input!$D$58),MIN(L11+L12,IF(Input!$D$60="Gốc đều",Input!$D$63/Input!$D$58,MAX(0,L14-L16))),0)</x:f>
        <x:v>356.7083333333333</x:v>
      </x:c>
      <x:c r="M15" s="44" t="n">
        <x:f>IF(AND(M13&gt;=1,M13&lt;=Input!$D$58),MIN(M11+M12,IF(Input!$D$60="Gốc đều",Input!$D$63/Input!$D$58,MAX(0,M14-M16))),0)</x:f>
        <x:v>356.7083333333333</x:v>
      </x:c>
      <x:c r="N15" s="44" t="n">
        <x:f>IF(AND(N13&gt;=1,N13&lt;=Input!$D$58),MIN(N11+N12,IF(Input!$D$60="Gốc đều",Input!$D$63/Input!$D$58,MAX(0,N14-N16))),0)</x:f>
        <x:v>356.7083333333333</x:v>
      </x:c>
      <x:c r="O15" s="44" t="n">
        <x:f>IF(AND(O13&gt;=1,O13&lt;=Input!$D$58),MIN(O11+O12,IF(Input!$D$60="Gốc đều",Input!$D$63/Input!$D$58,MAX(0,O14-O16))),0)</x:f>
        <x:v>356.7083333333333</x:v>
      </x:c>
      <x:c r="P15" s="44" t="n">
        <x:f>IF(AND(P13&gt;=1,P13&lt;=Input!$D$58),MIN(P11+P12,IF(Input!$D$60="Gốc đều",Input!$D$63/Input!$D$58,MAX(0,P14-P16))),0)</x:f>
        <x:v>356.70833333333275</x:v>
      </x:c>
      <x:c r="Q15" s="44" t="n">
        <x:f>IF(AND(Q13&gt;=1,Q13&lt;=Input!$D$58),MIN(Q11+Q12,IF(Input!$D$60="Gốc đều",Input!$D$63/Input!$D$58,MAX(0,Q14-Q16))),0)</x:f>
        <x:v>0</x:v>
      </x:c>
      <x:c r="R15" s="44" t="n">
        <x:f>IF(AND(R13&gt;=1,R13&lt;=Input!$D$58),MIN(R11+R12,IF(Input!$D$60="Gốc đều",Input!$D$63/Input!$D$58,MAX(0,R14-R16))),0)</x:f>
        <x:v>0</x:v>
      </x:c>
      <x:c r="S15" s="44" t="n">
        <x:f>IF(AND(S13&gt;=1,S13&lt;=Input!$D$58),MIN(S11+S12,IF(Input!$D$60="Gốc đều",Input!$D$63/Input!$D$58,MAX(0,S14-S16))),0)</x:f>
        <x:v>0</x:v>
      </x:c>
      <x:c r="T15" s="44" t="n">
        <x:f>IF(AND(T13&gt;=1,T13&lt;=Input!$D$58),MIN(T11+T12,IF(Input!$D$60="Gốc đều",Input!$D$63/Input!$D$58,MAX(0,T14-T16))),0)</x:f>
        <x:v>0</x:v>
      </x:c>
      <x:c r="U15" s="44" t="n">
        <x:f>IF(AND(U13&gt;=1,U13&lt;=Input!$D$58),MIN(U11+U12,IF(Input!$D$60="Gốc đều",Input!$D$63/Input!$D$58,MAX(0,U14-U16))),0)</x:f>
        <x:v>0</x:v>
      </x:c>
      <x:c r="V15" s="44" t="n">
        <x:f>IF(AND(V13&gt;=1,V13&lt;=Input!$D$58),MIN(V11+V12,IF(Input!$D$60="Gốc đều",Input!$D$63/Input!$D$58,MAX(0,V14-V16))),0)</x:f>
        <x:v>0</x:v>
      </x:c>
      <x:c r="W15" s="44" t="n">
        <x:f>IF(AND(W13&gt;=1,W13&lt;=Input!$D$58),MIN(W11+W12,IF(Input!$D$60="Gốc đều",Input!$D$63/Input!$D$58,MAX(0,W14-W16))),0)</x:f>
        <x:v>0</x:v>
      </x:c>
      <x:c r="X15" s="44" t="n">
        <x:f>IF(AND(X13&gt;=1,X13&lt;=Input!$D$58),MIN(X11+X12,IF(Input!$D$60="Gốc đều",Input!$D$63/Input!$D$58,MAX(0,X14-X16))),0)</x:f>
        <x:v>0</x:v>
      </x:c>
      <x:c r="Y15" s="44" t="n">
        <x:f>IF(AND(Y13&gt;=1,Y13&lt;=Input!$D$58),MIN(Y11+Y12,IF(Input!$D$60="Gốc đều",Input!$D$63/Input!$D$58,MAX(0,Y14-Y16))),0)</x:f>
        <x:v>0</x:v>
      </x:c>
      <x:c r="Z15" s="44" t="n">
        <x:f>IF(AND(Z13&gt;=1,Z13&lt;=Input!$D$58),MIN(Z11+Z12,IF(Input!$D$60="Gốc đều",Input!$D$63/Input!$D$58,MAX(0,Z14-Z16))),0)</x:f>
        <x:v>0</x:v>
      </x:c>
      <x:c r="AA15" s="44" t="n">
        <x:f>IF(AND(AA13&gt;=1,AA13&lt;=Input!$D$58),MIN(AA11+AA12,IF(Input!$D$60="Gốc đều",Input!$D$63/Input!$D$58,MAX(0,AA14-AA16))),0)</x:f>
        <x:v>0</x:v>
      </x:c>
      <x:c r="AB15" s="44" t="n">
        <x:f>IF(AND(AB13&gt;=1,AB13&lt;=Input!$D$58),MIN(AB11+AB12,IF(Input!$D$60="Gốc đều",Input!$D$63/Input!$D$58,MAX(0,AB14-AB16))),0)</x:f>
        <x:v>0</x:v>
      </x:c>
      <x:c r="AC15" s="44" t="n">
        <x:f>IF(AND(AC13&gt;=1,AC13&lt;=Input!$D$58),MIN(AC11+AC12,IF(Input!$D$60="Gốc đều",Input!$D$63/Input!$D$58,MAX(0,AC14-AC16))),0)</x:f>
        <x:v>0</x:v>
      </x:c>
      <x:c r="AD15" s="44" t="n">
        <x:f>IF(AND(AD13&gt;=1,AD13&lt;=Input!$D$58),MIN(AD11+AD12,IF(Input!$D$60="Gốc đều",Input!$D$63/Input!$D$58,MAX(0,AD14-AD16))),0)</x:f>
        <x:v>0</x:v>
      </x:c>
      <x:c r="AE15" s="44" t="n">
        <x:f>IF(AND(AE13&gt;=1,AE13&lt;=Input!$D$58),MIN(AE11+AE12,IF(Input!$D$60="Gốc đều",Input!$D$63/Input!$D$58,MAX(0,AE14-AE16))),0)</x:f>
        <x:v>0</x:v>
      </x:c>
      <x:c r="AF15" s="44" t="n">
        <x:f>IF(AND(AF13&gt;=1,AF13&lt;=Input!$D$58),MIN(AF11+AF12,IF(Input!$D$60="Gốc đều",Input!$D$63/Input!$D$58,MAX(0,AF14-AF16))),0)</x:f>
        <x:v>0</x:v>
      </x:c>
    </x:row>
    <x:row r="16" ht="15" customHeight="1">
      <x:c r="A16" s="72" t="s">
        <x:v>505</x:v>
      </x:c>
      <x:c r="B16" s="72" t="s">
        <x:v>506</x:v>
      </x:c>
      <x:c r="C16" s="45" t="n">
        <x:f>IF(C$6="",0,IF(C$6&lt;Input!$D$16,(C11+0.5*C12)*Input!$D$57,C11*Input!$D$57))</x:f>
        <x:v>85.61</x:v>
      </x:c>
      <x:c r="D16" s="45" t="n">
        <x:f>IF(D$6="",0,IF(D$6&lt;Input!$D$16,(D11+0.5*D12)*Input!$D$57,D11*Input!$D$57))</x:f>
        <x:v>299.63499999999993</x:v>
      </x:c>
      <x:c r="E16" s="45" t="n">
        <x:f>IF(E$6="",0,IF(E$6&lt;Input!$D$16,(E11+0.5*E12)*Input!$D$57,E11*Input!$D$57))</x:f>
        <x:v>428.05</x:v>
      </x:c>
      <x:c r="F16" s="45" t="n">
        <x:f>IF(F$6="",0,IF(F$6&lt;Input!$D$16,(F11+0.5*F12)*Input!$D$57,F11*Input!$D$57))</x:f>
        <x:v>392.37916666666666</x:v>
      </x:c>
      <x:c r="G16" s="45" t="n">
        <x:f>IF(G$6="",0,IF(G$6&lt;Input!$D$16,(G11+0.5*G12)*Input!$D$57,G11*Input!$D$57))</x:f>
        <x:v>356.7083333333333</x:v>
      </x:c>
      <x:c r="H16" s="45" t="n">
        <x:f>IF(H$6="",0,IF(H$6&lt;Input!$D$16,(H11+0.5*H12)*Input!$D$57,H11*Input!$D$57))</x:f>
        <x:v>321.03749999999997</x:v>
      </x:c>
      <x:c r="I16" s="45" t="n">
        <x:f>IF(I$6="",0,IF(I$6&lt;Input!$D$16,(I11+0.5*I12)*Input!$D$57,I11*Input!$D$57))</x:f>
        <x:v>285.3666666666666</x:v>
      </x:c>
      <x:c r="J16" s="45" t="n">
        <x:f>IF(J$6="",0,IF(J$6&lt;Input!$D$16,(J11+0.5*J12)*Input!$D$57,J11*Input!$D$57))</x:f>
        <x:v>249.69583333333327</x:v>
      </x:c>
      <x:c r="K16" s="45" t="n">
        <x:f>IF(K$6="",0,IF(K$6&lt;Input!$D$16,(K11+0.5*K12)*Input!$D$57,K11*Input!$D$57))</x:f>
        <x:v>214.02499999999992</x:v>
      </x:c>
      <x:c r="L16" s="45" t="n">
        <x:f>IF(L$6="",0,IF(L$6&lt;Input!$D$16,(L11+0.5*L12)*Input!$D$57,L11*Input!$D$57))</x:f>
        <x:v>178.3541666666666</x:v>
      </x:c>
      <x:c r="M16" s="45" t="n">
        <x:f>IF(M$6="",0,IF(M$6&lt;Input!$D$16,(M11+0.5*M12)*Input!$D$57,M11*Input!$D$57))</x:f>
        <x:v>142.68333333333325</x:v>
      </x:c>
      <x:c r="N16" s="45" t="n">
        <x:f>IF(N$6="",0,IF(N$6&lt;Input!$D$16,(N11+0.5*N12)*Input!$D$57,N11*Input!$D$57))</x:f>
        <x:v>107.01249999999993</x:v>
      </x:c>
      <x:c r="O16" s="45" t="n">
        <x:f>IF(O$6="",0,IF(O$6&lt;Input!$D$16,(O11+0.5*O12)*Input!$D$57,O11*Input!$D$57))</x:f>
        <x:v>71.34166666666661</x:v>
      </x:c>
      <x:c r="P16" s="45" t="n">
        <x:f>IF(P$6="",0,IF(P$6&lt;Input!$D$16,(P11+0.5*P12)*Input!$D$57,P11*Input!$D$57))</x:f>
        <x:v>35.67083333333328</x:v>
      </x:c>
      <x:c r="Q16" s="45" t="n">
        <x:f>IF(Q$6="",0,IF(Q$6&lt;Input!$D$16,(Q11+0.5*Q12)*Input!$D$57,Q11*Input!$D$57))</x:f>
        <x:v>0</x:v>
      </x:c>
      <x:c r="R16" s="45" t="n">
        <x:f>IF(R$6="",0,IF(R$6&lt;Input!$D$16,(R11+0.5*R12)*Input!$D$57,R11*Input!$D$57))</x:f>
        <x:v>0</x:v>
      </x:c>
      <x:c r="S16" s="45" t="n">
        <x:f>IF(S$6="",0,IF(S$6&lt;Input!$D$16,(S11+0.5*S12)*Input!$D$57,S11*Input!$D$57))</x:f>
        <x:v>0</x:v>
      </x:c>
      <x:c r="T16" s="45" t="n">
        <x:f>IF(T$6="",0,IF(T$6&lt;Input!$D$16,(T11+0.5*T12)*Input!$D$57,T11*Input!$D$57))</x:f>
        <x:v>0</x:v>
      </x:c>
      <x:c r="U16" s="45" t="n">
        <x:f>IF(U$6="",0,IF(U$6&lt;Input!$D$16,(U11+0.5*U12)*Input!$D$57,U11*Input!$D$57))</x:f>
        <x:v>0</x:v>
      </x:c>
      <x:c r="V16" s="45" t="n">
        <x:f>IF(V$6="",0,IF(V$6&lt;Input!$D$16,(V11+0.5*V12)*Input!$D$57,V11*Input!$D$57))</x:f>
        <x:v>0</x:v>
      </x:c>
      <x:c r="W16" s="45" t="n">
        <x:f>IF(W$6="",0,IF(W$6&lt;Input!$D$16,(W11+0.5*W12)*Input!$D$57,W11*Input!$D$57))</x:f>
        <x:v>0</x:v>
      </x:c>
      <x:c r="X16" s="45" t="n">
        <x:f>IF(X$6="",0,IF(X$6&lt;Input!$D$16,(X11+0.5*X12)*Input!$D$57,X11*Input!$D$57))</x:f>
        <x:v>0</x:v>
      </x:c>
      <x:c r="Y16" s="45" t="n">
        <x:f>IF(Y$6="",0,IF(Y$6&lt;Input!$D$16,(Y11+0.5*Y12)*Input!$D$57,Y11*Input!$D$57))</x:f>
        <x:v>0</x:v>
      </x:c>
      <x:c r="Z16" s="45" t="n">
        <x:f>IF(Z$6="",0,IF(Z$6&lt;Input!$D$16,(Z11+0.5*Z12)*Input!$D$57,Z11*Input!$D$57))</x:f>
        <x:v>0</x:v>
      </x:c>
      <x:c r="AA16" s="45" t="n">
        <x:f>IF(AA$6="",0,IF(AA$6&lt;Input!$D$16,(AA11+0.5*AA12)*Input!$D$57,AA11*Input!$D$57))</x:f>
        <x:v>0</x:v>
      </x:c>
      <x:c r="AB16" s="45" t="n">
        <x:f>IF(AB$6="",0,IF(AB$6&lt;Input!$D$16,(AB11+0.5*AB12)*Input!$D$57,AB11*Input!$D$57))</x:f>
        <x:v>0</x:v>
      </x:c>
      <x:c r="AC16" s="45" t="n">
        <x:f>IF(AC$6="",0,IF(AC$6&lt;Input!$D$16,(AC11+0.5*AC12)*Input!$D$57,AC11*Input!$D$57))</x:f>
        <x:v>0</x:v>
      </x:c>
      <x:c r="AD16" s="45" t="n">
        <x:f>IF(AD$6="",0,IF(AD$6&lt;Input!$D$16,(AD11+0.5*AD12)*Input!$D$57,AD11*Input!$D$57))</x:f>
        <x:v>0</x:v>
      </x:c>
      <x:c r="AE16" s="45" t="n">
        <x:f>IF(AE$6="",0,IF(AE$6&lt;Input!$D$16,(AE11+0.5*AE12)*Input!$D$57,AE11*Input!$D$57))</x:f>
        <x:v>0</x:v>
      </x:c>
      <x:c r="AF16" s="45" t="n">
        <x:f>IF(AF$6="",0,IF(AF$6&lt;Input!$D$16,(AF11+0.5*AF12)*Input!$D$57,AF11*Input!$D$57))</x:f>
        <x:v>0</x:v>
      </x:c>
    </x:row>
    <x:row r="17" ht="15" customHeight="1">
      <x:c r="A17" s="72" t="s">
        <x:v>507</x:v>
      </x:c>
      <x:c r="B17" s="73" t="s">
        <x:v>508</x:v>
      </x:c>
      <x:c r="C17" s="44" t="n">
        <x:f t="shared" ref="C17:AF17" si="1">IF(C$8&gt;0,C15+C16,0)</x:f>
        <x:v>0</x:v>
      </x:c>
      <x:c r="D17" s="44">
        <x:f t="shared" si="1"/>
        <x:v>0</x:v>
      </x:c>
      <x:c r="E17" s="44">
        <x:f t="shared" si="1"/>
        <x:v>784.75833333333333</x:v>
      </x:c>
      <x:c r="F17" s="44">
        <x:f t="shared" si="1"/>
        <x:v>749.08749999999998</x:v>
      </x:c>
      <x:c r="G17" s="44">
        <x:f t="shared" si="1"/>
        <x:v>713.41666666666663</x:v>
      </x:c>
      <x:c r="H17" s="44">
        <x:f t="shared" si="1"/>
        <x:v>677.74583333333328</x:v>
      </x:c>
      <x:c r="I17" s="44">
        <x:f t="shared" si="1"/>
        <x:v>642.07499999999993</x:v>
      </x:c>
      <x:c r="J17" s="44">
        <x:f t="shared" si="1"/>
        <x:v>606.40416666666658</x:v>
      </x:c>
      <x:c r="K17" s="44">
        <x:f t="shared" si="1"/>
        <x:v>570.73333333333323</x:v>
      </x:c>
      <x:c r="L17" s="44">
        <x:f t="shared" si="1"/>
        <x:v>535.06249999999989</x:v>
      </x:c>
      <x:c r="M17" s="44">
        <x:f t="shared" si="1"/>
        <x:v>499.39166666666654</x:v>
      </x:c>
      <x:c r="N17" s="44">
        <x:f t="shared" si="1"/>
        <x:v>463.72083333333325</x:v>
      </x:c>
      <x:c r="O17" s="44">
        <x:f t="shared" si="1"/>
        <x:v>428.04999999999995</x:v>
      </x:c>
      <x:c r="P17" s="44">
        <x:f t="shared" si="1"/>
        <x:v>392.37916666666604</x:v>
      </x:c>
      <x:c r="Q17" s="44">
        <x:f t="shared" si="1"/>
        <x:v>0</x:v>
      </x:c>
      <x:c r="R17" s="44">
        <x:f t="shared" si="1"/>
        <x:v>0</x:v>
      </x:c>
      <x:c r="S17" s="44">
        <x:f t="shared" si="1"/>
        <x:v>0</x:v>
      </x:c>
      <x:c r="T17" s="44">
        <x:f t="shared" si="1"/>
        <x:v>0</x:v>
      </x:c>
      <x:c r="U17" s="44">
        <x:f t="shared" si="1"/>
        <x:v>0</x:v>
      </x:c>
      <x:c r="V17" s="44">
        <x:f t="shared" si="1"/>
        <x:v>0</x:v>
      </x:c>
      <x:c r="W17" s="44">
        <x:f t="shared" si="1"/>
        <x:v>0</x:v>
      </x:c>
      <x:c r="X17" s="44">
        <x:f t="shared" si="1"/>
        <x:v>0</x:v>
      </x:c>
      <x:c r="Y17" s="44">
        <x:f t="shared" si="1"/>
        <x:v>0</x:v>
      </x:c>
      <x:c r="Z17" s="44">
        <x:f t="shared" si="1"/>
        <x:v>0</x:v>
      </x:c>
      <x:c r="AA17" s="44">
        <x:f t="shared" si="1"/>
        <x:v>0</x:v>
      </x:c>
      <x:c r="AB17" s="44">
        <x:f t="shared" si="1"/>
        <x:v>0</x:v>
      </x:c>
      <x:c r="AC17" s="44">
        <x:f t="shared" si="1"/>
        <x:v>0</x:v>
      </x:c>
      <x:c r="AD17" s="44">
        <x:f t="shared" si="1"/>
        <x:v>0</x:v>
      </x:c>
      <x:c r="AE17" s="44">
        <x:f t="shared" si="1"/>
        <x:v>0</x:v>
      </x:c>
      <x:c r="AF17" s="44">
        <x:f t="shared" si="1"/>
        <x:v>0</x:v>
      </x:c>
    </x:row>
    <x:row r="18" ht="15" customHeight="1">
      <x:c r="A18" s="72" t="s">
        <x:v>509</x:v>
      </x:c>
      <x:c r="B18" s="73" t="s">
        <x:v>510</x:v>
      </x:c>
      <x:c r="C18" s="44" t="n">
        <x:f t="shared" ref="C18:AF18" si="2">MAX(0,C11+C12-C15)</x:f>
        <x:v>1712.1999999999998</x:v>
      </x:c>
      <x:c r="D18" s="44">
        <x:f t="shared" si="2"/>
        <x:v>4280.5</x:v>
      </x:c>
      <x:c r="E18" s="44">
        <x:f t="shared" si="2"/>
        <x:v>3923.7916666666665</x:v>
      </x:c>
      <x:c r="F18" s="44">
        <x:f t="shared" si="2"/>
        <x:v>3567.083333333333</x:v>
      </x:c>
      <x:c r="G18" s="44">
        <x:f t="shared" si="2"/>
        <x:v>3210.3749999999995</x:v>
      </x:c>
      <x:c r="H18" s="44">
        <x:f t="shared" si="2"/>
        <x:v>2853.6666666666661</x:v>
      </x:c>
      <x:c r="I18" s="44">
        <x:f t="shared" si="2"/>
        <x:v>2496.9583333333326</x:v>
      </x:c>
      <x:c r="J18" s="44">
        <x:f t="shared" si="2"/>
        <x:v>2140.2499999999991</x:v>
      </x:c>
      <x:c r="K18" s="44">
        <x:f t="shared" si="2"/>
        <x:v>1783.5416666666658</x:v>
      </x:c>
      <x:c r="L18" s="44">
        <x:f t="shared" si="2"/>
        <x:v>1426.8333333333326</x:v>
      </x:c>
      <x:c r="M18" s="44">
        <x:f t="shared" si="2"/>
        <x:v>1070.1249999999993</x:v>
      </x:c>
      <x:c r="N18" s="44">
        <x:f t="shared" si="2"/>
        <x:v>713.41666666666606</x:v>
      </x:c>
      <x:c r="O18" s="44">
        <x:f t="shared" si="2"/>
        <x:v>356.70833333333275</x:v>
      </x:c>
      <x:c r="P18" s="44">
        <x:f t="shared" si="2"/>
        <x:v>0</x:v>
      </x:c>
      <x:c r="Q18" s="44">
        <x:f t="shared" si="2"/>
        <x:v>0</x:v>
      </x:c>
      <x:c r="R18" s="44">
        <x:f t="shared" si="2"/>
        <x:v>0</x:v>
      </x:c>
      <x:c r="S18" s="44">
        <x:f t="shared" si="2"/>
        <x:v>0</x:v>
      </x:c>
      <x:c r="T18" s="44">
        <x:f t="shared" si="2"/>
        <x:v>0</x:v>
      </x:c>
      <x:c r="U18" s="44">
        <x:f t="shared" si="2"/>
        <x:v>0</x:v>
      </x:c>
      <x:c r="V18" s="44">
        <x:f t="shared" si="2"/>
        <x:v>0</x:v>
      </x:c>
      <x:c r="W18" s="44">
        <x:f t="shared" si="2"/>
        <x:v>0</x:v>
      </x:c>
      <x:c r="X18" s="44">
        <x:f t="shared" si="2"/>
        <x:v>0</x:v>
      </x:c>
      <x:c r="Y18" s="44">
        <x:f t="shared" si="2"/>
        <x:v>0</x:v>
      </x:c>
      <x:c r="Z18" s="44">
        <x:f t="shared" si="2"/>
        <x:v>0</x:v>
      </x:c>
      <x:c r="AA18" s="44">
        <x:f t="shared" si="2"/>
        <x:v>0</x:v>
      </x:c>
      <x:c r="AB18" s="44">
        <x:f t="shared" si="2"/>
        <x:v>0</x:v>
      </x:c>
      <x:c r="AC18" s="44">
        <x:f t="shared" si="2"/>
        <x:v>0</x:v>
      </x:c>
      <x:c r="AD18" s="44">
        <x:f t="shared" si="2"/>
        <x:v>0</x:v>
      </x:c>
      <x:c r="AE18" s="44">
        <x:f t="shared" si="2"/>
        <x:v>0</x:v>
      </x:c>
      <x:c r="AF18" s="44">
        <x:f t="shared" si="2"/>
        <x:v>0</x:v>
      </x:c>
    </x:row>
    <x:row r="19" ht="15" customHeight="1">
      <x:c r="A19" s="72" t="s">
        <x:v>511</x:v>
      </x:c>
      <x:c r="B19" s="72" t="s">
        <x:v>346</x:v>
      </x:c>
      <x:c r="C19" s="45" t="n">
        <x:f>Input!$D$63*Input!$D$61</x:f>
        <x:v>42.805</x:v>
      </x:c>
      <x:c r="D19" s="45" t="n">
        <x:f>0</x:f>
        <x:v>0</x:v>
      </x:c>
      <x:c r="E19" s="45" t="n">
        <x:f>0</x:f>
        <x:v>0</x:v>
      </x:c>
      <x:c r="F19" s="45" t="n">
        <x:f>0</x:f>
        <x:v>0</x:v>
      </x:c>
      <x:c r="G19" s="45" t="n">
        <x:f>0</x:f>
        <x:v>0</x:v>
      </x:c>
      <x:c r="H19" s="45" t="n">
        <x:f>0</x:f>
        <x:v>0</x:v>
      </x:c>
      <x:c r="I19" s="45" t="n">
        <x:f>0</x:f>
        <x:v>0</x:v>
      </x:c>
      <x:c r="J19" s="45" t="n">
        <x:f>0</x:f>
        <x:v>0</x:v>
      </x:c>
      <x:c r="K19" s="45" t="n">
        <x:f>0</x:f>
        <x:v>0</x:v>
      </x:c>
      <x:c r="L19" s="45" t="n">
        <x:f>0</x:f>
        <x:v>0</x:v>
      </x:c>
      <x:c r="M19" s="45" t="n">
        <x:f>0</x:f>
        <x:v>0</x:v>
      </x:c>
      <x:c r="N19" s="45" t="n">
        <x:f>0</x:f>
        <x:v>0</x:v>
      </x:c>
      <x:c r="O19" s="45" t="n">
        <x:f>0</x:f>
        <x:v>0</x:v>
      </x:c>
      <x:c r="P19" s="45" t="n">
        <x:f>0</x:f>
        <x:v>0</x:v>
      </x:c>
      <x:c r="Q19" s="45" t="n">
        <x:f>0</x:f>
        <x:v>0</x:v>
      </x:c>
      <x:c r="R19" s="45" t="n">
        <x:f>0</x:f>
        <x:v>0</x:v>
      </x:c>
      <x:c r="S19" s="45" t="n">
        <x:f>0</x:f>
        <x:v>0</x:v>
      </x:c>
      <x:c r="T19" s="45" t="n">
        <x:f>0</x:f>
        <x:v>0</x:v>
      </x:c>
      <x:c r="U19" s="45" t="n">
        <x:f>0</x:f>
        <x:v>0</x:v>
      </x:c>
      <x:c r="V19" s="45" t="n">
        <x:f>0</x:f>
        <x:v>0</x:v>
      </x:c>
      <x:c r="W19" s="45" t="n">
        <x:f>0</x:f>
        <x:v>0</x:v>
      </x:c>
      <x:c r="X19" s="45" t="n">
        <x:f>0</x:f>
        <x:v>0</x:v>
      </x:c>
      <x:c r="Y19" s="45" t="n">
        <x:f>0</x:f>
        <x:v>0</x:v>
      </x:c>
      <x:c r="Z19" s="45" t="n">
        <x:f>0</x:f>
        <x:v>0</x:v>
      </x:c>
      <x:c r="AA19" s="45" t="n">
        <x:f>0</x:f>
        <x:v>0</x:v>
      </x:c>
      <x:c r="AB19" s="45" t="n">
        <x:f>0</x:f>
        <x:v>0</x:v>
      </x:c>
      <x:c r="AC19" s="45" t="n">
        <x:f>0</x:f>
        <x:v>0</x:v>
      </x:c>
      <x:c r="AD19" s="45" t="n">
        <x:f>0</x:f>
        <x:v>0</x:v>
      </x:c>
      <x:c r="AE19" s="45" t="n">
        <x:f>0</x:f>
        <x:v>0</x:v>
      </x:c>
      <x:c r="AF19" s="45" t="n">
        <x:f>0</x:f>
        <x:v>0</x:v>
      </x:c>
    </x:row>
    <x:row r="20" ht="15" customHeight="1">
      <x:c r="A20" s="70"/>
      <x:c r="B20" s="70"/>
      <x:c r="C20" s="65"/>
      <x:c r="D20" s="65"/>
      <x:c r="E20" s="65"/>
      <x:c r="F20" s="65"/>
      <x:c r="G20" s="65"/>
      <x:c r="H20" s="65"/>
      <x:c r="I20" s="65"/>
      <x:c r="J20" s="65"/>
      <x:c r="K20" s="65"/>
      <x:c r="L20" s="65"/>
      <x:c r="M20" s="65"/>
      <x:c r="N20" s="65"/>
      <x:c r="O20" s="65"/>
      <x:c r="P20" s="65"/>
      <x:c r="Q20" s="65"/>
      <x:c r="R20" s="65"/>
      <x:c r="S20" s="65"/>
      <x:c r="T20" s="65"/>
      <x:c r="U20" s="65"/>
      <x:c r="V20" s="65"/>
      <x:c r="W20" s="65"/>
      <x:c r="X20" s="65"/>
      <x:c r="Y20" s="65"/>
      <x:c r="Z20" s="65"/>
      <x:c r="AA20" s="65"/>
      <x:c r="AB20" s="65"/>
      <x:c r="AC20" s="65"/>
      <x:c r="AD20" s="65"/>
      <x:c r="AE20" s="65"/>
      <x:c r="AF20" s="65"/>
    </x:row>
    <x:row r="21" ht="15" customHeight="1">
      <x:c r="A21" s="136" t="s">
        <x:v>512</x:v>
      </x:c>
      <x:c r="B21" s="136"/>
      <x:c r="C21" s="137"/>
      <x:c r="D21" s="137"/>
      <x:c r="E21" s="137"/>
      <x:c r="F21" s="137"/>
      <x:c r="G21" s="137"/>
      <x:c r="H21" s="137"/>
      <x:c r="I21" s="137"/>
      <x:c r="J21" s="137"/>
      <x:c r="K21" s="137"/>
      <x:c r="L21" s="137"/>
      <x:c r="M21" s="137"/>
      <x:c r="N21" s="137"/>
      <x:c r="O21" s="137"/>
      <x:c r="P21" s="137"/>
      <x:c r="Q21" s="137"/>
      <x:c r="R21" s="137"/>
      <x:c r="S21" s="137"/>
      <x:c r="T21" s="137"/>
      <x:c r="U21" s="137"/>
      <x:c r="V21" s="137"/>
      <x:c r="W21" s="137"/>
      <x:c r="X21" s="137"/>
      <x:c r="Y21" s="137"/>
      <x:c r="Z21" s="137"/>
      <x:c r="AA21" s="137"/>
      <x:c r="AB21" s="137"/>
      <x:c r="AC21" s="137"/>
      <x:c r="AD21" s="137"/>
      <x:c r="AE21" s="137"/>
      <x:c r="AF21" s="137"/>
    </x:row>
    <x:row r="22" ht="15" customHeight="1">
      <x:c r="A22" s="72" t="s">
        <x:v>513</x:v>
      </x:c>
      <x:c r="B22" s="72" t="s">
        <x:v>19</x:v>
      </x:c>
      <x:c r="C22" s="45" t="n">
        <x:f>Project_CF!C18</x:f>
        <x:v>0</x:v>
      </x:c>
      <x:c r="D22" s="45" t="n">
        <x:f>Project_CF!D18</x:f>
        <x:v>0</x:v>
      </x:c>
      <x:c r="E22" s="45" t="n">
        <x:f>Project_CF!E18</x:f>
        <x:v>732.672496</x:v>
      </x:c>
      <x:c r="F22" s="45" t="n">
        <x:f>Project_CF!F18</x:f>
        <x:v>745.5818020281602</x:v>
      </x:c>
      <x:c r="G22" s="45" t="n">
        <x:f>Project_CF!G18</x:f>
        <x:v>758.7179693525859</x:v>
      </x:c>
      <x:c r="H22" s="45" t="n">
        <x:f>Project_CF!H18</x:f>
        <x:v>772.0849726053582</x:v>
      </x:c>
      <x:c r="I22" s="45" t="n">
        <x:f>Project_CF!I18</x:f>
        <x:v>762.6531255166637</x:v>
      </x:c>
      <x:c r="J22" s="45" t="n">
        <x:f>Project_CF!J18</x:f>
        <x:v>775.8019593942035</x:v>
      </x:c>
      <x:c r="K22" s="45" t="n">
        <x:f>Project_CF!K18</x:f>
        <x:v>789.1818152230591</x:v>
      </x:c>
      <x:c r="L22" s="45" t="n">
        <x:f>Project_CF!L18</x:f>
        <x:v>802.7967395353734</x:v>
      </x:c>
      <x:c r="M22" s="45" t="n">
        <x:f>Project_CF!M18</x:f>
        <x:v>816.6508494865653</x:v>
      </x:c>
      <x:c r="N22" s="45" t="n">
        <x:f>Project_CF!N18</x:f>
        <x:v>830.7483340826733</x:v>
      </x:c>
      <x:c r="O22" s="45" t="n">
        <x:f>Project_CF!O18</x:f>
        <x:v>845.093455428924</x:v>
      </x:c>
      <x:c r="P22" s="45" t="n">
        <x:f>Project_CF!P18</x:f>
        <x:v>859.6905499998855</x:v>
      </x:c>
      <x:c r="Q22" s="45" t="n">
        <x:f>Project_CF!Q18</x:f>
        <x:v>874.5440299315812</x:v>
      </x:c>
      <x:c r="R22" s="45" t="n">
        <x:f>Project_CF!R18</x:f>
        <x:v>859.9401667393054</x:v>
      </x:c>
      <x:c r="S22" s="45" t="n">
        <x:f>Project_CF!S18</x:f>
        <x:v>874.5105000780432</x:v>
      </x:c>
      <x:c r="T22" s="45" t="n">
        <x:f>Project_CF!T18</x:f>
        <x:v>826.6339897355074</x:v>
      </x:c>
      <x:c r="U22" s="45" t="n">
        <x:f>Project_CF!U18</x:f>
        <x:v>840.0442654823851</x:v>
      </x:c>
      <x:c r="V22" s="45" t="n">
        <x:f>Project_CF!V18</x:f>
        <x:v>853.6900172475414</x:v>
      </x:c>
      <x:c r="W22" s="45" t="n">
        <x:f>Project_CF!W18</x:f>
        <x:v>867.5753667295811</x:v>
      </x:c>
      <x:c r="X22" s="45" t="n">
        <x:f>Project_CF!X18</x:f>
        <x:v>881.704507503804</x:v>
      </x:c>
      <x:c r="Y22" s="45" t="n">
        <x:f>Project_CF!Y18</x:f>
        <x:v>0</x:v>
      </x:c>
      <x:c r="Z22" s="45" t="n">
        <x:f>Project_CF!Z18</x:f>
        <x:v>0</x:v>
      </x:c>
      <x:c r="AA22" s="45" t="n">
        <x:f>Project_CF!AA18</x:f>
        <x:v>0</x:v>
      </x:c>
      <x:c r="AB22" s="45" t="n">
        <x:f>Project_CF!AB18</x:f>
        <x:v>0</x:v>
      </x:c>
      <x:c r="AC22" s="45" t="n">
        <x:f>Project_CF!AC18</x:f>
        <x:v>0</x:v>
      </x:c>
      <x:c r="AD22" s="45" t="n">
        <x:f>Project_CF!AD18</x:f>
        <x:v>0</x:v>
      </x:c>
      <x:c r="AE22" s="45" t="n">
        <x:f>Project_CF!AE18</x:f>
        <x:v>0</x:v>
      </x:c>
      <x:c r="AF22" s="45" t="n">
        <x:f>Project_CF!AF18</x:f>
        <x:v>0</x:v>
      </x:c>
    </x:row>
    <x:row r="23" ht="15" customHeight="1">
      <x:c r="A23" s="72" t="s">
        <x:v>514</x:v>
      </x:c>
      <x:c r="B23" s="73" t="s">
        <x:v>39</x:v>
      </x:c>
      <x:c r="C23" s="49" t="n">
        <x:f t="shared" ref="C23:AF23" si="3">IF(C17=0,0,C22/C17)</x:f>
        <x:v>0</x:v>
      </x:c>
      <x:c r="D23" s="49">
        <x:f t="shared" si="3"/>
        <x:v>0</x:v>
      </x:c>
      <x:c r="E23" s="49">
        <x:f t="shared" si="3"/>
        <x:v>0.93362818192437169</x:v>
      </x:c>
      <x:c r="F23" s="49">
        <x:f t="shared" si="3"/>
        <x:v>0.99532004208875491</x:v>
      </x:c>
      <x:c r="G23" s="49">
        <x:f t="shared" si="3"/>
        <x:v>1.0634990809754739</x:v>
      </x:c>
      <x:c r="H23" s="49">
        <x:f t="shared" si="3"/>
        <x:v>1.1391954544494063</x:v>
      </x:c>
      <x:c r="I23" s="49">
        <x:f t="shared" si="3"/>
        <x:v>1.1877944562810634</x:v>
      </x:c>
      <x:c r="J23" s="49">
        <x:f t="shared" si="3"/>
        <x:v>1.2793480026014614</x:v>
      </x:c>
      <x:c r="K23" s="49">
        <x:f t="shared" si="3"/>
        <x:v>1.3827505231101376</x:v>
      </x:c>
      <x:c r="L23" s="49">
        <x:f t="shared" si="3"/>
        <x:v>1.5003793753727341</x:v>
      </x:c>
      <x:c r="M23" s="49">
        <x:f t="shared" si="3"/>
        <x:v>1.6352913033922583</x:v>
      </x:c>
      <x:c r="N23" s="49">
        <x:f t="shared" si="3"/>
        <x:v>1.7914837427317227</x:v>
      </x:c>
      <x:c r="O23" s="49">
        <x:f t="shared" si="3"/>
        <x:v>1.9742867782476909</x:v>
      </x:c>
      <x:c r="P23" s="49">
        <x:f t="shared" si="3"/>
        <x:v>2.1909688970062211</x:v>
      </x:c>
      <x:c r="Q23" s="49">
        <x:f t="shared" si="3"/>
        <x:v>0</x:v>
      </x:c>
      <x:c r="R23" s="49">
        <x:f t="shared" si="3"/>
        <x:v>0</x:v>
      </x:c>
      <x:c r="S23" s="49">
        <x:f t="shared" si="3"/>
        <x:v>0</x:v>
      </x:c>
      <x:c r="T23" s="49">
        <x:f t="shared" si="3"/>
        <x:v>0</x:v>
      </x:c>
      <x:c r="U23" s="49">
        <x:f t="shared" si="3"/>
        <x:v>0</x:v>
      </x:c>
      <x:c r="V23" s="49">
        <x:f t="shared" si="3"/>
        <x:v>0</x:v>
      </x:c>
      <x:c r="W23" s="49">
        <x:f t="shared" si="3"/>
        <x:v>0</x:v>
      </x:c>
      <x:c r="X23" s="49">
        <x:f t="shared" si="3"/>
        <x:v>0</x:v>
      </x:c>
      <x:c r="Y23" s="49">
        <x:f t="shared" si="3"/>
        <x:v>0</x:v>
      </x:c>
      <x:c r="Z23" s="49">
        <x:f t="shared" si="3"/>
        <x:v>0</x:v>
      </x:c>
      <x:c r="AA23" s="49">
        <x:f t="shared" si="3"/>
        <x:v>0</x:v>
      </x:c>
      <x:c r="AB23" s="49">
        <x:f t="shared" si="3"/>
        <x:v>0</x:v>
      </x:c>
      <x:c r="AC23" s="49">
        <x:f t="shared" si="3"/>
        <x:v>0</x:v>
      </x:c>
      <x:c r="AD23" s="49">
        <x:f t="shared" si="3"/>
        <x:v>0</x:v>
      </x:c>
      <x:c r="AE23" s="49">
        <x:f t="shared" si="3"/>
        <x:v>0</x:v>
      </x:c>
      <x:c r="AF23" s="49">
        <x:f t="shared" si="3"/>
        <x:v>0</x:v>
      </x:c>
    </x:row>
    <x:row r="24" ht="15" customHeight="1">
      <x:c r="A24" s="72" t="s">
        <x:v>515</x:v>
      </x:c>
      <x:c r="B24" s="72" t="s">
        <x:v>516</x:v>
      </x:c>
      <x:c r="C24" s="50" t="str">
        <x:f t="shared" ref="C24:AF24" si="4">IF(C17&gt;0,C23,"")</x:f>
      </x:c>
      <x:c r="D24" s="50" t="str">
        <x:f t="shared" si="4"/>
      </x:c>
      <x:c r="E24" s="50">
        <x:f t="shared" si="4"/>
        <x:v>0.93362818192437169</x:v>
      </x:c>
      <x:c r="F24" s="50">
        <x:f t="shared" si="4"/>
        <x:v>0.99532004208875491</x:v>
      </x:c>
      <x:c r="G24" s="50">
        <x:f t="shared" si="4"/>
        <x:v>1.0634990809754739</x:v>
      </x:c>
      <x:c r="H24" s="50">
        <x:f t="shared" si="4"/>
        <x:v>1.1391954544494063</x:v>
      </x:c>
      <x:c r="I24" s="50">
        <x:f t="shared" si="4"/>
        <x:v>1.1877944562810634</x:v>
      </x:c>
      <x:c r="J24" s="50">
        <x:f t="shared" si="4"/>
        <x:v>1.2793480026014614</x:v>
      </x:c>
      <x:c r="K24" s="50">
        <x:f t="shared" si="4"/>
        <x:v>1.3827505231101376</x:v>
      </x:c>
      <x:c r="L24" s="50">
        <x:f t="shared" si="4"/>
        <x:v>1.5003793753727341</x:v>
      </x:c>
      <x:c r="M24" s="50">
        <x:f t="shared" si="4"/>
        <x:v>1.6352913033922583</x:v>
      </x:c>
      <x:c r="N24" s="50">
        <x:f t="shared" si="4"/>
        <x:v>1.7914837427317227</x:v>
      </x:c>
      <x:c r="O24" s="50">
        <x:f t="shared" si="4"/>
        <x:v>1.9742867782476909</x:v>
      </x:c>
      <x:c r="P24" s="50">
        <x:f t="shared" si="4"/>
        <x:v>2.1909688970062211</x:v>
      </x:c>
      <x:c r="Q24" s="50" t="str">
        <x:f t="shared" si="4"/>
      </x:c>
      <x:c r="R24" s="50" t="str">
        <x:f t="shared" si="4"/>
      </x:c>
      <x:c r="S24" s="50" t="str">
        <x:f t="shared" si="4"/>
      </x:c>
      <x:c r="T24" s="50" t="str">
        <x:f t="shared" si="4"/>
      </x:c>
      <x:c r="U24" s="50" t="str">
        <x:f t="shared" si="4"/>
      </x:c>
      <x:c r="V24" s="50" t="str">
        <x:f t="shared" si="4"/>
      </x:c>
      <x:c r="W24" s="50" t="str">
        <x:f t="shared" si="4"/>
      </x:c>
      <x:c r="X24" s="50" t="str">
        <x:f t="shared" si="4"/>
      </x:c>
      <x:c r="Y24" s="50" t="str">
        <x:f t="shared" si="4"/>
      </x:c>
      <x:c r="Z24" s="50" t="str">
        <x:f t="shared" si="4"/>
      </x:c>
      <x:c r="AA24" s="50" t="str">
        <x:f t="shared" si="4"/>
      </x:c>
      <x:c r="AB24" s="50" t="str">
        <x:f t="shared" si="4"/>
      </x:c>
      <x:c r="AC24" s="50" t="str">
        <x:f t="shared" si="4"/>
      </x:c>
      <x:c r="AD24" s="50" t="str">
        <x:f t="shared" si="4"/>
      </x:c>
      <x:c r="AE24" s="50" t="str">
        <x:f t="shared" si="4"/>
      </x:c>
      <x:c r="AF24" s="50" t="str">
        <x:f t="shared" si="4"/>
      </x:c>
    </x:row>
    <x:row r="25" ht="15" customHeight="1">
      <x:c r="A25" s="72" t="s">
        <x:v>517</x:v>
      </x:c>
      <x:c r="B25" s="72" t="s">
        <x:v>518</x:v>
      </x:c>
      <x:c r="C25" s="45" t="n">
        <x:f>IF(AND(C13&gt;=1,C13&lt;=Input!$D$58),C22/(1+Input!$D$57)^C13,0)</x:f>
        <x:v>0</x:v>
      </x:c>
      <x:c r="D25" s="45" t="n">
        <x:f>IF(AND(D13&gt;=1,D13&lt;=Input!$D$58),D22/(1+Input!$D$57)^D13,0)</x:f>
        <x:v>0</x:v>
      </x:c>
      <x:c r="E25" s="45" t="n">
        <x:f>IF(AND(E13&gt;=1,E13&lt;=Input!$D$58),E22/(1+Input!$D$57)^E13,0)</x:f>
        <x:v>666.0659054545454</x:v>
      </x:c>
      <x:c r="F25" s="45" t="n">
        <x:f>IF(AND(F13&gt;=1,F13&lt;=Input!$D$58),F22/(1+Input!$D$57)^F13,0)</x:f>
        <x:v>616.1833074612892</x:v>
      </x:c>
      <x:c r="G25" s="45" t="n">
        <x:f>IF(AND(G13&gt;=1,G13&lt;=Input!$D$58),G22/(1+Input!$D$57)^G13,0)</x:f>
        <x:v>570.0360400845873</x:v>
      </x:c>
      <x:c r="H25" s="45" t="n">
        <x:f>IF(AND(H13&gt;=1,H13&lt;=Input!$D$58),H22/(1+Input!$D$57)^H13,0)</x:f>
        <x:v>527.3444249746315</x:v>
      </x:c>
      <x:c r="I25" s="45" t="n">
        <x:f>IF(AND(I13&gt;=1,I13&lt;=Input!$D$58),I22/(1+Input!$D$57)^I13,0)</x:f>
        <x:v>473.5475877310066</x:v>
      </x:c>
      <x:c r="J25" s="45" t="n">
        <x:f>IF(AND(J13&gt;=1,J13&lt;=Input!$D$58),J22/(1+Input!$D$57)^J13,0)</x:f>
        <x:v>437.91998096266695</x:v>
      </x:c>
      <x:c r="K25" s="45" t="n">
        <x:f>IF(AND(K13&gt;=1,K13&lt;=Input!$D$58),K22/(1+Input!$D$57)^K13,0)</x:f>
        <x:v>404.97505524175807</x:v>
      </x:c>
      <x:c r="L25" s="45" t="n">
        <x:f>IF(AND(L13&gt;=1,L13&lt;=Input!$D$58),L22/(1+Input!$D$57)^L13,0)</x:f>
        <x:v>374.51060380156247</x:v>
      </x:c>
      <x:c r="M25" s="45" t="n">
        <x:f>IF(AND(M13&gt;=1,M13&lt;=Input!$D$58),M22/(1+Input!$D$57)^M13,0)</x:f>
        <x:v>346.3396803091187</x:v>
      </x:c>
      <x:c r="N25" s="45" t="n">
        <x:f>IF(AND(N13&gt;=1,N13&lt;=Input!$D$58),N22/(1+Input!$D$57)^N13,0)</x:f>
        <x:v>320.2894454103372</x:v>
      </x:c>
      <x:c r="O25" s="45" t="n">
        <x:f>IF(AND(O13&gt;=1,O13&lt;=Input!$D$58),O22/(1+Input!$D$57)^O13,0)</x:f>
        <x:v>296.20010061948767</x:v>
      </x:c>
      <x:c r="P25" s="45" t="n">
        <x:f>IF(AND(P13&gt;=1,P13&lt;=Input!$D$58),P22/(1+Input!$D$57)^P13,0)</x:f>
        <x:v>273.92390292432964</x:v>
      </x:c>
      <x:c r="Q25" s="45" t="n">
        <x:f>IF(AND(Q13&gt;=1,Q13&lt;=Input!$D$58),Q22/(1+Input!$D$57)^Q13,0)</x:f>
        <x:v>0</x:v>
      </x:c>
      <x:c r="R25" s="45" t="n">
        <x:f>IF(AND(R13&gt;=1,R13&lt;=Input!$D$58),R22/(1+Input!$D$57)^R13,0)</x:f>
        <x:v>0</x:v>
      </x:c>
      <x:c r="S25" s="45" t="n">
        <x:f>IF(AND(S13&gt;=1,S13&lt;=Input!$D$58),S22/(1+Input!$D$57)^S13,0)</x:f>
        <x:v>0</x:v>
      </x:c>
      <x:c r="T25" s="45" t="n">
        <x:f>IF(AND(T13&gt;=1,T13&lt;=Input!$D$58),T22/(1+Input!$D$57)^T13,0)</x:f>
        <x:v>0</x:v>
      </x:c>
      <x:c r="U25" s="45" t="n">
        <x:f>IF(AND(U13&gt;=1,U13&lt;=Input!$D$58),U22/(1+Input!$D$57)^U13,0)</x:f>
        <x:v>0</x:v>
      </x:c>
      <x:c r="V25" s="45" t="n">
        <x:f>IF(AND(V13&gt;=1,V13&lt;=Input!$D$58),V22/(1+Input!$D$57)^V13,0)</x:f>
        <x:v>0</x:v>
      </x:c>
      <x:c r="W25" s="45" t="n">
        <x:f>IF(AND(W13&gt;=1,W13&lt;=Input!$D$58),W22/(1+Input!$D$57)^W13,0)</x:f>
        <x:v>0</x:v>
      </x:c>
      <x:c r="X25" s="45" t="n">
        <x:f>IF(AND(X13&gt;=1,X13&lt;=Input!$D$58),X22/(1+Input!$D$57)^X13,0)</x:f>
        <x:v>0</x:v>
      </x:c>
      <x:c r="Y25" s="45" t="n">
        <x:f>IF(AND(Y13&gt;=1,Y13&lt;=Input!$D$58),Y22/(1+Input!$D$57)^Y13,0)</x:f>
        <x:v>0</x:v>
      </x:c>
      <x:c r="Z25" s="45" t="n">
        <x:f>IF(AND(Z13&gt;=1,Z13&lt;=Input!$D$58),Z22/(1+Input!$D$57)^Z13,0)</x:f>
        <x:v>0</x:v>
      </x:c>
      <x:c r="AA25" s="45" t="n">
        <x:f>IF(AND(AA13&gt;=1,AA13&lt;=Input!$D$58),AA22/(1+Input!$D$57)^AA13,0)</x:f>
        <x:v>0</x:v>
      </x:c>
      <x:c r="AB25" s="45" t="n">
        <x:f>IF(AND(AB13&gt;=1,AB13&lt;=Input!$D$58),AB22/(1+Input!$D$57)^AB13,0)</x:f>
        <x:v>0</x:v>
      </x:c>
      <x:c r="AC25" s="45" t="n">
        <x:f>IF(AND(AC13&gt;=1,AC13&lt;=Input!$D$58),AC22/(1+Input!$D$57)^AC13,0)</x:f>
        <x:v>0</x:v>
      </x:c>
      <x:c r="AD25" s="45" t="n">
        <x:f>IF(AND(AD13&gt;=1,AD13&lt;=Input!$D$58),AD22/(1+Input!$D$57)^AD13,0)</x:f>
        <x:v>0</x:v>
      </x:c>
      <x:c r="AE25" s="45" t="n">
        <x:f>IF(AND(AE13&gt;=1,AE13&lt;=Input!$D$58),AE22/(1+Input!$D$57)^AE13,0)</x:f>
        <x:v>0</x:v>
      </x:c>
      <x:c r="AF25" s="45" t="n">
        <x:f>IF(AND(AF13&gt;=1,AF13&lt;=Input!$D$58),AF22/(1+Input!$D$57)^AF13,0)</x:f>
        <x:v>0</x:v>
      </x:c>
    </x:row>
    <x:row r="26" ht="15" customHeight="1">
      <x:c r="A26" s="70"/>
      <x:c r="B26" s="70"/>
      <x:c r="C26" s="65"/>
      <x:c r="D26" s="65"/>
      <x:c r="E26" s="65"/>
      <x:c r="F26" s="65"/>
      <x:c r="G26" s="65"/>
      <x:c r="H26" s="65"/>
      <x:c r="I26" s="65"/>
      <x:c r="J26" s="65"/>
      <x:c r="K26" s="65"/>
      <x:c r="L26" s="65"/>
      <x:c r="M26" s="65"/>
      <x:c r="N26" s="65"/>
      <x:c r="O26" s="65"/>
      <x:c r="P26" s="65"/>
      <x:c r="Q26" s="65"/>
      <x:c r="R26" s="65"/>
      <x:c r="S26" s="65"/>
      <x:c r="T26" s="65"/>
      <x:c r="U26" s="65"/>
      <x:c r="V26" s="65"/>
      <x:c r="W26" s="65"/>
      <x:c r="X26" s="65"/>
      <x:c r="Y26" s="65"/>
      <x:c r="Z26" s="65"/>
      <x:c r="AA26" s="65"/>
      <x:c r="AB26" s="65"/>
      <x:c r="AC26" s="65"/>
      <x:c r="AD26" s="65"/>
      <x:c r="AE26" s="65"/>
      <x:c r="AF26" s="65"/>
    </x:row>
    <x:row r="27" ht="15" customHeight="1">
      <x:c r="A27" s="136" t="s">
        <x:v>519</x:v>
      </x:c>
      <x:c r="B27" s="136"/>
      <x:c r="C27" s="137"/>
      <x:c r="D27" s="137"/>
      <x:c r="E27" s="137"/>
      <x:c r="F27" s="137"/>
      <x:c r="G27" s="137"/>
      <x:c r="H27" s="137"/>
      <x:c r="I27" s="137"/>
      <x:c r="J27" s="137"/>
      <x:c r="K27" s="137"/>
      <x:c r="L27" s="137"/>
      <x:c r="M27" s="137"/>
      <x:c r="N27" s="137"/>
      <x:c r="O27" s="137"/>
      <x:c r="P27" s="137"/>
      <x:c r="Q27" s="137"/>
      <x:c r="R27" s="137"/>
      <x:c r="S27" s="137"/>
      <x:c r="T27" s="137"/>
      <x:c r="U27" s="137"/>
      <x:c r="V27" s="137"/>
      <x:c r="W27" s="137"/>
      <x:c r="X27" s="137"/>
      <x:c r="Y27" s="137"/>
      <x:c r="Z27" s="137"/>
      <x:c r="AA27" s="137"/>
      <x:c r="AB27" s="137"/>
      <x:c r="AC27" s="137"/>
      <x:c r="AD27" s="137"/>
      <x:c r="AE27" s="137"/>
      <x:c r="AF27" s="137"/>
    </x:row>
    <x:row r="28" ht="15" customHeight="1">
      <x:c r="A28" s="70" t="s">
        <x:v>520</x:v>
      </x:c>
      <x:c r="B28" s="70" t="s">
        <x:v>468</x:v>
      </x:c>
      <x:c r="C28" s="68" t="n">
        <x:f>SUM(C12:AF12)</x:f>
        <x:v>4280.5</x:v>
      </x:c>
      <x:c r="D28" s="65"/>
      <x:c r="E28" s="65"/>
      <x:c r="F28" s="65"/>
      <x:c r="G28" s="65"/>
      <x:c r="H28" s="65"/>
      <x:c r="I28" s="65"/>
      <x:c r="J28" s="65"/>
      <x:c r="K28" s="65"/>
      <x:c r="L28" s="65"/>
      <x:c r="M28" s="65"/>
      <x:c r="N28" s="65"/>
      <x:c r="O28" s="65"/>
      <x:c r="P28" s="65"/>
      <x:c r="Q28" s="65"/>
      <x:c r="R28" s="65"/>
      <x:c r="S28" s="65"/>
      <x:c r="T28" s="65"/>
      <x:c r="U28" s="65"/>
      <x:c r="V28" s="65"/>
      <x:c r="W28" s="65"/>
      <x:c r="X28" s="65"/>
      <x:c r="Y28" s="65"/>
      <x:c r="Z28" s="65"/>
      <x:c r="AA28" s="65"/>
      <x:c r="AB28" s="65"/>
      <x:c r="AC28" s="65"/>
      <x:c r="AD28" s="65"/>
      <x:c r="AE28" s="65"/>
      <x:c r="AF28" s="65"/>
    </x:row>
    <x:row r="29" ht="15" customHeight="1">
      <x:c r="A29" s="70" t="s">
        <x:v>521</x:v>
      </x:c>
      <x:c r="B29" s="70" t="s">
        <x:v>414</x:v>
      </x:c>
      <x:c r="C29" s="68" t="n">
        <x:f>SUM(C16:AF16)</x:f>
        <x:v>3167.5699999999993</x:v>
      </x:c>
      <x:c r="D29" s="65"/>
      <x:c r="E29" s="65"/>
      <x:c r="F29" s="65"/>
      <x:c r="G29" s="65"/>
      <x:c r="H29" s="65"/>
      <x:c r="I29" s="65"/>
      <x:c r="J29" s="65"/>
      <x:c r="K29" s="65"/>
      <x:c r="L29" s="65"/>
      <x:c r="M29" s="65"/>
      <x:c r="N29" s="65"/>
      <x:c r="O29" s="65"/>
      <x:c r="P29" s="65"/>
      <x:c r="Q29" s="65"/>
      <x:c r="R29" s="65"/>
      <x:c r="S29" s="65"/>
      <x:c r="T29" s="65"/>
      <x:c r="U29" s="65"/>
      <x:c r="V29" s="65"/>
      <x:c r="W29" s="65"/>
      <x:c r="X29" s="65"/>
      <x:c r="Y29" s="65"/>
      <x:c r="Z29" s="65"/>
      <x:c r="AA29" s="65"/>
      <x:c r="AB29" s="65"/>
      <x:c r="AC29" s="65"/>
      <x:c r="AD29" s="65"/>
      <x:c r="AE29" s="65"/>
      <x:c r="AF29" s="65"/>
    </x:row>
    <x:row r="30" ht="15" customHeight="1">
      <x:c r="A30" s="70" t="s">
        <x:v>522</x:v>
      </x:c>
      <x:c r="B30" s="70" t="s">
        <x:v>523</x:v>
      </x:c>
      <x:c r="C30" s="68" t="n">
        <x:f>SUM(C15:AF15)</x:f>
        <x:v>4280.5</x:v>
      </x:c>
      <x:c r="D30" s="65"/>
      <x:c r="E30" s="65"/>
      <x:c r="F30" s="65"/>
      <x:c r="G30" s="65"/>
      <x:c r="H30" s="65"/>
      <x:c r="I30" s="65"/>
      <x:c r="J30" s="65"/>
      <x:c r="K30" s="65"/>
      <x:c r="L30" s="65"/>
      <x:c r="M30" s="65"/>
      <x:c r="N30" s="65"/>
      <x:c r="O30" s="65"/>
      <x:c r="P30" s="65"/>
      <x:c r="Q30" s="65"/>
      <x:c r="R30" s="65"/>
      <x:c r="S30" s="65"/>
      <x:c r="T30" s="65"/>
      <x:c r="U30" s="65"/>
      <x:c r="V30" s="65"/>
      <x:c r="W30" s="65"/>
      <x:c r="X30" s="65"/>
      <x:c r="Y30" s="65"/>
      <x:c r="Z30" s="65"/>
      <x:c r="AA30" s="65"/>
      <x:c r="AB30" s="65"/>
      <x:c r="AC30" s="65"/>
      <x:c r="AD30" s="65"/>
      <x:c r="AE30" s="65"/>
      <x:c r="AF30" s="65"/>
    </x:row>
    <x:row r="31" ht="15" customHeight="1">
      <x:c r="A31" s="70" t="s">
        <x:v>524</x:v>
      </x:c>
      <x:c r="B31" s="70" t="s">
        <x:v>410</x:v>
      </x:c>
      <x:c r="C31" s="75" t="n">
        <x:f>IF(COUNT(C24:AF24)=0,0,MIN(C24:AF24))</x:f>
        <x:v>0.9336281819243717</x:v>
      </x:c>
      <x:c r="D31" s="65"/>
      <x:c r="E31" s="65"/>
      <x:c r="F31" s="65"/>
      <x:c r="G31" s="65"/>
      <x:c r="H31" s="65"/>
      <x:c r="I31" s="65"/>
      <x:c r="J31" s="65"/>
      <x:c r="K31" s="65"/>
      <x:c r="L31" s="65"/>
      <x:c r="M31" s="65"/>
      <x:c r="N31" s="65"/>
      <x:c r="O31" s="65"/>
      <x:c r="P31" s="65"/>
      <x:c r="Q31" s="65"/>
      <x:c r="R31" s="65"/>
      <x:c r="S31" s="65"/>
      <x:c r="T31" s="65"/>
      <x:c r="U31" s="65"/>
      <x:c r="V31" s="65"/>
      <x:c r="W31" s="65"/>
      <x:c r="X31" s="65"/>
      <x:c r="Y31" s="65"/>
      <x:c r="Z31" s="65"/>
      <x:c r="AA31" s="65"/>
      <x:c r="AB31" s="65"/>
      <x:c r="AC31" s="65"/>
      <x:c r="AD31" s="65"/>
      <x:c r="AE31" s="65"/>
      <x:c r="AF31" s="65"/>
    </x:row>
    <x:row r="32" ht="15" customHeight="1">
      <x:c r="A32" s="70" t="s">
        <x:v>525</x:v>
      </x:c>
      <x:c r="B32" s="70" t="s">
        <x:v>526</x:v>
      </x:c>
      <x:c r="C32" s="75" t="n">
        <x:f>IF(SUM(C17:AF17)=0,0,SUM(C22:AF22)/SUM(C17:AF17))</x:f>
        <x:v>2.3178143182226947</x:v>
      </x:c>
      <x:c r="D32" s="65"/>
      <x:c r="E32" s="65"/>
      <x:c r="F32" s="65"/>
      <x:c r="G32" s="65"/>
      <x:c r="H32" s="65"/>
      <x:c r="I32" s="65"/>
      <x:c r="J32" s="65"/>
      <x:c r="K32" s="65"/>
      <x:c r="L32" s="65"/>
      <x:c r="M32" s="65"/>
      <x:c r="N32" s="65"/>
      <x:c r="O32" s="65"/>
      <x:c r="P32" s="65"/>
      <x:c r="Q32" s="65"/>
      <x:c r="R32" s="65"/>
      <x:c r="S32" s="65"/>
      <x:c r="T32" s="65"/>
      <x:c r="U32" s="65"/>
      <x:c r="V32" s="65"/>
      <x:c r="W32" s="65"/>
      <x:c r="X32" s="65"/>
      <x:c r="Y32" s="65"/>
      <x:c r="Z32" s="65"/>
      <x:c r="AA32" s="65"/>
      <x:c r="AB32" s="65"/>
      <x:c r="AC32" s="65"/>
      <x:c r="AD32" s="65"/>
      <x:c r="AE32" s="65"/>
      <x:c r="AF32" s="65"/>
    </x:row>
    <x:row r="33" ht="15" customHeight="1">
      <x:c r="A33" s="70" t="s">
        <x:v>527</x:v>
      </x:c>
      <x:c r="B33" s="70" t="s">
        <x:v>91</x:v>
      </x:c>
      <x:c r="C33" s="75" t="n">
        <x:f>IF(Input!$D$63=0,0,SUM(C25:AF25)/Input!$D$63)</x:f>
        <x:v>1.2398869372679175</x:v>
      </x:c>
      <x:c r="D33" s="65"/>
      <x:c r="E33" s="65"/>
      <x:c r="F33" s="65"/>
      <x:c r="G33" s="65"/>
      <x:c r="H33" s="65"/>
      <x:c r="I33" s="65"/>
      <x:c r="J33" s="65"/>
      <x:c r="K33" s="65"/>
      <x:c r="L33" s="65"/>
      <x:c r="M33" s="65"/>
      <x:c r="N33" s="65"/>
      <x:c r="O33" s="65"/>
      <x:c r="P33" s="65"/>
      <x:c r="Q33" s="65"/>
      <x:c r="R33" s="65"/>
      <x:c r="S33" s="65"/>
      <x:c r="T33" s="65"/>
      <x:c r="U33" s="65"/>
      <x:c r="V33" s="65"/>
      <x:c r="W33" s="65"/>
      <x:c r="X33" s="65"/>
      <x:c r="Y33" s="65"/>
      <x:c r="Z33" s="65"/>
      <x:c r="AA33" s="65"/>
      <x:c r="AB33" s="65"/>
      <x:c r="AC33" s="65"/>
      <x:c r="AD33" s="65"/>
      <x:c r="AE33" s="65"/>
      <x:c r="AF33" s="65"/>
    </x:row>
    <x:row r="34" ht="15" customHeight="1">
      <x:c r="A34" s="70" t="s">
        <x:v>432</x:v>
      </x:c>
      <x:c r="B34" s="70" t="s">
        <x:v>528</x:v>
      </x:c>
      <x:c r="C34" s="69" t="str">
        <x:f>IF(AND(ABS(AF18)&lt;0.01,ABS(C28-Input!$D$63)&lt;0.01),"OK","KIỂM TRA")</x:f>
        <x:v>OK</x:v>
      </x:c>
      <x:c r="D34" s="65"/>
      <x:c r="E34" s="65"/>
      <x:c r="F34" s="65"/>
      <x:c r="G34" s="65"/>
      <x:c r="H34" s="65"/>
      <x:c r="I34" s="65"/>
      <x:c r="J34" s="65"/>
      <x:c r="K34" s="65"/>
      <x:c r="L34" s="65"/>
      <x:c r="M34" s="65"/>
      <x:c r="N34" s="65"/>
      <x:c r="O34" s="65"/>
      <x:c r="P34" s="65"/>
      <x:c r="Q34" s="65"/>
      <x:c r="R34" s="65"/>
      <x:c r="S34" s="65"/>
      <x:c r="T34" s="65"/>
      <x:c r="U34" s="65"/>
      <x:c r="V34" s="65"/>
      <x:c r="W34" s="65"/>
      <x:c r="X34" s="65"/>
      <x:c r="Y34" s="65"/>
      <x:c r="Z34" s="65"/>
      <x:c r="AA34" s="65"/>
      <x:c r="AB34" s="65"/>
      <x:c r="AC34" s="65"/>
      <x:c r="AD34" s="65"/>
      <x:c r="AE34" s="65"/>
      <x:c r="AF34" s="65"/>
    </x:row>
    <x:row r="35" ht="15" customHeight="1">
      <x:c r="A35" s="70"/>
      <x:c r="B35" s="70"/>
      <x:c r="C35" s="65"/>
      <x:c r="D35" s="65"/>
      <x:c r="E35" s="65"/>
      <x:c r="F35" s="65"/>
      <x:c r="G35" s="65"/>
      <x:c r="H35" s="65"/>
      <x:c r="I35" s="65"/>
      <x:c r="J35" s="65"/>
      <x:c r="K35" s="65"/>
      <x:c r="L35" s="65"/>
      <x:c r="M35" s="65"/>
      <x:c r="N35" s="65"/>
      <x:c r="O35" s="65"/>
      <x:c r="P35" s="65"/>
      <x:c r="Q35" s="65"/>
      <x:c r="R35" s="65"/>
      <x:c r="S35" s="65"/>
      <x:c r="T35" s="65"/>
      <x:c r="U35" s="65"/>
      <x:c r="V35" s="65"/>
      <x:c r="W35" s="65"/>
      <x:c r="X35" s="65"/>
      <x:c r="Y35" s="65"/>
      <x:c r="Z35" s="65"/>
      <x:c r="AA35" s="65"/>
      <x:c r="AB35" s="65"/>
      <x:c r="AC35" s="65"/>
      <x:c r="AD35" s="65"/>
      <x:c r="AE35" s="65"/>
      <x:c r="AF35" s="65"/>
    </x:row>
    <x:row r="36" ht="15" customHeight="1">
      <x:c r="A36" s="70"/>
      <x:c r="B36" s="70"/>
      <x:c r="C36" s="65"/>
      <x:c r="D36" s="65"/>
      <x:c r="E36" s="65"/>
      <x:c r="F36" s="65"/>
      <x:c r="G36" s="65"/>
      <x:c r="H36" s="65"/>
      <x:c r="I36" s="65"/>
      <x:c r="J36" s="65"/>
      <x:c r="K36" s="65"/>
      <x:c r="L36" s="65"/>
      <x:c r="M36" s="65"/>
      <x:c r="N36" s="65"/>
      <x:c r="O36" s="65"/>
      <x:c r="P36" s="65"/>
      <x:c r="Q36" s="65"/>
      <x:c r="R36" s="65"/>
      <x:c r="S36" s="65"/>
      <x:c r="T36" s="65"/>
      <x:c r="U36" s="65"/>
      <x:c r="V36" s="65"/>
      <x:c r="W36" s="65"/>
      <x:c r="X36" s="65"/>
      <x:c r="Y36" s="65"/>
      <x:c r="Z36" s="65"/>
      <x:c r="AA36" s="65"/>
      <x:c r="AB36" s="65"/>
      <x:c r="AC36" s="65"/>
      <x:c r="AD36" s="65"/>
      <x:c r="AE36" s="65"/>
      <x:c r="AF36" s="65"/>
    </x:row>
    <x:row r="37" ht="15" customHeight="1">
      <x:c r="A37" s="70"/>
      <x:c r="B37" s="70"/>
      <x:c r="C37" s="65"/>
      <x:c r="D37" s="65"/>
      <x:c r="E37" s="65"/>
      <x:c r="F37" s="65"/>
      <x:c r="G37" s="65"/>
      <x:c r="H37" s="65"/>
      <x:c r="I37" s="65"/>
      <x:c r="J37" s="65"/>
      <x:c r="K37" s="65"/>
      <x:c r="L37" s="65"/>
      <x:c r="M37" s="65"/>
      <x:c r="N37" s="65"/>
      <x:c r="O37" s="65"/>
      <x:c r="P37" s="65"/>
      <x:c r="Q37" s="65"/>
      <x:c r="R37" s="65"/>
      <x:c r="S37" s="65"/>
      <x:c r="T37" s="65"/>
      <x:c r="U37" s="65"/>
      <x:c r="V37" s="65"/>
      <x:c r="W37" s="65"/>
      <x:c r="X37" s="65"/>
      <x:c r="Y37" s="65"/>
      <x:c r="Z37" s="65"/>
      <x:c r="AA37" s="65"/>
      <x:c r="AB37" s="65"/>
      <x:c r="AC37" s="65"/>
      <x:c r="AD37" s="65"/>
      <x:c r="AE37" s="65"/>
      <x:c r="AF37" s="65"/>
    </x:row>
    <x:row r="38" ht="15" customHeight="1">
      <x:c r="A38" s="70"/>
      <x:c r="B38" s="70"/>
      <x:c r="C38" s="65"/>
      <x:c r="D38" s="65"/>
      <x:c r="E38" s="65"/>
      <x:c r="F38" s="65"/>
      <x:c r="G38" s="65"/>
      <x:c r="H38" s="65"/>
      <x:c r="I38" s="65"/>
      <x:c r="J38" s="65"/>
      <x:c r="K38" s="65"/>
      <x:c r="L38" s="65"/>
      <x:c r="M38" s="65"/>
      <x:c r="N38" s="65"/>
      <x:c r="O38" s="65"/>
      <x:c r="P38" s="65"/>
      <x:c r="Q38" s="65"/>
      <x:c r="R38" s="65"/>
      <x:c r="S38" s="65"/>
      <x:c r="T38" s="65"/>
      <x:c r="U38" s="65"/>
      <x:c r="V38" s="65"/>
      <x:c r="W38" s="65"/>
      <x:c r="X38" s="65"/>
      <x:c r="Y38" s="65"/>
      <x:c r="Z38" s="65"/>
      <x:c r="AA38" s="65"/>
      <x:c r="AB38" s="65"/>
      <x:c r="AC38" s="65"/>
      <x:c r="AD38" s="65"/>
      <x:c r="AE38" s="65"/>
      <x:c r="AF38" s="65"/>
    </x:row>
    <x:row r="39" ht="15" customHeight="1">
      <x:c r="A39" s="70"/>
      <x:c r="B39" s="70"/>
      <x:c r="C39" s="65"/>
      <x:c r="D39" s="65"/>
      <x:c r="E39" s="65"/>
      <x:c r="F39" s="65"/>
      <x:c r="G39" s="65"/>
      <x:c r="H39" s="65"/>
      <x:c r="I39" s="65"/>
      <x:c r="J39" s="65"/>
      <x:c r="K39" s="65"/>
      <x:c r="L39" s="65"/>
      <x:c r="M39" s="65"/>
      <x:c r="N39" s="65"/>
      <x:c r="O39" s="65"/>
      <x:c r="P39" s="65"/>
      <x:c r="Q39" s="65"/>
      <x:c r="R39" s="65"/>
      <x:c r="S39" s="65"/>
      <x:c r="T39" s="65"/>
      <x:c r="U39" s="65"/>
      <x:c r="V39" s="65"/>
      <x:c r="W39" s="65"/>
      <x:c r="X39" s="65"/>
      <x:c r="Y39" s="65"/>
      <x:c r="Z39" s="65"/>
      <x:c r="AA39" s="65"/>
      <x:c r="AB39" s="65"/>
      <x:c r="AC39" s="65"/>
      <x:c r="AD39" s="65"/>
      <x:c r="AE39" s="65"/>
      <x:c r="AF39" s="65"/>
    </x:row>
    <x:row r="40" ht="15" customHeight="1">
      <x:c r="A40" s="70"/>
      <x:c r="B40" s="70"/>
      <x:c r="C40" s="65"/>
      <x:c r="D40" s="65"/>
      <x:c r="E40" s="65"/>
      <x:c r="F40" s="65"/>
      <x:c r="G40" s="65"/>
      <x:c r="H40" s="65"/>
      <x:c r="I40" s="65"/>
      <x:c r="J40" s="65"/>
      <x:c r="K40" s="65"/>
      <x:c r="L40" s="65"/>
      <x:c r="M40" s="65"/>
      <x:c r="N40" s="65"/>
      <x:c r="O40" s="65"/>
      <x:c r="P40" s="65"/>
      <x:c r="Q40" s="65"/>
      <x:c r="R40" s="65"/>
      <x:c r="S40" s="65"/>
      <x:c r="T40" s="65"/>
      <x:c r="U40" s="65"/>
      <x:c r="V40" s="65"/>
      <x:c r="W40" s="65"/>
      <x:c r="X40" s="65"/>
      <x:c r="Y40" s="65"/>
      <x:c r="Z40" s="65"/>
      <x:c r="AA40" s="65"/>
      <x:c r="AB40" s="65"/>
      <x:c r="AC40" s="65"/>
      <x:c r="AD40" s="65"/>
      <x:c r="AE40" s="65"/>
      <x:c r="AF40" s="65"/>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c r="AA41" s="41"/>
      <x:c r="AB41" s="41"/>
      <x:c r="AC41" s="41"/>
      <x:c r="AD41" s="41"/>
      <x:c r="AE41" s="41"/>
      <x:c r="AF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c r="AA42" s="41"/>
      <x:c r="AB42" s="41"/>
      <x:c r="AC42" s="41"/>
      <x:c r="AD42" s="41"/>
      <x:c r="AE42" s="41"/>
      <x:c r="AF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c r="AA43" s="41"/>
      <x:c r="AB43" s="41"/>
      <x:c r="AC43" s="41"/>
      <x:c r="AD43" s="41"/>
      <x:c r="AE43" s="41"/>
      <x:c r="AF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c r="AA44" s="41"/>
      <x:c r="AB44" s="41"/>
      <x:c r="AC44" s="41"/>
      <x:c r="AD44" s="41"/>
      <x:c r="AE44" s="41"/>
      <x:c r="AF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c r="AA45" s="41"/>
      <x:c r="AB45" s="41"/>
      <x:c r="AC45" s="41"/>
      <x:c r="AD45" s="41"/>
      <x:c r="AE45" s="41"/>
      <x:c r="AF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c r="AA46" s="41"/>
      <x:c r="AB46" s="41"/>
      <x:c r="AC46" s="41"/>
      <x:c r="AD46" s="41"/>
      <x:c r="AE46" s="41"/>
      <x:c r="AF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c r="AA47" s="41"/>
      <x:c r="AB47" s="41"/>
      <x:c r="AC47" s="41"/>
      <x:c r="AD47" s="41"/>
      <x:c r="AE47" s="41"/>
      <x:c r="AF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c r="AA48" s="41"/>
      <x:c r="AB48" s="41"/>
      <x:c r="AC48" s="41"/>
      <x:c r="AD48" s="41"/>
      <x:c r="AE48" s="41"/>
      <x:c r="AF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c r="AA49" s="41"/>
      <x:c r="AB49" s="41"/>
      <x:c r="AC49" s="41"/>
      <x:c r="AD49" s="41"/>
      <x:c r="AE49" s="41"/>
      <x:c r="AF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c r="AA50" s="41"/>
      <x:c r="AB50" s="41"/>
      <x:c r="AC50" s="41"/>
      <x:c r="AD50" s="41"/>
      <x:c r="AE50" s="41"/>
      <x:c r="AF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c r="AA51" s="41"/>
      <x:c r="AB51" s="41"/>
      <x:c r="AC51" s="41"/>
      <x:c r="AD51" s="41"/>
      <x:c r="AE51" s="41"/>
      <x:c r="AF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c r="AA52" s="41"/>
      <x:c r="AB52" s="41"/>
      <x:c r="AC52" s="41"/>
      <x:c r="AD52" s="41"/>
      <x:c r="AE52" s="41"/>
      <x:c r="AF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c r="AA53" s="41"/>
      <x:c r="AB53" s="41"/>
      <x:c r="AC53" s="41"/>
      <x:c r="AD53" s="41"/>
      <x:c r="AE53" s="41"/>
      <x:c r="AF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c r="AA54" s="41"/>
      <x:c r="AB54" s="41"/>
      <x:c r="AC54" s="41"/>
      <x:c r="AD54" s="41"/>
      <x:c r="AE54" s="41"/>
      <x:c r="AF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c r="AA55" s="41"/>
      <x:c r="AB55" s="41"/>
      <x:c r="AC55" s="41"/>
      <x:c r="AD55" s="41"/>
      <x:c r="AE55" s="41"/>
      <x:c r="AF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c r="AA56" s="41"/>
      <x:c r="AB56" s="41"/>
      <x:c r="AC56" s="41"/>
      <x:c r="AD56" s="41"/>
      <x:c r="AE56" s="41"/>
      <x:c r="AF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c r="AA57" s="41"/>
      <x:c r="AB57" s="41"/>
      <x:c r="AC57" s="41"/>
      <x:c r="AD57" s="41"/>
      <x:c r="AE57" s="41"/>
      <x:c r="AF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c r="AA58" s="41"/>
      <x:c r="AB58" s="41"/>
      <x:c r="AC58" s="41"/>
      <x:c r="AD58" s="41"/>
      <x:c r="AE58" s="41"/>
      <x:c r="AF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c r="AA59" s="41"/>
      <x:c r="AB59" s="41"/>
      <x:c r="AC59" s="41"/>
      <x:c r="AD59" s="41"/>
      <x:c r="AE59" s="41"/>
      <x:c r="AF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c r="AA60" s="41"/>
      <x:c r="AB60" s="41"/>
      <x:c r="AC60" s="41"/>
      <x:c r="AD60" s="41"/>
      <x:c r="AE60" s="41"/>
      <x:c r="AF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c r="AA61" s="41"/>
      <x:c r="AB61" s="41"/>
      <x:c r="AC61" s="41"/>
      <x:c r="AD61" s="41"/>
      <x:c r="AE61" s="41"/>
      <x:c r="AF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c r="AA62" s="41"/>
      <x:c r="AB62" s="41"/>
      <x:c r="AC62" s="41"/>
      <x:c r="AD62" s="41"/>
      <x:c r="AE62" s="41"/>
      <x:c r="AF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c r="AA63" s="41"/>
      <x:c r="AB63" s="41"/>
      <x:c r="AC63" s="41"/>
      <x:c r="AD63" s="41"/>
      <x:c r="AE63" s="41"/>
      <x:c r="AF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c r="AA64" s="41"/>
      <x:c r="AB64" s="41"/>
      <x:c r="AC64" s="41"/>
      <x:c r="AD64" s="41"/>
      <x:c r="AE64" s="41"/>
      <x:c r="AF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c r="AA65" s="41"/>
      <x:c r="AB65" s="41"/>
      <x:c r="AC65" s="41"/>
      <x:c r="AD65" s="41"/>
      <x:c r="AE65" s="41"/>
      <x:c r="AF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c r="AA66" s="41"/>
      <x:c r="AB66" s="41"/>
      <x:c r="AC66" s="41"/>
      <x:c r="AD66" s="41"/>
      <x:c r="AE66" s="41"/>
      <x:c r="AF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c r="AA67" s="41"/>
      <x:c r="AB67" s="41"/>
      <x:c r="AC67" s="41"/>
      <x:c r="AD67" s="41"/>
      <x:c r="AE67" s="41"/>
      <x:c r="AF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c r="AA68" s="41"/>
      <x:c r="AB68" s="41"/>
      <x:c r="AC68" s="41"/>
      <x:c r="AD68" s="41"/>
      <x:c r="AE68" s="41"/>
      <x:c r="AF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c r="AA69" s="41"/>
      <x:c r="AB69" s="41"/>
      <x:c r="AC69" s="41"/>
      <x:c r="AD69" s="41"/>
      <x:c r="AE69" s="41"/>
      <x:c r="AF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c r="AA70" s="41"/>
      <x:c r="AB70" s="41"/>
      <x:c r="AC70" s="41"/>
      <x:c r="AD70" s="41"/>
      <x:c r="AE70" s="41"/>
      <x:c r="AF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c r="AA71" s="41"/>
      <x:c r="AB71" s="41"/>
      <x:c r="AC71" s="41"/>
      <x:c r="AD71" s="41"/>
      <x:c r="AE71" s="41"/>
      <x:c r="AF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c r="AA72" s="41"/>
      <x:c r="AB72" s="41"/>
      <x:c r="AC72" s="41"/>
      <x:c r="AD72" s="41"/>
      <x:c r="AE72" s="41"/>
      <x:c r="AF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c r="AA73" s="41"/>
      <x:c r="AB73" s="41"/>
      <x:c r="AC73" s="41"/>
      <x:c r="AD73" s="41"/>
      <x:c r="AE73" s="41"/>
      <x:c r="AF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c r="AA74" s="41"/>
      <x:c r="AB74" s="41"/>
      <x:c r="AC74" s="41"/>
      <x:c r="AD74" s="41"/>
      <x:c r="AE74" s="41"/>
      <x:c r="AF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c r="AA75" s="41"/>
      <x:c r="AB75" s="41"/>
      <x:c r="AC75" s="41"/>
      <x:c r="AD75" s="41"/>
      <x:c r="AE75" s="41"/>
      <x:c r="AF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c r="AA76" s="41"/>
      <x:c r="AB76" s="41"/>
      <x:c r="AC76" s="41"/>
      <x:c r="AD76" s="41"/>
      <x:c r="AE76" s="41"/>
      <x:c r="AF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c r="AA77" s="41"/>
      <x:c r="AB77" s="41"/>
      <x:c r="AC77" s="41"/>
      <x:c r="AD77" s="41"/>
      <x:c r="AE77" s="41"/>
      <x:c r="AF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c r="AA78" s="41"/>
      <x:c r="AB78" s="41"/>
      <x:c r="AC78" s="41"/>
      <x:c r="AD78" s="41"/>
      <x:c r="AE78" s="41"/>
      <x:c r="AF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c r="AA79" s="41"/>
      <x:c r="AB79" s="41"/>
      <x:c r="AC79" s="41"/>
      <x:c r="AD79" s="41"/>
      <x:c r="AE79" s="41"/>
      <x:c r="AF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c r="AA80" s="41"/>
      <x:c r="AB80" s="41"/>
      <x:c r="AC80" s="41"/>
      <x:c r="AD80" s="41"/>
      <x:c r="AE80" s="41"/>
      <x:c r="AF80" s="41"/>
    </x:row>
  </x:sheetData>
  <x:mergeCells>
    <x:mergeCell ref="A27:AF27"/>
    <x:mergeCell ref="A1:AF1"/>
    <x:mergeCell ref="A2:AF2"/>
    <x:mergeCell ref="A3:AF3"/>
    <x:mergeCell ref="A10:AF10"/>
    <x:mergeCell ref="A21:AF21"/>
  </x:mergeCells>
  <x:conditionalFormatting sqref="C34:C34">
    <x:cfRule type="containsText" dxfId="1" priority="1" operator="containsText" text="OK"/>
    <x:cfRule type="containsText" dxfId="0" priority="2" operator="containsText" text="KIỂM TRA"/>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4"/>
  <x:cols>
    <x:col min="1" max="1" width="10" customWidth="1"/>
    <x:col min="2" max="2" width="34" customWidth="1"/>
    <x:col min="3" max="32" width="12" customWidth="1"/>
  </x:cols>
  <x:sheetData>
    <x:row r="1" ht="15" customHeight="1">
      <x:c r="A1" s="131" t="s">
        <x:v>529</x:v>
      </x:c>
      <x:c r="B1" s="131"/>
      <x:c r="C1" s="132"/>
      <x:c r="D1" s="132"/>
      <x:c r="E1" s="132"/>
      <x:c r="F1" s="132"/>
      <x:c r="G1" s="132"/>
      <x:c r="H1" s="132"/>
      <x:c r="I1" s="132"/>
      <x:c r="J1" s="132"/>
      <x:c r="K1" s="132"/>
      <x:c r="L1" s="132"/>
      <x:c r="M1" s="132"/>
      <x:c r="N1" s="132"/>
      <x:c r="O1" s="132"/>
      <x:c r="P1" s="132"/>
      <x:c r="Q1" s="132"/>
      <x:c r="R1" s="132"/>
      <x:c r="S1" s="132"/>
      <x:c r="T1" s="132"/>
      <x:c r="U1" s="132"/>
      <x:c r="V1" s="132"/>
      <x:c r="W1" s="132"/>
      <x:c r="X1" s="132"/>
      <x:c r="Y1" s="132"/>
      <x:c r="Z1" s="132"/>
      <x:c r="AA1" s="132"/>
      <x:c r="AB1" s="132"/>
      <x:c r="AC1" s="132"/>
      <x:c r="AD1" s="132"/>
      <x:c r="AE1" s="132"/>
      <x:c r="AF1" s="132"/>
    </x:row>
    <x:row r="2" ht="15" customHeight="1">
      <x:c r="A2" s="133" t="s">
        <x:v>530</x:v>
      </x:c>
      <x:c r="B2" s="133"/>
      <x:c r="C2" s="133"/>
      <x:c r="D2" s="133"/>
      <x:c r="E2" s="133"/>
      <x:c r="F2" s="133"/>
      <x:c r="G2" s="133"/>
      <x:c r="H2" s="133"/>
      <x:c r="I2" s="133"/>
      <x:c r="J2" s="133"/>
      <x:c r="K2" s="133"/>
      <x:c r="L2" s="133"/>
      <x:c r="M2" s="133"/>
      <x:c r="N2" s="133"/>
      <x:c r="O2" s="133"/>
      <x:c r="P2" s="133"/>
      <x:c r="Q2" s="133"/>
      <x:c r="R2" s="133"/>
      <x:c r="S2" s="133"/>
      <x:c r="T2" s="133"/>
      <x:c r="U2" s="133"/>
      <x:c r="V2" s="133"/>
      <x:c r="W2" s="133"/>
      <x:c r="X2" s="133"/>
      <x:c r="Y2" s="133"/>
      <x:c r="Z2" s="133"/>
      <x:c r="AA2" s="133"/>
      <x:c r="AB2" s="133"/>
      <x:c r="AC2" s="133"/>
      <x:c r="AD2" s="133"/>
      <x:c r="AE2" s="133"/>
      <x:c r="AF2" s="133"/>
    </x:row>
    <x:row r="3" ht="15" customHeight="1">
      <x:c r="A3" s="134" t="s">
        <x:v>447</x:v>
      </x:c>
      <x:c r="B3" s="134"/>
      <x:c r="C3" s="135"/>
      <x:c r="D3" s="135"/>
      <x:c r="E3" s="135"/>
      <x:c r="F3" s="135"/>
      <x:c r="G3" s="135"/>
      <x:c r="H3" s="135"/>
      <x:c r="I3" s="135"/>
      <x:c r="J3" s="135"/>
      <x:c r="K3" s="135"/>
      <x:c r="L3" s="135"/>
      <x:c r="M3" s="135"/>
      <x:c r="N3" s="135"/>
      <x:c r="O3" s="135"/>
      <x:c r="P3" s="135"/>
      <x:c r="Q3" s="135"/>
      <x:c r="R3" s="135"/>
      <x:c r="S3" s="135"/>
      <x:c r="T3" s="135"/>
      <x:c r="U3" s="135"/>
      <x:c r="V3" s="135"/>
      <x:c r="W3" s="135"/>
      <x:c r="X3" s="135"/>
      <x:c r="Y3" s="135"/>
      <x:c r="Z3" s="135"/>
      <x:c r="AA3" s="135"/>
      <x:c r="AB3" s="135"/>
      <x:c r="AC3" s="135"/>
      <x:c r="AD3" s="135"/>
      <x:c r="AE3" s="135"/>
      <x:c r="AF3" s="135"/>
    </x:row>
    <x:row r="4" ht="15" customHeight="1">
      <x:c r="A4" s="70"/>
      <x:c r="B4" s="70"/>
      <x:c r="C4" s="65"/>
      <x:c r="D4" s="65"/>
      <x:c r="E4" s="65"/>
      <x:c r="F4" s="65"/>
      <x:c r="G4" s="65"/>
      <x:c r="H4" s="65"/>
      <x:c r="I4" s="65"/>
      <x:c r="J4" s="65"/>
      <x:c r="K4" s="65"/>
      <x:c r="L4" s="65"/>
      <x:c r="M4" s="65"/>
      <x:c r="N4" s="65"/>
      <x:c r="O4" s="65"/>
      <x:c r="P4" s="65"/>
      <x:c r="Q4" s="65"/>
      <x:c r="R4" s="65"/>
      <x:c r="S4" s="65"/>
      <x:c r="T4" s="65"/>
      <x:c r="U4" s="65"/>
      <x:c r="V4" s="65"/>
      <x:c r="W4" s="65"/>
      <x:c r="X4" s="65"/>
      <x:c r="Y4" s="65"/>
      <x:c r="Z4" s="65"/>
      <x:c r="AA4" s="65"/>
      <x:c r="AB4" s="65"/>
      <x:c r="AC4" s="65"/>
      <x:c r="AD4" s="65"/>
      <x:c r="AE4" s="65"/>
      <x:c r="AF4" s="65"/>
    </x:row>
    <x:row r="5" ht="15" customHeight="1">
      <x:c r="A5" s="70"/>
      <x:c r="B5" s="70"/>
      <x:c r="C5" s="65"/>
      <x:c r="D5" s="65"/>
      <x:c r="E5" s="65"/>
      <x:c r="F5" s="65"/>
      <x:c r="G5" s="65"/>
      <x:c r="H5" s="65"/>
      <x:c r="I5" s="65"/>
      <x:c r="J5" s="65"/>
      <x:c r="K5" s="65"/>
      <x:c r="L5" s="65"/>
      <x:c r="M5" s="65"/>
      <x:c r="N5" s="65"/>
      <x:c r="O5" s="65"/>
      <x:c r="P5" s="65"/>
      <x:c r="Q5" s="65"/>
      <x:c r="R5" s="65"/>
      <x:c r="S5" s="65"/>
      <x:c r="T5" s="65"/>
      <x:c r="U5" s="65"/>
      <x:c r="V5" s="65"/>
      <x:c r="W5" s="65"/>
      <x:c r="X5" s="65"/>
      <x:c r="Y5" s="65"/>
      <x:c r="Z5" s="65"/>
      <x:c r="AA5" s="65"/>
      <x:c r="AB5" s="65"/>
      <x:c r="AC5" s="65"/>
      <x:c r="AD5" s="65"/>
      <x:c r="AE5" s="65"/>
      <x:c r="AF5" s="65"/>
    </x:row>
    <x:row r="6" ht="15" customHeight="1">
      <x:c r="A6" s="71"/>
      <x:c r="B6" s="71" t="s">
        <x:v>160</x:v>
      </x:c>
      <x:c r="C6" s="42" t="n">
        <x:f>CAPEX!C6</x:f>
        <x:v>2025</x:v>
      </x:c>
      <x:c r="D6" s="42" t="n">
        <x:f>CAPEX!D6</x:f>
        <x:v>2026</x:v>
      </x:c>
      <x:c r="E6" s="42" t="n">
        <x:f>CAPEX!E6</x:f>
        <x:v>2027</x:v>
      </x:c>
      <x:c r="F6" s="42" t="n">
        <x:f>CAPEX!F6</x:f>
        <x:v>2028</x:v>
      </x:c>
      <x:c r="G6" s="42" t="n">
        <x:f>CAPEX!G6</x:f>
        <x:v>2029</x:v>
      </x:c>
      <x:c r="H6" s="42" t="n">
        <x:f>CAPEX!H6</x:f>
        <x:v>2030</x:v>
      </x:c>
      <x:c r="I6" s="42" t="n">
        <x:f>CAPEX!I6</x:f>
        <x:v>2031</x:v>
      </x:c>
      <x:c r="J6" s="42" t="n">
        <x:f>CAPEX!J6</x:f>
        <x:v>2032</x:v>
      </x:c>
      <x:c r="K6" s="42" t="n">
        <x:f>CAPEX!K6</x:f>
        <x:v>2033</x:v>
      </x:c>
      <x:c r="L6" s="42" t="n">
        <x:f>CAPEX!L6</x:f>
        <x:v>2034</x:v>
      </x:c>
      <x:c r="M6" s="42" t="n">
        <x:f>CAPEX!M6</x:f>
        <x:v>2035</x:v>
      </x:c>
      <x:c r="N6" s="42" t="n">
        <x:f>CAPEX!N6</x:f>
        <x:v>2036</x:v>
      </x:c>
      <x:c r="O6" s="42" t="n">
        <x:f>CAPEX!O6</x:f>
        <x:v>2037</x:v>
      </x:c>
      <x:c r="P6" s="42" t="n">
        <x:f>CAPEX!P6</x:f>
        <x:v>2038</x:v>
      </x:c>
      <x:c r="Q6" s="42" t="n">
        <x:f>CAPEX!Q6</x:f>
        <x:v>2039</x:v>
      </x:c>
      <x:c r="R6" s="42" t="n">
        <x:f>CAPEX!R6</x:f>
        <x:v>2040</x:v>
      </x:c>
      <x:c r="S6" s="42" t="n">
        <x:f>CAPEX!S6</x:f>
        <x:v>2041</x:v>
      </x:c>
      <x:c r="T6" s="42" t="n">
        <x:f>CAPEX!T6</x:f>
        <x:v>2042</x:v>
      </x:c>
      <x:c r="U6" s="42" t="n">
        <x:f>CAPEX!U6</x:f>
        <x:v>2043</x:v>
      </x:c>
      <x:c r="V6" s="42" t="n">
        <x:f>CAPEX!V6</x:f>
        <x:v>2044</x:v>
      </x:c>
      <x:c r="W6" s="42" t="n">
        <x:f>CAPEX!W6</x:f>
        <x:v>2045</x:v>
      </x:c>
      <x:c r="X6" s="42" t="n">
        <x:f>CAPEX!X6</x:f>
        <x:v>2046</x:v>
      </x:c>
      <x:c r="Y6" s="42" t="n">
        <x:f>CAPEX!Y6</x:f>
        <x:v>2047</x:v>
      </x:c>
      <x:c r="Z6" s="42" t="n">
        <x:f>CAPEX!Z6</x:f>
        <x:v>2048</x:v>
      </x:c>
      <x:c r="AA6" s="42" t="n">
        <x:f>CAPEX!AA6</x:f>
        <x:v>2049</x:v>
      </x:c>
      <x:c r="AB6" s="42" t="n">
        <x:f>CAPEX!AB6</x:f>
        <x:v>2050</x:v>
      </x:c>
      <x:c r="AC6" s="42" t="n">
        <x:f>CAPEX!AC6</x:f>
        <x:v>2051</x:v>
      </x:c>
      <x:c r="AD6" s="42" t="n">
        <x:f>CAPEX!AD6</x:f>
        <x:v>2052</x:v>
      </x:c>
      <x:c r="AE6" s="42" t="n">
        <x:f>CAPEX!AE6</x:f>
        <x:v>2053</x:v>
      </x:c>
      <x:c r="AF6" s="42" t="n">
        <x:f>CAPEX!AF6</x:f>
        <x:v>2054</x:v>
      </x:c>
    </x:row>
    <x:row r="7" ht="15" customHeight="1">
      <x:c r="A7" s="70"/>
      <x:c r="B7" s="70" t="s">
        <x:v>448</x:v>
      </x:c>
      <x:c r="C7" s="66" t="n">
        <x:f>CAPEX!C7</x:f>
        <x:v>0</x:v>
      </x:c>
      <x:c r="D7" s="66" t="n">
        <x:f>CAPEX!D7</x:f>
        <x:v>1</x:v>
      </x:c>
      <x:c r="E7" s="66" t="n">
        <x:f>CAPEX!E7</x:f>
        <x:v>2</x:v>
      </x:c>
      <x:c r="F7" s="66" t="n">
        <x:f>CAPEX!F7</x:f>
        <x:v>3</x:v>
      </x:c>
      <x:c r="G7" s="66" t="n">
        <x:f>CAPEX!G7</x:f>
        <x:v>4</x:v>
      </x:c>
      <x:c r="H7" s="66" t="n">
        <x:f>CAPEX!H7</x:f>
        <x:v>5</x:v>
      </x:c>
      <x:c r="I7" s="66" t="n">
        <x:f>CAPEX!I7</x:f>
        <x:v>6</x:v>
      </x:c>
      <x:c r="J7" s="66" t="n">
        <x:f>CAPEX!J7</x:f>
        <x:v>7</x:v>
      </x:c>
      <x:c r="K7" s="66" t="n">
        <x:f>CAPEX!K7</x:f>
        <x:v>8</x:v>
      </x:c>
      <x:c r="L7" s="66" t="n">
        <x:f>CAPEX!L7</x:f>
        <x:v>9</x:v>
      </x:c>
      <x:c r="M7" s="66" t="n">
        <x:f>CAPEX!M7</x:f>
        <x:v>10</x:v>
      </x:c>
      <x:c r="N7" s="66" t="n">
        <x:f>CAPEX!N7</x:f>
        <x:v>11</x:v>
      </x:c>
      <x:c r="O7" s="66" t="n">
        <x:f>CAPEX!O7</x:f>
        <x:v>12</x:v>
      </x:c>
      <x:c r="P7" s="66" t="n">
        <x:f>CAPEX!P7</x:f>
        <x:v>13</x:v>
      </x:c>
      <x:c r="Q7" s="66" t="n">
        <x:f>CAPEX!Q7</x:f>
        <x:v>14</x:v>
      </x:c>
      <x:c r="R7" s="66" t="n">
        <x:f>CAPEX!R7</x:f>
        <x:v>15</x:v>
      </x:c>
      <x:c r="S7" s="66" t="n">
        <x:f>CAPEX!S7</x:f>
        <x:v>16</x:v>
      </x:c>
      <x:c r="T7" s="66" t="n">
        <x:f>CAPEX!T7</x:f>
        <x:v>17</x:v>
      </x:c>
      <x:c r="U7" s="66" t="n">
        <x:f>CAPEX!U7</x:f>
        <x:v>18</x:v>
      </x:c>
      <x:c r="V7" s="66" t="n">
        <x:f>CAPEX!V7</x:f>
        <x:v>19</x:v>
      </x:c>
      <x:c r="W7" s="66" t="n">
        <x:f>CAPEX!W7</x:f>
        <x:v>20</x:v>
      </x:c>
      <x:c r="X7" s="66" t="n">
        <x:f>CAPEX!X7</x:f>
        <x:v>21</x:v>
      </x:c>
      <x:c r="Y7" s="66" t="n">
        <x:f>CAPEX!Y7</x:f>
        <x:v>22</x:v>
      </x:c>
      <x:c r="Z7" s="66" t="n">
        <x:f>CAPEX!Z7</x:f>
        <x:v>23</x:v>
      </x:c>
      <x:c r="AA7" s="66" t="n">
        <x:f>CAPEX!AA7</x:f>
        <x:v>24</x:v>
      </x:c>
      <x:c r="AB7" s="66" t="n">
        <x:f>CAPEX!AB7</x:f>
        <x:v>25</x:v>
      </x:c>
      <x:c r="AC7" s="66" t="n">
        <x:f>CAPEX!AC7</x:f>
        <x:v>26</x:v>
      </x:c>
      <x:c r="AD7" s="66" t="n">
        <x:f>CAPEX!AD7</x:f>
        <x:v>27</x:v>
      </x:c>
      <x:c r="AE7" s="66" t="n">
        <x:f>CAPEX!AE7</x:f>
        <x:v>28</x:v>
      </x:c>
      <x:c r="AF7" s="66" t="n">
        <x:f>CAPEX!AF7</x:f>
        <x:v>29</x:v>
      </x:c>
    </x:row>
    <x:row r="8" ht="15" customHeight="1">
      <x:c r="A8" s="70"/>
      <x:c r="B8" s="70" t="s">
        <x:v>450</x:v>
      </x:c>
      <x:c r="C8" s="66" t="n">
        <x:f>CAPEX!C9</x:f>
        <x:v>0</x:v>
      </x:c>
      <x:c r="D8" s="66" t="n">
        <x:f>CAPEX!D9</x:f>
        <x:v>0</x:v>
      </x:c>
      <x:c r="E8" s="66" t="n">
        <x:f>CAPEX!E9</x:f>
        <x:v>1</x:v>
      </x:c>
      <x:c r="F8" s="66" t="n">
        <x:f>CAPEX!F9</x:f>
        <x:v>2</x:v>
      </x:c>
      <x:c r="G8" s="66" t="n">
        <x:f>CAPEX!G9</x:f>
        <x:v>3</x:v>
      </x:c>
      <x:c r="H8" s="66" t="n">
        <x:f>CAPEX!H9</x:f>
        <x:v>4</x:v>
      </x:c>
      <x:c r="I8" s="66" t="n">
        <x:f>CAPEX!I9</x:f>
        <x:v>5</x:v>
      </x:c>
      <x:c r="J8" s="66" t="n">
        <x:f>CAPEX!J9</x:f>
        <x:v>6</x:v>
      </x:c>
      <x:c r="K8" s="66" t="n">
        <x:f>CAPEX!K9</x:f>
        <x:v>7</x:v>
      </x:c>
      <x:c r="L8" s="66" t="n">
        <x:f>CAPEX!L9</x:f>
        <x:v>8</x:v>
      </x:c>
      <x:c r="M8" s="66" t="n">
        <x:f>CAPEX!M9</x:f>
        <x:v>9</x:v>
      </x:c>
      <x:c r="N8" s="66" t="n">
        <x:f>CAPEX!N9</x:f>
        <x:v>10</x:v>
      </x:c>
      <x:c r="O8" s="66" t="n">
        <x:f>CAPEX!O9</x:f>
        <x:v>11</x:v>
      </x:c>
      <x:c r="P8" s="66" t="n">
        <x:f>CAPEX!P9</x:f>
        <x:v>12</x:v>
      </x:c>
      <x:c r="Q8" s="66" t="n">
        <x:f>CAPEX!Q9</x:f>
        <x:v>13</x:v>
      </x:c>
      <x:c r="R8" s="66" t="n">
        <x:f>CAPEX!R9</x:f>
        <x:v>14</x:v>
      </x:c>
      <x:c r="S8" s="66" t="n">
        <x:f>CAPEX!S9</x:f>
        <x:v>15</x:v>
      </x:c>
      <x:c r="T8" s="66" t="n">
        <x:f>CAPEX!T9</x:f>
        <x:v>16</x:v>
      </x:c>
      <x:c r="U8" s="66" t="n">
        <x:f>CAPEX!U9</x:f>
        <x:v>17</x:v>
      </x:c>
      <x:c r="V8" s="66" t="n">
        <x:f>CAPEX!V9</x:f>
        <x:v>18</x:v>
      </x:c>
      <x:c r="W8" s="66" t="n">
        <x:f>CAPEX!W9</x:f>
        <x:v>19</x:v>
      </x:c>
      <x:c r="X8" s="66" t="n">
        <x:f>CAPEX!X9</x:f>
        <x:v>20</x:v>
      </x:c>
      <x:c r="Y8" s="66" t="n">
        <x:f>CAPEX!Y9</x:f>
        <x:v>0</x:v>
      </x:c>
      <x:c r="Z8" s="66" t="n">
        <x:f>CAPEX!Z9</x:f>
        <x:v>0</x:v>
      </x:c>
      <x:c r="AA8" s="66" t="n">
        <x:f>CAPEX!AA9</x:f>
        <x:v>0</x:v>
      </x:c>
      <x:c r="AB8" s="66" t="n">
        <x:f>CAPEX!AB9</x:f>
        <x:v>0</x:v>
      </x:c>
      <x:c r="AC8" s="66" t="n">
        <x:f>CAPEX!AC9</x:f>
        <x:v>0</x:v>
      </x:c>
      <x:c r="AD8" s="66" t="n">
        <x:f>CAPEX!AD9</x:f>
        <x:v>0</x:v>
      </x:c>
      <x:c r="AE8" s="66" t="n">
        <x:f>CAPEX!AE9</x:f>
        <x:v>0</x:v>
      </x:c>
      <x:c r="AF8" s="66" t="n">
        <x:f>CAPEX!AF9</x:f>
        <x:v>0</x:v>
      </x:c>
    </x:row>
    <x:row r="9" ht="15" customHeight="1">
      <x:c r="A9" s="70"/>
      <x:c r="B9" s="70"/>
      <x:c r="C9" s="65"/>
      <x:c r="D9" s="65"/>
      <x:c r="E9" s="65"/>
      <x:c r="F9" s="65"/>
      <x:c r="G9" s="65"/>
      <x:c r="H9" s="65"/>
      <x:c r="I9" s="65"/>
      <x:c r="J9" s="65"/>
      <x:c r="K9" s="65"/>
      <x:c r="L9" s="65"/>
      <x:c r="M9" s="65"/>
      <x:c r="N9" s="65"/>
      <x:c r="O9" s="65"/>
      <x:c r="P9" s="65"/>
      <x:c r="Q9" s="65"/>
      <x:c r="R9" s="65"/>
      <x:c r="S9" s="65"/>
      <x:c r="T9" s="65"/>
      <x:c r="U9" s="65"/>
      <x:c r="V9" s="65"/>
      <x:c r="W9" s="65"/>
      <x:c r="X9" s="65"/>
      <x:c r="Y9" s="65"/>
      <x:c r="Z9" s="65"/>
      <x:c r="AA9" s="65"/>
      <x:c r="AB9" s="65"/>
      <x:c r="AC9" s="65"/>
      <x:c r="AD9" s="65"/>
      <x:c r="AE9" s="65"/>
      <x:c r="AF9" s="65"/>
    </x:row>
    <x:row r="10" ht="15" customHeight="1">
      <x:c r="A10" s="136" t="s">
        <x:v>531</x:v>
      </x:c>
      <x:c r="B10" s="136"/>
      <x:c r="C10" s="137"/>
      <x:c r="D10" s="137"/>
      <x:c r="E10" s="137"/>
      <x:c r="F10" s="137"/>
      <x:c r="G10" s="137"/>
      <x:c r="H10" s="137"/>
      <x:c r="I10" s="137"/>
      <x:c r="J10" s="137"/>
      <x:c r="K10" s="137"/>
      <x:c r="L10" s="137"/>
      <x:c r="M10" s="137"/>
      <x:c r="N10" s="137"/>
      <x:c r="O10" s="137"/>
      <x:c r="P10" s="137"/>
      <x:c r="Q10" s="137"/>
      <x:c r="R10" s="137"/>
      <x:c r="S10" s="137"/>
      <x:c r="T10" s="137"/>
      <x:c r="U10" s="137"/>
      <x:c r="V10" s="137"/>
      <x:c r="W10" s="137"/>
      <x:c r="X10" s="137"/>
      <x:c r="Y10" s="137"/>
      <x:c r="Z10" s="137"/>
      <x:c r="AA10" s="137"/>
      <x:c r="AB10" s="137"/>
      <x:c r="AC10" s="137"/>
      <x:c r="AD10" s="137"/>
      <x:c r="AE10" s="137"/>
      <x:c r="AF10" s="137"/>
    </x:row>
    <x:row r="11" ht="15" customHeight="1">
      <x:c r="A11" s="72" t="s">
        <x:v>364</x:v>
      </x:c>
      <x:c r="B11" s="73" t="s">
        <x:v>532</x:v>
      </x:c>
      <x:c r="C11" s="44" t="n">
        <x:f>IF(C$8=1,Input!$D$26+SUM(CAPEX!$C$23:'CAPEX'!$AF$23),0)</x:f>
        <x:v>0</x:v>
      </x:c>
      <x:c r="D11" s="44" t="n">
        <x:f>IF(D$8=1,Input!$D$26+SUM(CAPEX!$C$23:'CAPEX'!$AF$23),0)</x:f>
        <x:v>0</x:v>
      </x:c>
      <x:c r="E11" s="44" t="n">
        <x:f>IF(E$8=1,Input!$D$26+SUM(CAPEX!$C$23:'CAPEX'!$AF$23),0)</x:f>
        <x:v>6500.245</x:v>
      </x:c>
      <x:c r="F11" s="44" t="n">
        <x:f>IF(F$8=1,Input!$D$26+SUM(CAPEX!$C$23:'CAPEX'!$AF$23),0)</x:f>
        <x:v>0</x:v>
      </x:c>
      <x:c r="G11" s="44" t="n">
        <x:f>IF(G$8=1,Input!$D$26+SUM(CAPEX!$C$23:'CAPEX'!$AF$23),0)</x:f>
        <x:v>0</x:v>
      </x:c>
      <x:c r="H11" s="44" t="n">
        <x:f>IF(H$8=1,Input!$D$26+SUM(CAPEX!$C$23:'CAPEX'!$AF$23),0)</x:f>
        <x:v>0</x:v>
      </x:c>
      <x:c r="I11" s="44" t="n">
        <x:f>IF(I$8=1,Input!$D$26+SUM(CAPEX!$C$23:'CAPEX'!$AF$23),0)</x:f>
        <x:v>0</x:v>
      </x:c>
      <x:c r="J11" s="44" t="n">
        <x:f>IF(J$8=1,Input!$D$26+SUM(CAPEX!$C$23:'CAPEX'!$AF$23),0)</x:f>
        <x:v>0</x:v>
      </x:c>
      <x:c r="K11" s="44" t="n">
        <x:f>IF(K$8=1,Input!$D$26+SUM(CAPEX!$C$23:'CAPEX'!$AF$23),0)</x:f>
        <x:v>0</x:v>
      </x:c>
      <x:c r="L11" s="44" t="n">
        <x:f>IF(L$8=1,Input!$D$26+SUM(CAPEX!$C$23:'CAPEX'!$AF$23),0)</x:f>
        <x:v>0</x:v>
      </x:c>
      <x:c r="M11" s="44" t="n">
        <x:f>IF(M$8=1,Input!$D$26+SUM(CAPEX!$C$23:'CAPEX'!$AF$23),0)</x:f>
        <x:v>0</x:v>
      </x:c>
      <x:c r="N11" s="44" t="n">
        <x:f>IF(N$8=1,Input!$D$26+SUM(CAPEX!$C$23:'CAPEX'!$AF$23),0)</x:f>
        <x:v>0</x:v>
      </x:c>
      <x:c r="O11" s="44" t="n">
        <x:f>IF(O$8=1,Input!$D$26+SUM(CAPEX!$C$23:'CAPEX'!$AF$23),0)</x:f>
        <x:v>0</x:v>
      </x:c>
      <x:c r="P11" s="44" t="n">
        <x:f>IF(P$8=1,Input!$D$26+SUM(CAPEX!$C$23:'CAPEX'!$AF$23),0)</x:f>
        <x:v>0</x:v>
      </x:c>
      <x:c r="Q11" s="44" t="n">
        <x:f>IF(Q$8=1,Input!$D$26+SUM(CAPEX!$C$23:'CAPEX'!$AF$23),0)</x:f>
        <x:v>0</x:v>
      </x:c>
      <x:c r="R11" s="44" t="n">
        <x:f>IF(R$8=1,Input!$D$26+SUM(CAPEX!$C$23:'CAPEX'!$AF$23),0)</x:f>
        <x:v>0</x:v>
      </x:c>
      <x:c r="S11" s="44" t="n">
        <x:f>IF(S$8=1,Input!$D$26+SUM(CAPEX!$C$23:'CAPEX'!$AF$23),0)</x:f>
        <x:v>0</x:v>
      </x:c>
      <x:c r="T11" s="44" t="n">
        <x:f>IF(T$8=1,Input!$D$26+SUM(CAPEX!$C$23:'CAPEX'!$AF$23),0)</x:f>
        <x:v>0</x:v>
      </x:c>
      <x:c r="U11" s="44" t="n">
        <x:f>IF(U$8=1,Input!$D$26+SUM(CAPEX!$C$23:'CAPEX'!$AF$23),0)</x:f>
        <x:v>0</x:v>
      </x:c>
      <x:c r="V11" s="44" t="n">
        <x:f>IF(V$8=1,Input!$D$26+SUM(CAPEX!$C$23:'CAPEX'!$AF$23),0)</x:f>
        <x:v>0</x:v>
      </x:c>
      <x:c r="W11" s="44" t="n">
        <x:f>IF(W$8=1,Input!$D$26+SUM(CAPEX!$C$23:'CAPEX'!$AF$23),0)</x:f>
        <x:v>0</x:v>
      </x:c>
      <x:c r="X11" s="44" t="n">
        <x:f>IF(X$8=1,Input!$D$26+SUM(CAPEX!$C$23:'CAPEX'!$AF$23),0)</x:f>
        <x:v>0</x:v>
      </x:c>
      <x:c r="Y11" s="44" t="n">
        <x:f>IF(Y$8=1,Input!$D$26+SUM(CAPEX!$C$23:'CAPEX'!$AF$23),0)</x:f>
        <x:v>0</x:v>
      </x:c>
      <x:c r="Z11" s="44" t="n">
        <x:f>IF(Z$8=1,Input!$D$26+SUM(CAPEX!$C$23:'CAPEX'!$AF$23),0)</x:f>
        <x:v>0</x:v>
      </x:c>
      <x:c r="AA11" s="44" t="n">
        <x:f>IF(AA$8=1,Input!$D$26+SUM(CAPEX!$C$23:'CAPEX'!$AF$23),0)</x:f>
        <x:v>0</x:v>
      </x:c>
      <x:c r="AB11" s="44" t="n">
        <x:f>IF(AB$8=1,Input!$D$26+SUM(CAPEX!$C$23:'CAPEX'!$AF$23),0)</x:f>
        <x:v>0</x:v>
      </x:c>
      <x:c r="AC11" s="44" t="n">
        <x:f>IF(AC$8=1,Input!$D$26+SUM(CAPEX!$C$23:'CAPEX'!$AF$23),0)</x:f>
        <x:v>0</x:v>
      </x:c>
      <x:c r="AD11" s="44" t="n">
        <x:f>IF(AD$8=1,Input!$D$26+SUM(CAPEX!$C$23:'CAPEX'!$AF$23),0)</x:f>
        <x:v>0</x:v>
      </x:c>
      <x:c r="AE11" s="44" t="n">
        <x:f>IF(AE$8=1,Input!$D$26+SUM(CAPEX!$C$23:'CAPEX'!$AF$23),0)</x:f>
        <x:v>0</x:v>
      </x:c>
      <x:c r="AF11" s="44" t="n">
        <x:f>IF(AF$8=1,Input!$D$26+SUM(CAPEX!$C$23:'CAPEX'!$AF$23),0)</x:f>
        <x:v>0</x:v>
      </x:c>
    </x:row>
    <x:row r="12" ht="15" customHeight="1">
      <x:c r="A12" s="72" t="s">
        <x:v>368</x:v>
      </x:c>
      <x:c r="B12" s="73" t="s">
        <x:v>533</x:v>
      </x:c>
      <x:c r="C12" s="44" t="n">
        <x:f>IF(AND(C$8&gt;=1,C$8&lt;=Input!$D$72),(Input!$D$26+SUM(CAPEX!$C$23:'CAPEX'!$AF$23))/Input!$D$72,0)</x:f>
        <x:v>0</x:v>
      </x:c>
      <x:c r="D12" s="44" t="n">
        <x:f>IF(AND(D$8&gt;=1,D$8&lt;=Input!$D$72),(Input!$D$26+SUM(CAPEX!$C$23:'CAPEX'!$AF$23))/Input!$D$72,0)</x:f>
        <x:v>0</x:v>
      </x:c>
      <x:c r="E12" s="44" t="n">
        <x:f>IF(AND(E$8&gt;=1,E$8&lt;=Input!$D$72),(Input!$D$26+SUM(CAPEX!$C$23:'CAPEX'!$AF$23))/Input!$D$72,0)</x:f>
        <x:v>325.01225</x:v>
      </x:c>
      <x:c r="F12" s="44" t="n">
        <x:f>IF(AND(F$8&gt;=1,F$8&lt;=Input!$D$72),(Input!$D$26+SUM(CAPEX!$C$23:'CAPEX'!$AF$23))/Input!$D$72,0)</x:f>
        <x:v>325.01225</x:v>
      </x:c>
      <x:c r="G12" s="44" t="n">
        <x:f>IF(AND(G$8&gt;=1,G$8&lt;=Input!$D$72),(Input!$D$26+SUM(CAPEX!$C$23:'CAPEX'!$AF$23))/Input!$D$72,0)</x:f>
        <x:v>325.01225</x:v>
      </x:c>
      <x:c r="H12" s="44" t="n">
        <x:f>IF(AND(H$8&gt;=1,H$8&lt;=Input!$D$72),(Input!$D$26+SUM(CAPEX!$C$23:'CAPEX'!$AF$23))/Input!$D$72,0)</x:f>
        <x:v>325.01225</x:v>
      </x:c>
      <x:c r="I12" s="44" t="n">
        <x:f>IF(AND(I$8&gt;=1,I$8&lt;=Input!$D$72),(Input!$D$26+SUM(CAPEX!$C$23:'CAPEX'!$AF$23))/Input!$D$72,0)</x:f>
        <x:v>325.01225</x:v>
      </x:c>
      <x:c r="J12" s="44" t="n">
        <x:f>IF(AND(J$8&gt;=1,J$8&lt;=Input!$D$72),(Input!$D$26+SUM(CAPEX!$C$23:'CAPEX'!$AF$23))/Input!$D$72,0)</x:f>
        <x:v>325.01225</x:v>
      </x:c>
      <x:c r="K12" s="44" t="n">
        <x:f>IF(AND(K$8&gt;=1,K$8&lt;=Input!$D$72),(Input!$D$26+SUM(CAPEX!$C$23:'CAPEX'!$AF$23))/Input!$D$72,0)</x:f>
        <x:v>325.01225</x:v>
      </x:c>
      <x:c r="L12" s="44" t="n">
        <x:f>IF(AND(L$8&gt;=1,L$8&lt;=Input!$D$72),(Input!$D$26+SUM(CAPEX!$C$23:'CAPEX'!$AF$23))/Input!$D$72,0)</x:f>
        <x:v>325.01225</x:v>
      </x:c>
      <x:c r="M12" s="44" t="n">
        <x:f>IF(AND(M$8&gt;=1,M$8&lt;=Input!$D$72),(Input!$D$26+SUM(CAPEX!$C$23:'CAPEX'!$AF$23))/Input!$D$72,0)</x:f>
        <x:v>325.01225</x:v>
      </x:c>
      <x:c r="N12" s="44" t="n">
        <x:f>IF(AND(N$8&gt;=1,N$8&lt;=Input!$D$72),(Input!$D$26+SUM(CAPEX!$C$23:'CAPEX'!$AF$23))/Input!$D$72,0)</x:f>
        <x:v>325.01225</x:v>
      </x:c>
      <x:c r="O12" s="44" t="n">
        <x:f>IF(AND(O$8&gt;=1,O$8&lt;=Input!$D$72),(Input!$D$26+SUM(CAPEX!$C$23:'CAPEX'!$AF$23))/Input!$D$72,0)</x:f>
        <x:v>325.01225</x:v>
      </x:c>
      <x:c r="P12" s="44" t="n">
        <x:f>IF(AND(P$8&gt;=1,P$8&lt;=Input!$D$72),(Input!$D$26+SUM(CAPEX!$C$23:'CAPEX'!$AF$23))/Input!$D$72,0)</x:f>
        <x:v>325.01225</x:v>
      </x:c>
      <x:c r="Q12" s="44" t="n">
        <x:f>IF(AND(Q$8&gt;=1,Q$8&lt;=Input!$D$72),(Input!$D$26+SUM(CAPEX!$C$23:'CAPEX'!$AF$23))/Input!$D$72,0)</x:f>
        <x:v>325.01225</x:v>
      </x:c>
      <x:c r="R12" s="44" t="n">
        <x:f>IF(AND(R$8&gt;=1,R$8&lt;=Input!$D$72),(Input!$D$26+SUM(CAPEX!$C$23:'CAPEX'!$AF$23))/Input!$D$72,0)</x:f>
        <x:v>325.01225</x:v>
      </x:c>
      <x:c r="S12" s="44" t="n">
        <x:f>IF(AND(S$8&gt;=1,S$8&lt;=Input!$D$72),(Input!$D$26+SUM(CAPEX!$C$23:'CAPEX'!$AF$23))/Input!$D$72,0)</x:f>
        <x:v>325.01225</x:v>
      </x:c>
      <x:c r="T12" s="44" t="n">
        <x:f>IF(AND(T$8&gt;=1,T$8&lt;=Input!$D$72),(Input!$D$26+SUM(CAPEX!$C$23:'CAPEX'!$AF$23))/Input!$D$72,0)</x:f>
        <x:v>325.01225</x:v>
      </x:c>
      <x:c r="U12" s="44" t="n">
        <x:f>IF(AND(U$8&gt;=1,U$8&lt;=Input!$D$72),(Input!$D$26+SUM(CAPEX!$C$23:'CAPEX'!$AF$23))/Input!$D$72,0)</x:f>
        <x:v>325.01225</x:v>
      </x:c>
      <x:c r="V12" s="44" t="n">
        <x:f>IF(AND(V$8&gt;=1,V$8&lt;=Input!$D$72),(Input!$D$26+SUM(CAPEX!$C$23:'CAPEX'!$AF$23))/Input!$D$72,0)</x:f>
        <x:v>325.01225</x:v>
      </x:c>
      <x:c r="W12" s="44" t="n">
        <x:f>IF(AND(W$8&gt;=1,W$8&lt;=Input!$D$72),(Input!$D$26+SUM(CAPEX!$C$23:'CAPEX'!$AF$23))/Input!$D$72,0)</x:f>
        <x:v>325.01225</x:v>
      </x:c>
      <x:c r="X12" s="44" t="n">
        <x:f>IF(AND(X$8&gt;=1,X$8&lt;=Input!$D$72),(Input!$D$26+SUM(CAPEX!$C$23:'CAPEX'!$AF$23))/Input!$D$72,0)</x:f>
        <x:v>325.01225</x:v>
      </x:c>
      <x:c r="Y12" s="44" t="n">
        <x:f>IF(AND(Y$8&gt;=1,Y$8&lt;=Input!$D$72),(Input!$D$26+SUM(CAPEX!$C$23:'CAPEX'!$AF$23))/Input!$D$72,0)</x:f>
        <x:v>0</x:v>
      </x:c>
      <x:c r="Z12" s="44" t="n">
        <x:f>IF(AND(Z$8&gt;=1,Z$8&lt;=Input!$D$72),(Input!$D$26+SUM(CAPEX!$C$23:'CAPEX'!$AF$23))/Input!$D$72,0)</x:f>
        <x:v>0</x:v>
      </x:c>
      <x:c r="AA12" s="44" t="n">
        <x:f>IF(AND(AA$8&gt;=1,AA$8&lt;=Input!$D$72),(Input!$D$26+SUM(CAPEX!$C$23:'CAPEX'!$AF$23))/Input!$D$72,0)</x:f>
        <x:v>0</x:v>
      </x:c>
      <x:c r="AB12" s="44" t="n">
        <x:f>IF(AND(AB$8&gt;=1,AB$8&lt;=Input!$D$72),(Input!$D$26+SUM(CAPEX!$C$23:'CAPEX'!$AF$23))/Input!$D$72,0)</x:f>
        <x:v>0</x:v>
      </x:c>
      <x:c r="AC12" s="44" t="n">
        <x:f>IF(AND(AC$8&gt;=1,AC$8&lt;=Input!$D$72),(Input!$D$26+SUM(CAPEX!$C$23:'CAPEX'!$AF$23))/Input!$D$72,0)</x:f>
        <x:v>0</x:v>
      </x:c>
      <x:c r="AD12" s="44" t="n">
        <x:f>IF(AND(AD$8&gt;=1,AD$8&lt;=Input!$D$72),(Input!$D$26+SUM(CAPEX!$C$23:'CAPEX'!$AF$23))/Input!$D$72,0)</x:f>
        <x:v>0</x:v>
      </x:c>
      <x:c r="AE12" s="44" t="n">
        <x:f>IF(AND(AE$8&gt;=1,AE$8&lt;=Input!$D$72),(Input!$D$26+SUM(CAPEX!$C$23:'CAPEX'!$AF$23))/Input!$D$72,0)</x:f>
        <x:v>0</x:v>
      </x:c>
      <x:c r="AF12" s="44" t="n">
        <x:f>IF(AND(AF$8&gt;=1,AF$8&lt;=Input!$D$72),(Input!$D$26+SUM(CAPEX!$C$23:'CAPEX'!$AF$23))/Input!$D$72,0)</x:f>
        <x:v>0</x:v>
      </x:c>
    </x:row>
    <x:row r="13" ht="15" customHeight="1">
      <x:c r="A13" s="70"/>
      <x:c r="B13" s="70"/>
      <x:c r="C13" s="65"/>
      <x:c r="D13" s="65"/>
      <x:c r="E13" s="65"/>
      <x:c r="F13" s="65"/>
      <x:c r="G13" s="65"/>
      <x:c r="H13" s="65"/>
      <x:c r="I13" s="65"/>
      <x:c r="J13" s="65"/>
      <x:c r="K13" s="65"/>
      <x:c r="L13" s="65"/>
      <x:c r="M13" s="65"/>
      <x:c r="N13" s="65"/>
      <x:c r="O13" s="65"/>
      <x:c r="P13" s="65"/>
      <x:c r="Q13" s="65"/>
      <x:c r="R13" s="65"/>
      <x:c r="S13" s="65"/>
      <x:c r="T13" s="65"/>
      <x:c r="U13" s="65"/>
      <x:c r="V13" s="65"/>
      <x:c r="W13" s="65"/>
      <x:c r="X13" s="65"/>
      <x:c r="Y13" s="65"/>
      <x:c r="Z13" s="65"/>
      <x:c r="AA13" s="65"/>
      <x:c r="AB13" s="65"/>
      <x:c r="AC13" s="65"/>
      <x:c r="AD13" s="65"/>
      <x:c r="AE13" s="65"/>
      <x:c r="AF13" s="65"/>
    </x:row>
    <x:row r="14" ht="15" customHeight="1">
      <x:c r="A14" s="136" t="s">
        <x:v>534</x:v>
      </x:c>
      <x:c r="B14" s="136"/>
      <x:c r="C14" s="137"/>
      <x:c r="D14" s="137"/>
      <x:c r="E14" s="137"/>
      <x:c r="F14" s="137"/>
      <x:c r="G14" s="137"/>
      <x:c r="H14" s="137"/>
      <x:c r="I14" s="137"/>
      <x:c r="J14" s="137"/>
      <x:c r="K14" s="137"/>
      <x:c r="L14" s="137"/>
      <x:c r="M14" s="137"/>
      <x:c r="N14" s="137"/>
      <x:c r="O14" s="137"/>
      <x:c r="P14" s="137"/>
      <x:c r="Q14" s="137"/>
      <x:c r="R14" s="137"/>
      <x:c r="S14" s="137"/>
      <x:c r="T14" s="137"/>
      <x:c r="U14" s="137"/>
      <x:c r="V14" s="137"/>
      <x:c r="W14" s="137"/>
      <x:c r="X14" s="137"/>
      <x:c r="Y14" s="137"/>
      <x:c r="Z14" s="137"/>
      <x:c r="AA14" s="137"/>
      <x:c r="AB14" s="137"/>
      <x:c r="AC14" s="137"/>
      <x:c r="AD14" s="137"/>
      <x:c r="AE14" s="137"/>
      <x:c r="AF14" s="137"/>
    </x:row>
    <x:row r="15" ht="15" customHeight="1">
      <x:c r="A15" s="72" t="s">
        <x:v>372</x:v>
      </x:c>
      <x:c r="B15" s="72" t="s">
        <x:v>47</x:v>
      </x:c>
      <x:c r="C15" s="45" t="n">
        <x:f>Energy_Revenue!C20</x:f>
        <x:v>0</x:v>
      </x:c>
      <x:c r="D15" s="45" t="n">
        <x:f>Energy_Revenue!D20</x:f>
        <x:v>0</x:v>
      </x:c>
      <x:c r="E15" s="45" t="n">
        <x:f>Energy_Revenue!E20</x:f>
        <x:v>732.672496</x:v>
      </x:c>
      <x:c r="F15" s="45" t="n">
        <x:f>Energy_Revenue!F20</x:f>
        <x:v>745.5818020281602</x:v>
      </x:c>
      <x:c r="G15" s="45" t="n">
        <x:f>Energy_Revenue!G20</x:f>
        <x:v>758.7179693525859</x:v>
      </x:c>
      <x:c r="H15" s="45" t="n">
        <x:f>Energy_Revenue!H20</x:f>
        <x:v>772.0849726053582</x:v>
      </x:c>
      <x:c r="I15" s="45" t="n">
        <x:f>Energy_Revenue!I20</x:f>
        <x:v>785.6868558070145</x:v>
      </x:c>
      <x:c r="J15" s="45" t="n">
        <x:f>Energy_Revenue!J20</x:f>
        <x:v>799.5277335728458</x:v>
      </x:c>
      <x:c r="K15" s="45" t="n">
        <x:f>Energy_Revenue!K20</x:f>
        <x:v>813.6117923400622</x:v>
      </x:c>
      <x:c r="L15" s="45" t="n">
        <x:f>Energy_Revenue!L20</x:f>
        <x:v>827.9432916161825</x:v>
      </x:c>
      <x:c r="M15" s="45" t="n">
        <x:f>Energy_Revenue!M20</x:f>
        <x:v>842.5265652490161</x:v>
      </x:c>
      <x:c r="N15" s="45" t="n">
        <x:f>Energy_Revenue!N20</x:f>
        <x:v>857.3660227186035</x:v>
      </x:c>
      <x:c r="O15" s="45" t="n">
        <x:f>Energy_Revenue!O20</x:f>
        <x:v>872.466150451499</x:v>
      </x:c>
      <x:c r="P15" s="45" t="n">
        <x:f>Energy_Revenue!P20</x:f>
        <x:v>887.8315131577742</x:v>
      </x:c>
      <x:c r="Q15" s="45" t="n">
        <x:f>Energy_Revenue!Q20</x:f>
        <x:v>903.4667551911382</x:v>
      </x:c>
      <x:c r="R15" s="45" t="n">
        <x:f>Energy_Revenue!R20</x:f>
        <x:v>919.3766019325616</x:v>
      </x:c>
      <x:c r="S15" s="45" t="n">
        <x:f>Energy_Revenue!S20</x:f>
        <x:v>935.5658611978257</x:v>
      </x:c>
      <x:c r="T15" s="45" t="n">
        <x:f>Energy_Revenue!T20</x:f>
        <x:v>952.0394246693843</x:v>
      </x:c>
      <x:c r="U15" s="45" t="n">
        <x:f>Energy_Revenue!U20</x:f>
        <x:v>968.8022693529813</x:v>
      </x:c>
      <x:c r="V15" s="45" t="n">
        <x:f>Energy_Revenue!V20</x:f>
        <x:v>985.8594590594267</x:v>
      </x:c>
      <x:c r="W15" s="45" t="n">
        <x:f>Energy_Revenue!W20</x:f>
        <x:v>1003.2161459119764</x:v>
      </x:c>
      <x:c r="X15" s="45" t="n">
        <x:f>Energy_Revenue!X20</x:f>
        <x:v>1020.877571879755</x:v>
      </x:c>
      <x:c r="Y15" s="45" t="n">
        <x:f>Energy_Revenue!Y20</x:f>
        <x:v>0</x:v>
      </x:c>
      <x:c r="Z15" s="45" t="n">
        <x:f>Energy_Revenue!Z20</x:f>
        <x:v>0</x:v>
      </x:c>
      <x:c r="AA15" s="45" t="n">
        <x:f>Energy_Revenue!AA20</x:f>
        <x:v>0</x:v>
      </x:c>
      <x:c r="AB15" s="45" t="n">
        <x:f>Energy_Revenue!AB20</x:f>
        <x:v>0</x:v>
      </x:c>
      <x:c r="AC15" s="45" t="n">
        <x:f>Energy_Revenue!AC20</x:f>
        <x:v>0</x:v>
      </x:c>
      <x:c r="AD15" s="45" t="n">
        <x:f>Energy_Revenue!AD20</x:f>
        <x:v>0</x:v>
      </x:c>
      <x:c r="AE15" s="45" t="n">
        <x:f>Energy_Revenue!AE20</x:f>
        <x:v>0</x:v>
      </x:c>
      <x:c r="AF15" s="45" t="n">
        <x:f>Energy_Revenue!AF20</x:f>
        <x:v>0</x:v>
      </x:c>
    </x:row>
    <x:row r="16" ht="15" customHeight="1">
      <x:c r="A16" s="72" t="s">
        <x:v>376</x:v>
      </x:c>
      <x:c r="B16" s="73" t="s">
        <x:v>43</x:v>
      </x:c>
      <x:c r="C16" s="44" t="n">
        <x:f t="shared" ref="C16:AF16" si="0">C15-C12</x:f>
        <x:v>0</x:v>
      </x:c>
      <x:c r="D16" s="44">
        <x:f t="shared" si="0"/>
        <x:v>0</x:v>
      </x:c>
      <x:c r="E16" s="44">
        <x:f t="shared" si="0"/>
        <x:v>407.66024600000003</x:v>
      </x:c>
      <x:c r="F16" s="44">
        <x:f t="shared" si="0"/>
        <x:v>420.56955202816016</x:v>
      </x:c>
      <x:c r="G16" s="44">
        <x:f t="shared" si="0"/>
        <x:v>433.7057193525859</x:v>
      </x:c>
      <x:c r="H16" s="44">
        <x:f t="shared" si="0"/>
        <x:v>447.07272260535819</x:v>
      </x:c>
      <x:c r="I16" s="44">
        <x:f t="shared" si="0"/>
        <x:v>460.67460580701447</x:v>
      </x:c>
      <x:c r="J16" s="44">
        <x:f t="shared" si="0"/>
        <x:v>474.51548357284582</x:v>
      </x:c>
      <x:c r="K16" s="44">
        <x:f t="shared" si="0"/>
        <x:v>488.59954234006216</x:v>
      </x:c>
      <x:c r="L16" s="44">
        <x:f t="shared" si="0"/>
        <x:v>502.93104161618248</x:v>
      </x:c>
      <x:c r="M16" s="44">
        <x:f t="shared" si="0"/>
        <x:v>517.51431524901614</x:v>
      </x:c>
      <x:c r="N16" s="44">
        <x:f t="shared" si="0"/>
        <x:v>532.35377271860352</x:v>
      </x:c>
      <x:c r="O16" s="44">
        <x:f t="shared" si="0"/>
        <x:v>547.45390045149895</x:v>
      </x:c>
      <x:c r="P16" s="44">
        <x:f t="shared" si="0"/>
        <x:v>562.81926315777423</x:v>
      </x:c>
      <x:c r="Q16" s="44">
        <x:f t="shared" si="0"/>
        <x:v>578.4545051911382</x:v>
      </x:c>
      <x:c r="R16" s="44">
        <x:f t="shared" si="0"/>
        <x:v>594.36435193256159</x:v>
      </x:c>
      <x:c r="S16" s="44">
        <x:f t="shared" si="0"/>
        <x:v>610.55361119782572</x:v>
      </x:c>
      <x:c r="T16" s="44">
        <x:f t="shared" si="0"/>
        <x:v>627.02717466938429</x:v>
      </x:c>
      <x:c r="U16" s="44">
        <x:f t="shared" si="0"/>
        <x:v>643.79001935298129</x:v>
      </x:c>
      <x:c r="V16" s="44">
        <x:f t="shared" si="0"/>
        <x:v>660.84720905942675</x:v>
      </x:c>
      <x:c r="W16" s="44">
        <x:f t="shared" si="0"/>
        <x:v>678.20389591197636</x:v>
      </x:c>
      <x:c r="X16" s="44">
        <x:f t="shared" si="0"/>
        <x:v>695.86532187975502</x:v>
      </x:c>
      <x:c r="Y16" s="44">
        <x:f t="shared" si="0"/>
        <x:v>0</x:v>
      </x:c>
      <x:c r="Z16" s="44">
        <x:f t="shared" si="0"/>
        <x:v>0</x:v>
      </x:c>
      <x:c r="AA16" s="44">
        <x:f t="shared" si="0"/>
        <x:v>0</x:v>
      </x:c>
      <x:c r="AB16" s="44">
        <x:f t="shared" si="0"/>
        <x:v>0</x:v>
      </x:c>
      <x:c r="AC16" s="44">
        <x:f t="shared" si="0"/>
        <x:v>0</x:v>
      </x:c>
      <x:c r="AD16" s="44">
        <x:f t="shared" si="0"/>
        <x:v>0</x:v>
      </x:c>
      <x:c r="AE16" s="44">
        <x:f t="shared" si="0"/>
        <x:v>0</x:v>
      </x:c>
      <x:c r="AF16" s="44">
        <x:f t="shared" si="0"/>
        <x:v>0</x:v>
      </x:c>
    </x:row>
    <x:row r="17" ht="15" customHeight="1">
      <x:c r="A17" s="72" t="s">
        <x:v>380</x:v>
      </x:c>
      <x:c r="B17" s="72" t="s">
        <x:v>506</x:v>
      </x:c>
      <x:c r="C17" s="45" t="n">
        <x:f>IF(C$8&gt;0,Debt!C16,0)</x:f>
        <x:v>0</x:v>
      </x:c>
      <x:c r="D17" s="45" t="n">
        <x:f>IF(D$8&gt;0,Debt!D16,0)</x:f>
        <x:v>0</x:v>
      </x:c>
      <x:c r="E17" s="45" t="n">
        <x:f>IF(E$8&gt;0,Debt!E16,0)</x:f>
        <x:v>428.05</x:v>
      </x:c>
      <x:c r="F17" s="45" t="n">
        <x:f>IF(F$8&gt;0,Debt!F16,0)</x:f>
        <x:v>392.37916666666666</x:v>
      </x:c>
      <x:c r="G17" s="45" t="n">
        <x:f>IF(G$8&gt;0,Debt!G16,0)</x:f>
        <x:v>356.7083333333333</x:v>
      </x:c>
      <x:c r="H17" s="45" t="n">
        <x:f>IF(H$8&gt;0,Debt!H16,0)</x:f>
        <x:v>321.03749999999997</x:v>
      </x:c>
      <x:c r="I17" s="45" t="n">
        <x:f>IF(I$8&gt;0,Debt!I16,0)</x:f>
        <x:v>285.3666666666666</x:v>
      </x:c>
      <x:c r="J17" s="45" t="n">
        <x:f>IF(J$8&gt;0,Debt!J16,0)</x:f>
        <x:v>249.69583333333327</x:v>
      </x:c>
      <x:c r="K17" s="45" t="n">
        <x:f>IF(K$8&gt;0,Debt!K16,0)</x:f>
        <x:v>214.02499999999992</x:v>
      </x:c>
      <x:c r="L17" s="45" t="n">
        <x:f>IF(L$8&gt;0,Debt!L16,0)</x:f>
        <x:v>178.3541666666666</x:v>
      </x:c>
      <x:c r="M17" s="45" t="n">
        <x:f>IF(M$8&gt;0,Debt!M16,0)</x:f>
        <x:v>142.68333333333325</x:v>
      </x:c>
      <x:c r="N17" s="45" t="n">
        <x:f>IF(N$8&gt;0,Debt!N16,0)</x:f>
        <x:v>107.01249999999993</x:v>
      </x:c>
      <x:c r="O17" s="45" t="n">
        <x:f>IF(O$8&gt;0,Debt!O16,0)</x:f>
        <x:v>71.34166666666661</x:v>
      </x:c>
      <x:c r="P17" s="45" t="n">
        <x:f>IF(P$8&gt;0,Debt!P16,0)</x:f>
        <x:v>35.67083333333328</x:v>
      </x:c>
      <x:c r="Q17" s="45" t="n">
        <x:f>IF(Q$8&gt;0,Debt!Q16,0)</x:f>
        <x:v>0</x:v>
      </x:c>
      <x:c r="R17" s="45" t="n">
        <x:f>IF(R$8&gt;0,Debt!R16,0)</x:f>
        <x:v>0</x:v>
      </x:c>
      <x:c r="S17" s="45" t="n">
        <x:f>IF(S$8&gt;0,Debt!S16,0)</x:f>
        <x:v>0</x:v>
      </x:c>
      <x:c r="T17" s="45" t="n">
        <x:f>IF(T$8&gt;0,Debt!T16,0)</x:f>
        <x:v>0</x:v>
      </x:c>
      <x:c r="U17" s="45" t="n">
        <x:f>IF(U$8&gt;0,Debt!U16,0)</x:f>
        <x:v>0</x:v>
      </x:c>
      <x:c r="V17" s="45" t="n">
        <x:f>IF(V$8&gt;0,Debt!V16,0)</x:f>
        <x:v>0</x:v>
      </x:c>
      <x:c r="W17" s="45" t="n">
        <x:f>IF(W$8&gt;0,Debt!W16,0)</x:f>
        <x:v>0</x:v>
      </x:c>
      <x:c r="X17" s="45" t="n">
        <x:f>IF(X$8&gt;0,Debt!X16,0)</x:f>
        <x:v>0</x:v>
      </x:c>
      <x:c r="Y17" s="45" t="n">
        <x:f>IF(Y$8&gt;0,Debt!Y16,0)</x:f>
        <x:v>0</x:v>
      </x:c>
      <x:c r="Z17" s="45" t="n">
        <x:f>IF(Z$8&gt;0,Debt!Z16,0)</x:f>
        <x:v>0</x:v>
      </x:c>
      <x:c r="AA17" s="45" t="n">
        <x:f>IF(AA$8&gt;0,Debt!AA16,0)</x:f>
        <x:v>0</x:v>
      </x:c>
      <x:c r="AB17" s="45" t="n">
        <x:f>IF(AB$8&gt;0,Debt!AB16,0)</x:f>
        <x:v>0</x:v>
      </x:c>
      <x:c r="AC17" s="45" t="n">
        <x:f>IF(AC$8&gt;0,Debt!AC16,0)</x:f>
        <x:v>0</x:v>
      </x:c>
      <x:c r="AD17" s="45" t="n">
        <x:f>IF(AD$8&gt;0,Debt!AD16,0)</x:f>
        <x:v>0</x:v>
      </x:c>
      <x:c r="AE17" s="45" t="n">
        <x:f>IF(AE$8&gt;0,Debt!AE16,0)</x:f>
        <x:v>0</x:v>
      </x:c>
      <x:c r="AF17" s="45" t="n">
        <x:f>IF(AF$8&gt;0,Debt!AF16,0)</x:f>
        <x:v>0</x:v>
      </x:c>
    </x:row>
    <x:row r="18" ht="15" customHeight="1">
      <x:c r="A18" s="72" t="s">
        <x:v>384</x:v>
      </x:c>
      <x:c r="B18" s="72" t="s">
        <x:v>535</x:v>
      </x:c>
      <x:c r="C18" s="45" t="n">
        <x:f t="shared" ref="C18:AF18" si="1">C16-C17</x:f>
        <x:v>0</x:v>
      </x:c>
      <x:c r="D18" s="45">
        <x:f t="shared" si="1"/>
        <x:v>0</x:v>
      </x:c>
      <x:c r="E18" s="45">
        <x:f t="shared" si="1"/>
        <x:v>-20.389753999999982</x:v>
      </x:c>
      <x:c r="F18" s="45">
        <x:f t="shared" si="1"/>
        <x:v>28.190385361493497</x:v>
      </x:c>
      <x:c r="G18" s="45">
        <x:f t="shared" si="1"/>
        <x:v>76.997386019252588</x:v>
      </x:c>
      <x:c r="H18" s="45">
        <x:f t="shared" si="1"/>
        <x:v>126.03522260535823</x:v>
      </x:c>
      <x:c r="I18" s="45">
        <x:f t="shared" si="1"/>
        <x:v>175.30793914034786</x:v>
      </x:c>
      <x:c r="J18" s="45">
        <x:f t="shared" si="1"/>
        <x:v>224.81965023951255</x:v>
      </x:c>
      <x:c r="K18" s="45">
        <x:f t="shared" si="1"/>
        <x:v>274.57454234006224</x:v>
      </x:c>
      <x:c r="L18" s="45">
        <x:f t="shared" si="1"/>
        <x:v>324.57687494951585</x:v>
      </x:c>
      <x:c r="M18" s="45">
        <x:f t="shared" si="1"/>
        <x:v>374.83098191568286</x:v>
      </x:c>
      <x:c r="N18" s="45">
        <x:f t="shared" si="1"/>
        <x:v>425.34127271860359</x:v>
      </x:c>
      <x:c r="O18" s="45">
        <x:f t="shared" si="1"/>
        <x:v>476.11223378483237</x:v>
      </x:c>
      <x:c r="P18" s="45">
        <x:f t="shared" si="1"/>
        <x:v>527.148429824441</x:v>
      </x:c>
      <x:c r="Q18" s="45">
        <x:f t="shared" si="1"/>
        <x:v>578.4545051911382</x:v>
      </x:c>
      <x:c r="R18" s="45">
        <x:f t="shared" si="1"/>
        <x:v>594.36435193256159</x:v>
      </x:c>
      <x:c r="S18" s="45">
        <x:f t="shared" si="1"/>
        <x:v>610.55361119782572</x:v>
      </x:c>
      <x:c r="T18" s="45">
        <x:f t="shared" si="1"/>
        <x:v>627.02717466938429</x:v>
      </x:c>
      <x:c r="U18" s="45">
        <x:f t="shared" si="1"/>
        <x:v>643.79001935298129</x:v>
      </x:c>
      <x:c r="V18" s="45">
        <x:f t="shared" si="1"/>
        <x:v>660.84720905942675</x:v>
      </x:c>
      <x:c r="W18" s="45">
        <x:f t="shared" si="1"/>
        <x:v>678.20389591197636</x:v>
      </x:c>
      <x:c r="X18" s="45">
        <x:f t="shared" si="1"/>
        <x:v>695.86532187975502</x:v>
      </x:c>
      <x:c r="Y18" s="45">
        <x:f t="shared" si="1"/>
        <x:v>0</x:v>
      </x:c>
      <x:c r="Z18" s="45">
        <x:f t="shared" si="1"/>
        <x:v>0</x:v>
      </x:c>
      <x:c r="AA18" s="45">
        <x:f t="shared" si="1"/>
        <x:v>0</x:v>
      </x:c>
      <x:c r="AB18" s="45">
        <x:f t="shared" si="1"/>
        <x:v>0</x:v>
      </x:c>
      <x:c r="AC18" s="45">
        <x:f t="shared" si="1"/>
        <x:v>0</x:v>
      </x:c>
      <x:c r="AD18" s="45">
        <x:f t="shared" si="1"/>
        <x:v>0</x:v>
      </x:c>
      <x:c r="AE18" s="45">
        <x:f t="shared" si="1"/>
        <x:v>0</x:v>
      </x:c>
      <x:c r="AF18" s="45">
        <x:f t="shared" si="1"/>
        <x:v>0</x:v>
      </x:c>
    </x:row>
    <x:row r="19" ht="15" customHeight="1">
      <x:c r="A19" s="72" t="s">
        <x:v>388</x:v>
      </x:c>
      <x:c r="B19" s="72" t="s">
        <x:v>536</x:v>
      </x:c>
      <x:c r="C19" s="45" t="n">
        <x:f>0</x:f>
        <x:v>0</x:v>
      </x:c>
      <x:c r="D19" s="45" t="n">
        <x:f t="shared" ref="D19:AF19" si="2">C22</x:f>
        <x:v>0</x:v>
      </x:c>
      <x:c r="E19" s="45">
        <x:f t="shared" si="2"/>
        <x:v>0</x:v>
      </x:c>
      <x:c r="F19" s="45">
        <x:f t="shared" si="2"/>
        <x:v>20.389753999999982</x:v>
      </x:c>
      <x:c r="G19" s="45">
        <x:f t="shared" si="2"/>
        <x:v>0</x:v>
      </x:c>
      <x:c r="H19" s="45">
        <x:f t="shared" si="2"/>
        <x:v>0</x:v>
      </x:c>
      <x:c r="I19" s="45">
        <x:f t="shared" si="2"/>
        <x:v>0</x:v>
      </x:c>
      <x:c r="J19" s="45">
        <x:f t="shared" si="2"/>
        <x:v>0</x:v>
      </x:c>
      <x:c r="K19" s="45">
        <x:f t="shared" si="2"/>
        <x:v>0</x:v>
      </x:c>
      <x:c r="L19" s="45">
        <x:f t="shared" si="2"/>
        <x:v>0</x:v>
      </x:c>
      <x:c r="M19" s="45">
        <x:f t="shared" si="2"/>
        <x:v>0</x:v>
      </x:c>
      <x:c r="N19" s="45">
        <x:f t="shared" si="2"/>
        <x:v>0</x:v>
      </x:c>
      <x:c r="O19" s="45">
        <x:f t="shared" si="2"/>
        <x:v>0</x:v>
      </x:c>
      <x:c r="P19" s="45">
        <x:f t="shared" si="2"/>
        <x:v>0</x:v>
      </x:c>
      <x:c r="Q19" s="45">
        <x:f t="shared" si="2"/>
        <x:v>0</x:v>
      </x:c>
      <x:c r="R19" s="45">
        <x:f t="shared" si="2"/>
        <x:v>0</x:v>
      </x:c>
      <x:c r="S19" s="45">
        <x:f t="shared" si="2"/>
        <x:v>0</x:v>
      </x:c>
      <x:c r="T19" s="45">
        <x:f t="shared" si="2"/>
        <x:v>0</x:v>
      </x:c>
      <x:c r="U19" s="45">
        <x:f t="shared" si="2"/>
        <x:v>0</x:v>
      </x:c>
      <x:c r="V19" s="45">
        <x:f t="shared" si="2"/>
        <x:v>0</x:v>
      </x:c>
      <x:c r="W19" s="45">
        <x:f t="shared" si="2"/>
        <x:v>0</x:v>
      </x:c>
      <x:c r="X19" s="45">
        <x:f t="shared" si="2"/>
        <x:v>0</x:v>
      </x:c>
      <x:c r="Y19" s="45">
        <x:f t="shared" si="2"/>
        <x:v>0</x:v>
      </x:c>
      <x:c r="Z19" s="45">
        <x:f t="shared" si="2"/>
        <x:v>0</x:v>
      </x:c>
      <x:c r="AA19" s="45">
        <x:f t="shared" si="2"/>
        <x:v>0</x:v>
      </x:c>
      <x:c r="AB19" s="45">
        <x:f t="shared" si="2"/>
        <x:v>0</x:v>
      </x:c>
      <x:c r="AC19" s="45">
        <x:f t="shared" si="2"/>
        <x:v>0</x:v>
      </x:c>
      <x:c r="AD19" s="45">
        <x:f t="shared" si="2"/>
        <x:v>0</x:v>
      </x:c>
      <x:c r="AE19" s="45">
        <x:f t="shared" si="2"/>
        <x:v>0</x:v>
      </x:c>
      <x:c r="AF19" s="45">
        <x:f t="shared" si="2"/>
        <x:v>0</x:v>
      </x:c>
    </x:row>
    <x:row r="20" ht="15" customHeight="1">
      <x:c r="A20" s="72" t="s">
        <x:v>537</x:v>
      </x:c>
      <x:c r="B20" s="72" t="s">
        <x:v>538</x:v>
      </x:c>
      <x:c r="C20" s="45" t="n">
        <x:f t="shared" ref="C20:AF20" si="3">MAX(0,-C18)</x:f>
        <x:v>0</x:v>
      </x:c>
      <x:c r="D20" s="45">
        <x:f t="shared" si="3"/>
        <x:v>0</x:v>
      </x:c>
      <x:c r="E20" s="45">
        <x:f t="shared" si="3"/>
        <x:v>20.389753999999982</x:v>
      </x:c>
      <x:c r="F20" s="45">
        <x:f t="shared" si="3"/>
        <x:v>0</x:v>
      </x:c>
      <x:c r="G20" s="45">
        <x:f t="shared" si="3"/>
        <x:v>0</x:v>
      </x:c>
      <x:c r="H20" s="45">
        <x:f t="shared" si="3"/>
        <x:v>0</x:v>
      </x:c>
      <x:c r="I20" s="45">
        <x:f t="shared" si="3"/>
        <x:v>0</x:v>
      </x:c>
      <x:c r="J20" s="45">
        <x:f t="shared" si="3"/>
        <x:v>0</x:v>
      </x:c>
      <x:c r="K20" s="45">
        <x:f t="shared" si="3"/>
        <x:v>0</x:v>
      </x:c>
      <x:c r="L20" s="45">
        <x:f t="shared" si="3"/>
        <x:v>0</x:v>
      </x:c>
      <x:c r="M20" s="45">
        <x:f t="shared" si="3"/>
        <x:v>0</x:v>
      </x:c>
      <x:c r="N20" s="45">
        <x:f t="shared" si="3"/>
        <x:v>0</x:v>
      </x:c>
      <x:c r="O20" s="45">
        <x:f t="shared" si="3"/>
        <x:v>0</x:v>
      </x:c>
      <x:c r="P20" s="45">
        <x:f t="shared" si="3"/>
        <x:v>0</x:v>
      </x:c>
      <x:c r="Q20" s="45">
        <x:f t="shared" si="3"/>
        <x:v>0</x:v>
      </x:c>
      <x:c r="R20" s="45">
        <x:f t="shared" si="3"/>
        <x:v>0</x:v>
      </x:c>
      <x:c r="S20" s="45">
        <x:f t="shared" si="3"/>
        <x:v>0</x:v>
      </x:c>
      <x:c r="T20" s="45">
        <x:f t="shared" si="3"/>
        <x:v>0</x:v>
      </x:c>
      <x:c r="U20" s="45">
        <x:f t="shared" si="3"/>
        <x:v>0</x:v>
      </x:c>
      <x:c r="V20" s="45">
        <x:f t="shared" si="3"/>
        <x:v>0</x:v>
      </x:c>
      <x:c r="W20" s="45">
        <x:f t="shared" si="3"/>
        <x:v>0</x:v>
      </x:c>
      <x:c r="X20" s="45">
        <x:f t="shared" si="3"/>
        <x:v>0</x:v>
      </x:c>
      <x:c r="Y20" s="45">
        <x:f t="shared" si="3"/>
        <x:v>0</x:v>
      </x:c>
      <x:c r="Z20" s="45">
        <x:f t="shared" si="3"/>
        <x:v>0</x:v>
      </x:c>
      <x:c r="AA20" s="45">
        <x:f t="shared" si="3"/>
        <x:v>0</x:v>
      </x:c>
      <x:c r="AB20" s="45">
        <x:f t="shared" si="3"/>
        <x:v>0</x:v>
      </x:c>
      <x:c r="AC20" s="45">
        <x:f t="shared" si="3"/>
        <x:v>0</x:v>
      </x:c>
      <x:c r="AD20" s="45">
        <x:f t="shared" si="3"/>
        <x:v>0</x:v>
      </x:c>
      <x:c r="AE20" s="45">
        <x:f t="shared" si="3"/>
        <x:v>0</x:v>
      </x:c>
      <x:c r="AF20" s="45">
        <x:f t="shared" si="3"/>
        <x:v>0</x:v>
      </x:c>
    </x:row>
    <x:row r="21" ht="15" customHeight="1">
      <x:c r="A21" s="72" t="s">
        <x:v>539</x:v>
      </x:c>
      <x:c r="B21" s="72" t="s">
        <x:v>540</x:v>
      </x:c>
      <x:c r="C21" s="45" t="n">
        <x:f t="shared" ref="C21:AF21" si="4">MIN(C19,MAX(0,C18))</x:f>
        <x:v>0</x:v>
      </x:c>
      <x:c r="D21" s="45">
        <x:f t="shared" si="4"/>
        <x:v>0</x:v>
      </x:c>
      <x:c r="E21" s="45">
        <x:f t="shared" si="4"/>
        <x:v>0</x:v>
      </x:c>
      <x:c r="F21" s="45">
        <x:f t="shared" si="4"/>
        <x:v>20.389753999999982</x:v>
      </x:c>
      <x:c r="G21" s="45">
        <x:f t="shared" si="4"/>
        <x:v>0</x:v>
      </x:c>
      <x:c r="H21" s="45">
        <x:f t="shared" si="4"/>
        <x:v>0</x:v>
      </x:c>
      <x:c r="I21" s="45">
        <x:f t="shared" si="4"/>
        <x:v>0</x:v>
      </x:c>
      <x:c r="J21" s="45">
        <x:f t="shared" si="4"/>
        <x:v>0</x:v>
      </x:c>
      <x:c r="K21" s="45">
        <x:f t="shared" si="4"/>
        <x:v>0</x:v>
      </x:c>
      <x:c r="L21" s="45">
        <x:f t="shared" si="4"/>
        <x:v>0</x:v>
      </x:c>
      <x:c r="M21" s="45">
        <x:f t="shared" si="4"/>
        <x:v>0</x:v>
      </x:c>
      <x:c r="N21" s="45">
        <x:f t="shared" si="4"/>
        <x:v>0</x:v>
      </x:c>
      <x:c r="O21" s="45">
        <x:f t="shared" si="4"/>
        <x:v>0</x:v>
      </x:c>
      <x:c r="P21" s="45">
        <x:f t="shared" si="4"/>
        <x:v>0</x:v>
      </x:c>
      <x:c r="Q21" s="45">
        <x:f t="shared" si="4"/>
        <x:v>0</x:v>
      </x:c>
      <x:c r="R21" s="45">
        <x:f t="shared" si="4"/>
        <x:v>0</x:v>
      </x:c>
      <x:c r="S21" s="45">
        <x:f t="shared" si="4"/>
        <x:v>0</x:v>
      </x:c>
      <x:c r="T21" s="45">
        <x:f t="shared" si="4"/>
        <x:v>0</x:v>
      </x:c>
      <x:c r="U21" s="45">
        <x:f t="shared" si="4"/>
        <x:v>0</x:v>
      </x:c>
      <x:c r="V21" s="45">
        <x:f t="shared" si="4"/>
        <x:v>0</x:v>
      </x:c>
      <x:c r="W21" s="45">
        <x:f t="shared" si="4"/>
        <x:v>0</x:v>
      </x:c>
      <x:c r="X21" s="45">
        <x:f t="shared" si="4"/>
        <x:v>0</x:v>
      </x:c>
      <x:c r="Y21" s="45">
        <x:f t="shared" si="4"/>
        <x:v>0</x:v>
      </x:c>
      <x:c r="Z21" s="45">
        <x:f t="shared" si="4"/>
        <x:v>0</x:v>
      </x:c>
      <x:c r="AA21" s="45">
        <x:f t="shared" si="4"/>
        <x:v>0</x:v>
      </x:c>
      <x:c r="AB21" s="45">
        <x:f t="shared" si="4"/>
        <x:v>0</x:v>
      </x:c>
      <x:c r="AC21" s="45">
        <x:f t="shared" si="4"/>
        <x:v>0</x:v>
      </x:c>
      <x:c r="AD21" s="45">
        <x:f t="shared" si="4"/>
        <x:v>0</x:v>
      </x:c>
      <x:c r="AE21" s="45">
        <x:f t="shared" si="4"/>
        <x:v>0</x:v>
      </x:c>
      <x:c r="AF21" s="45">
        <x:f t="shared" si="4"/>
        <x:v>0</x:v>
      </x:c>
    </x:row>
    <x:row r="22" ht="15" customHeight="1">
      <x:c r="A22" s="72" t="s">
        <x:v>541</x:v>
      </x:c>
      <x:c r="B22" s="72" t="s">
        <x:v>542</x:v>
      </x:c>
      <x:c r="C22" s="45" t="n">
        <x:f t="shared" ref="C22:AF22" si="5">MAX(0,C19+C20-C21)</x:f>
        <x:v>0</x:v>
      </x:c>
      <x:c r="D22" s="45">
        <x:f t="shared" si="5"/>
        <x:v>0</x:v>
      </x:c>
      <x:c r="E22" s="45">
        <x:f t="shared" si="5"/>
        <x:v>20.389753999999982</x:v>
      </x:c>
      <x:c r="F22" s="45">
        <x:f t="shared" si="5"/>
        <x:v>0</x:v>
      </x:c>
      <x:c r="G22" s="45">
        <x:f t="shared" si="5"/>
        <x:v>0</x:v>
      </x:c>
      <x:c r="H22" s="45">
        <x:f t="shared" si="5"/>
        <x:v>0</x:v>
      </x:c>
      <x:c r="I22" s="45">
        <x:f t="shared" si="5"/>
        <x:v>0</x:v>
      </x:c>
      <x:c r="J22" s="45">
        <x:f t="shared" si="5"/>
        <x:v>0</x:v>
      </x:c>
      <x:c r="K22" s="45">
        <x:f t="shared" si="5"/>
        <x:v>0</x:v>
      </x:c>
      <x:c r="L22" s="45">
        <x:f t="shared" si="5"/>
        <x:v>0</x:v>
      </x:c>
      <x:c r="M22" s="45">
        <x:f t="shared" si="5"/>
        <x:v>0</x:v>
      </x:c>
      <x:c r="N22" s="45">
        <x:f t="shared" si="5"/>
        <x:v>0</x:v>
      </x:c>
      <x:c r="O22" s="45">
        <x:f t="shared" si="5"/>
        <x:v>0</x:v>
      </x:c>
      <x:c r="P22" s="45">
        <x:f t="shared" si="5"/>
        <x:v>0</x:v>
      </x:c>
      <x:c r="Q22" s="45">
        <x:f t="shared" si="5"/>
        <x:v>0</x:v>
      </x:c>
      <x:c r="R22" s="45">
        <x:f t="shared" si="5"/>
        <x:v>0</x:v>
      </x:c>
      <x:c r="S22" s="45">
        <x:f t="shared" si="5"/>
        <x:v>0</x:v>
      </x:c>
      <x:c r="T22" s="45">
        <x:f t="shared" si="5"/>
        <x:v>0</x:v>
      </x:c>
      <x:c r="U22" s="45">
        <x:f t="shared" si="5"/>
        <x:v>0</x:v>
      </x:c>
      <x:c r="V22" s="45">
        <x:f t="shared" si="5"/>
        <x:v>0</x:v>
      </x:c>
      <x:c r="W22" s="45">
        <x:f t="shared" si="5"/>
        <x:v>0</x:v>
      </x:c>
      <x:c r="X22" s="45">
        <x:f t="shared" si="5"/>
        <x:v>0</x:v>
      </x:c>
      <x:c r="Y22" s="45">
        <x:f t="shared" si="5"/>
        <x:v>0</x:v>
      </x:c>
      <x:c r="Z22" s="45">
        <x:f t="shared" si="5"/>
        <x:v>0</x:v>
      </x:c>
      <x:c r="AA22" s="45">
        <x:f t="shared" si="5"/>
        <x:v>0</x:v>
      </x:c>
      <x:c r="AB22" s="45">
        <x:f t="shared" si="5"/>
        <x:v>0</x:v>
      </x:c>
      <x:c r="AC22" s="45">
        <x:f t="shared" si="5"/>
        <x:v>0</x:v>
      </x:c>
      <x:c r="AD22" s="45">
        <x:f t="shared" si="5"/>
        <x:v>0</x:v>
      </x:c>
      <x:c r="AE22" s="45">
        <x:f t="shared" si="5"/>
        <x:v>0</x:v>
      </x:c>
      <x:c r="AF22" s="45">
        <x:f t="shared" si="5"/>
        <x:v>0</x:v>
      </x:c>
    </x:row>
    <x:row r="23" ht="15" customHeight="1">
      <x:c r="A23" s="72" t="s">
        <x:v>543</x:v>
      </x:c>
      <x:c r="B23" s="72" t="s">
        <x:v>544</x:v>
      </x:c>
      <x:c r="C23" s="45" t="n">
        <x:f t="shared" ref="C23:AF23" si="6">MAX(0,C18-C21)</x:f>
        <x:v>0</x:v>
      </x:c>
      <x:c r="D23" s="45">
        <x:f t="shared" si="6"/>
        <x:v>0</x:v>
      </x:c>
      <x:c r="E23" s="45">
        <x:f t="shared" si="6"/>
        <x:v>0</x:v>
      </x:c>
      <x:c r="F23" s="45">
        <x:f t="shared" si="6"/>
        <x:v>7.8006313614935152</x:v>
      </x:c>
      <x:c r="G23" s="45">
        <x:f t="shared" si="6"/>
        <x:v>76.997386019252588</x:v>
      </x:c>
      <x:c r="H23" s="45">
        <x:f t="shared" si="6"/>
        <x:v>126.03522260535823</x:v>
      </x:c>
      <x:c r="I23" s="45">
        <x:f t="shared" si="6"/>
        <x:v>175.30793914034786</x:v>
      </x:c>
      <x:c r="J23" s="45">
        <x:f t="shared" si="6"/>
        <x:v>224.81965023951255</x:v>
      </x:c>
      <x:c r="K23" s="45">
        <x:f t="shared" si="6"/>
        <x:v>274.57454234006224</x:v>
      </x:c>
      <x:c r="L23" s="45">
        <x:f t="shared" si="6"/>
        <x:v>324.57687494951585</x:v>
      </x:c>
      <x:c r="M23" s="45">
        <x:f t="shared" si="6"/>
        <x:v>374.83098191568286</x:v>
      </x:c>
      <x:c r="N23" s="45">
        <x:f t="shared" si="6"/>
        <x:v>425.34127271860359</x:v>
      </x:c>
      <x:c r="O23" s="45">
        <x:f t="shared" si="6"/>
        <x:v>476.11223378483237</x:v>
      </x:c>
      <x:c r="P23" s="45">
        <x:f t="shared" si="6"/>
        <x:v>527.148429824441</x:v>
      </x:c>
      <x:c r="Q23" s="45">
        <x:f t="shared" si="6"/>
        <x:v>578.4545051911382</x:v>
      </x:c>
      <x:c r="R23" s="45">
        <x:f t="shared" si="6"/>
        <x:v>594.36435193256159</x:v>
      </x:c>
      <x:c r="S23" s="45">
        <x:f t="shared" si="6"/>
        <x:v>610.55361119782572</x:v>
      </x:c>
      <x:c r="T23" s="45">
        <x:f t="shared" si="6"/>
        <x:v>627.02717466938429</x:v>
      </x:c>
      <x:c r="U23" s="45">
        <x:f t="shared" si="6"/>
        <x:v>643.79001935298129</x:v>
      </x:c>
      <x:c r="V23" s="45">
        <x:f t="shared" si="6"/>
        <x:v>660.84720905942675</x:v>
      </x:c>
      <x:c r="W23" s="45">
        <x:f t="shared" si="6"/>
        <x:v>678.20389591197636</x:v>
      </x:c>
      <x:c r="X23" s="45">
        <x:f t="shared" si="6"/>
        <x:v>695.86532187975502</x:v>
      </x:c>
      <x:c r="Y23" s="45">
        <x:f t="shared" si="6"/>
        <x:v>0</x:v>
      </x:c>
      <x:c r="Z23" s="45">
        <x:f t="shared" si="6"/>
        <x:v>0</x:v>
      </x:c>
      <x:c r="AA23" s="45">
        <x:f t="shared" si="6"/>
        <x:v>0</x:v>
      </x:c>
      <x:c r="AB23" s="45">
        <x:f t="shared" si="6"/>
        <x:v>0</x:v>
      </x:c>
      <x:c r="AC23" s="45">
        <x:f t="shared" si="6"/>
        <x:v>0</x:v>
      </x:c>
      <x:c r="AD23" s="45">
        <x:f t="shared" si="6"/>
        <x:v>0</x:v>
      </x:c>
      <x:c r="AE23" s="45">
        <x:f t="shared" si="6"/>
        <x:v>0</x:v>
      </x:c>
      <x:c r="AF23" s="45">
        <x:f t="shared" si="6"/>
        <x:v>0</x:v>
      </x:c>
    </x:row>
    <x:row r="24" ht="15" customHeight="1">
      <x:c r="A24" s="72" t="s">
        <x:v>545</x:v>
      </x:c>
      <x:c r="B24" s="72" t="s">
        <x:v>546</x:v>
      </x:c>
      <x:c r="C24" s="51" t="n">
        <x:f>IF(C$8=0,0,IF(C$8&lt;=Input!$D$70,0,IF(C$8&lt;=Input!$D$70+Input!$D$71,Input!$D$68*50%,IF(C$8&lt;=Input!$D$69,Input!$D$68,Input!$D$67))))</x:f>
        <x:v>0</x:v>
      </x:c>
      <x:c r="D24" s="51" t="n">
        <x:f>IF(D$8=0,0,IF(D$8&lt;=Input!$D$70,0,IF(D$8&lt;=Input!$D$70+Input!$D$71,Input!$D$68*50%,IF(D$8&lt;=Input!$D$69,Input!$D$68,Input!$D$67))))</x:f>
        <x:v>0</x:v>
      </x:c>
      <x:c r="E24" s="51" t="n">
        <x:f>IF(E$8=0,0,IF(E$8&lt;=Input!$D$70,0,IF(E$8&lt;=Input!$D$70+Input!$D$71,Input!$D$68*50%,IF(E$8&lt;=Input!$D$69,Input!$D$68,Input!$D$67))))</x:f>
        <x:v>0</x:v>
      </x:c>
      <x:c r="F24" s="51" t="n">
        <x:f>IF(F$8=0,0,IF(F$8&lt;=Input!$D$70,0,IF(F$8&lt;=Input!$D$70+Input!$D$71,Input!$D$68*50%,IF(F$8&lt;=Input!$D$69,Input!$D$68,Input!$D$67))))</x:f>
        <x:v>0</x:v>
      </x:c>
      <x:c r="G24" s="51" t="n">
        <x:f>IF(G$8=0,0,IF(G$8&lt;=Input!$D$70,0,IF(G$8&lt;=Input!$D$70+Input!$D$71,Input!$D$68*50%,IF(G$8&lt;=Input!$D$69,Input!$D$68,Input!$D$67))))</x:f>
        <x:v>0</x:v>
      </x:c>
      <x:c r="H24" s="51" t="n">
        <x:f>IF(H$8=0,0,IF(H$8&lt;=Input!$D$70,0,IF(H$8&lt;=Input!$D$70+Input!$D$71,Input!$D$68*50%,IF(H$8&lt;=Input!$D$69,Input!$D$68,Input!$D$67))))</x:f>
        <x:v>0</x:v>
      </x:c>
      <x:c r="I24" s="51" t="n">
        <x:f>IF(I$8=0,0,IF(I$8&lt;=Input!$D$70,0,IF(I$8&lt;=Input!$D$70+Input!$D$71,Input!$D$68*50%,IF(I$8&lt;=Input!$D$69,Input!$D$68,Input!$D$67))))</x:f>
        <x:v>0.05</x:v>
      </x:c>
      <x:c r="J24" s="51" t="n">
        <x:f>IF(J$8=0,0,IF(J$8&lt;=Input!$D$70,0,IF(J$8&lt;=Input!$D$70+Input!$D$71,Input!$D$68*50%,IF(J$8&lt;=Input!$D$69,Input!$D$68,Input!$D$67))))</x:f>
        <x:v>0.05</x:v>
      </x:c>
      <x:c r="K24" s="51" t="n">
        <x:f>IF(K$8=0,0,IF(K$8&lt;=Input!$D$70,0,IF(K$8&lt;=Input!$D$70+Input!$D$71,Input!$D$68*50%,IF(K$8&lt;=Input!$D$69,Input!$D$68,Input!$D$67))))</x:f>
        <x:v>0.05</x:v>
      </x:c>
      <x:c r="L24" s="51" t="n">
        <x:f>IF(L$8=0,0,IF(L$8&lt;=Input!$D$70,0,IF(L$8&lt;=Input!$D$70+Input!$D$71,Input!$D$68*50%,IF(L$8&lt;=Input!$D$69,Input!$D$68,Input!$D$67))))</x:f>
        <x:v>0.05</x:v>
      </x:c>
      <x:c r="M24" s="51" t="n">
        <x:f>IF(M$8=0,0,IF(M$8&lt;=Input!$D$70,0,IF(M$8&lt;=Input!$D$70+Input!$D$71,Input!$D$68*50%,IF(M$8&lt;=Input!$D$69,Input!$D$68,Input!$D$67))))</x:f>
        <x:v>0.05</x:v>
      </x:c>
      <x:c r="N24" s="51" t="n">
        <x:f>IF(N$8=0,0,IF(N$8&lt;=Input!$D$70,0,IF(N$8&lt;=Input!$D$70+Input!$D$71,Input!$D$68*50%,IF(N$8&lt;=Input!$D$69,Input!$D$68,Input!$D$67))))</x:f>
        <x:v>0.05</x:v>
      </x:c>
      <x:c r="O24" s="51" t="n">
        <x:f>IF(O$8=0,0,IF(O$8&lt;=Input!$D$70,0,IF(O$8&lt;=Input!$D$70+Input!$D$71,Input!$D$68*50%,IF(O$8&lt;=Input!$D$69,Input!$D$68,Input!$D$67))))</x:f>
        <x:v>0.05</x:v>
      </x:c>
      <x:c r="P24" s="51" t="n">
        <x:f>IF(P$8=0,0,IF(P$8&lt;=Input!$D$70,0,IF(P$8&lt;=Input!$D$70+Input!$D$71,Input!$D$68*50%,IF(P$8&lt;=Input!$D$69,Input!$D$68,Input!$D$67))))</x:f>
        <x:v>0.05</x:v>
      </x:c>
      <x:c r="Q24" s="51" t="n">
        <x:f>IF(Q$8=0,0,IF(Q$8&lt;=Input!$D$70,0,IF(Q$8&lt;=Input!$D$70+Input!$D$71,Input!$D$68*50%,IF(Q$8&lt;=Input!$D$69,Input!$D$68,Input!$D$67))))</x:f>
        <x:v>0.05</x:v>
      </x:c>
      <x:c r="R24" s="51" t="n">
        <x:f>IF(R$8=0,0,IF(R$8&lt;=Input!$D$70,0,IF(R$8&lt;=Input!$D$70+Input!$D$71,Input!$D$68*50%,IF(R$8&lt;=Input!$D$69,Input!$D$68,Input!$D$67))))</x:f>
        <x:v>0.1</x:v>
      </x:c>
      <x:c r="S24" s="51" t="n">
        <x:f>IF(S$8=0,0,IF(S$8&lt;=Input!$D$70,0,IF(S$8&lt;=Input!$D$70+Input!$D$71,Input!$D$68*50%,IF(S$8&lt;=Input!$D$69,Input!$D$68,Input!$D$67))))</x:f>
        <x:v>0.1</x:v>
      </x:c>
      <x:c r="T24" s="51" t="n">
        <x:f>IF(T$8=0,0,IF(T$8&lt;=Input!$D$70,0,IF(T$8&lt;=Input!$D$70+Input!$D$71,Input!$D$68*50%,IF(T$8&lt;=Input!$D$69,Input!$D$68,Input!$D$67))))</x:f>
        <x:v>0.2</x:v>
      </x:c>
      <x:c r="U24" s="51" t="n">
        <x:f>IF(U$8=0,0,IF(U$8&lt;=Input!$D$70,0,IF(U$8&lt;=Input!$D$70+Input!$D$71,Input!$D$68*50%,IF(U$8&lt;=Input!$D$69,Input!$D$68,Input!$D$67))))</x:f>
        <x:v>0.2</x:v>
      </x:c>
      <x:c r="V24" s="51" t="n">
        <x:f>IF(V$8=0,0,IF(V$8&lt;=Input!$D$70,0,IF(V$8&lt;=Input!$D$70+Input!$D$71,Input!$D$68*50%,IF(V$8&lt;=Input!$D$69,Input!$D$68,Input!$D$67))))</x:f>
        <x:v>0.2</x:v>
      </x:c>
      <x:c r="W24" s="51" t="n">
        <x:f>IF(W$8=0,0,IF(W$8&lt;=Input!$D$70,0,IF(W$8&lt;=Input!$D$70+Input!$D$71,Input!$D$68*50%,IF(W$8&lt;=Input!$D$69,Input!$D$68,Input!$D$67))))</x:f>
        <x:v>0.2</x:v>
      </x:c>
      <x:c r="X24" s="51" t="n">
        <x:f>IF(X$8=0,0,IF(X$8&lt;=Input!$D$70,0,IF(X$8&lt;=Input!$D$70+Input!$D$71,Input!$D$68*50%,IF(X$8&lt;=Input!$D$69,Input!$D$68,Input!$D$67))))</x:f>
        <x:v>0.2</x:v>
      </x:c>
      <x:c r="Y24" s="51" t="n">
        <x:f>IF(Y$8=0,0,IF(Y$8&lt;=Input!$D$70,0,IF(Y$8&lt;=Input!$D$70+Input!$D$71,Input!$D$68*50%,IF(Y$8&lt;=Input!$D$69,Input!$D$68,Input!$D$67))))</x:f>
        <x:v>0</x:v>
      </x:c>
      <x:c r="Z24" s="51" t="n">
        <x:f>IF(Z$8=0,0,IF(Z$8&lt;=Input!$D$70,0,IF(Z$8&lt;=Input!$D$70+Input!$D$71,Input!$D$68*50%,IF(Z$8&lt;=Input!$D$69,Input!$D$68,Input!$D$67))))</x:f>
        <x:v>0</x:v>
      </x:c>
      <x:c r="AA24" s="51" t="n">
        <x:f>IF(AA$8=0,0,IF(AA$8&lt;=Input!$D$70,0,IF(AA$8&lt;=Input!$D$70+Input!$D$71,Input!$D$68*50%,IF(AA$8&lt;=Input!$D$69,Input!$D$68,Input!$D$67))))</x:f>
        <x:v>0</x:v>
      </x:c>
      <x:c r="AB24" s="51" t="n">
        <x:f>IF(AB$8=0,0,IF(AB$8&lt;=Input!$D$70,0,IF(AB$8&lt;=Input!$D$70+Input!$D$71,Input!$D$68*50%,IF(AB$8&lt;=Input!$D$69,Input!$D$68,Input!$D$67))))</x:f>
        <x:v>0</x:v>
      </x:c>
      <x:c r="AC24" s="51" t="n">
        <x:f>IF(AC$8=0,0,IF(AC$8&lt;=Input!$D$70,0,IF(AC$8&lt;=Input!$D$70+Input!$D$71,Input!$D$68*50%,IF(AC$8&lt;=Input!$D$69,Input!$D$68,Input!$D$67))))</x:f>
        <x:v>0</x:v>
      </x:c>
      <x:c r="AD24" s="51" t="n">
        <x:f>IF(AD$8=0,0,IF(AD$8&lt;=Input!$D$70,0,IF(AD$8&lt;=Input!$D$70+Input!$D$71,Input!$D$68*50%,IF(AD$8&lt;=Input!$D$69,Input!$D$68,Input!$D$67))))</x:f>
        <x:v>0</x:v>
      </x:c>
      <x:c r="AE24" s="51" t="n">
        <x:f>IF(AE$8=0,0,IF(AE$8&lt;=Input!$D$70,0,IF(AE$8&lt;=Input!$D$70+Input!$D$71,Input!$D$68*50%,IF(AE$8&lt;=Input!$D$69,Input!$D$68,Input!$D$67))))</x:f>
        <x:v>0</x:v>
      </x:c>
      <x:c r="AF24" s="51" t="n">
        <x:f>IF(AF$8=0,0,IF(AF$8&lt;=Input!$D$70,0,IF(AF$8&lt;=Input!$D$70+Input!$D$71,Input!$D$68*50%,IF(AF$8&lt;=Input!$D$69,Input!$D$68,Input!$D$67))))</x:f>
        <x:v>0</x:v>
      </x:c>
    </x:row>
    <x:row r="25" ht="15" customHeight="1">
      <x:c r="A25" s="72" t="s">
        <x:v>547</x:v>
      </x:c>
      <x:c r="B25" s="73" t="s">
        <x:v>548</x:v>
      </x:c>
      <x:c r="C25" s="44" t="n">
        <x:f t="shared" ref="C25:AF25" si="7">C23*C24</x:f>
        <x:v>0</x:v>
      </x:c>
      <x:c r="D25" s="44">
        <x:f t="shared" si="7"/>
        <x:v>0</x:v>
      </x:c>
      <x:c r="E25" s="44">
        <x:f t="shared" si="7"/>
        <x:v>0</x:v>
      </x:c>
      <x:c r="F25" s="44">
        <x:f t="shared" si="7"/>
        <x:v>0</x:v>
      </x:c>
      <x:c r="G25" s="44">
        <x:f t="shared" si="7"/>
        <x:v>0</x:v>
      </x:c>
      <x:c r="H25" s="44">
        <x:f t="shared" si="7"/>
        <x:v>0</x:v>
      </x:c>
      <x:c r="I25" s="44">
        <x:f t="shared" si="7"/>
        <x:v>8.7653969570173924</x:v>
      </x:c>
      <x:c r="J25" s="44">
        <x:f t="shared" si="7"/>
        <x:v>11.240982511975629</x:v>
      </x:c>
      <x:c r="K25" s="44">
        <x:f t="shared" si="7"/>
        <x:v>13.728727117003112</x:v>
      </x:c>
      <x:c r="L25" s="44">
        <x:f t="shared" si="7"/>
        <x:v>16.228843747475793</x:v>
      </x:c>
      <x:c r="M25" s="44">
        <x:f t="shared" si="7"/>
        <x:v>18.741549095784144</x:v>
      </x:c>
      <x:c r="N25" s="44">
        <x:f t="shared" si="7"/>
        <x:v>21.267063635930182</x:v>
      </x:c>
      <x:c r="O25" s="44">
        <x:f t="shared" si="7"/>
        <x:v>23.805611689241619</x:v>
      </x:c>
      <x:c r="P25" s="44">
        <x:f t="shared" si="7"/>
        <x:v>26.357421491222052</x:v>
      </x:c>
      <x:c r="Q25" s="44">
        <x:f t="shared" si="7"/>
        <x:v>28.922725259556913</x:v>
      </x:c>
      <x:c r="R25" s="44">
        <x:f t="shared" si="7"/>
        <x:v>59.436435193256159</x:v>
      </x:c>
      <x:c r="S25" s="44">
        <x:f t="shared" si="7"/>
        <x:v>61.055361119782575</x:v>
      </x:c>
      <x:c r="T25" s="44">
        <x:f t="shared" si="7"/>
        <x:v>125.40543493387686</x:v>
      </x:c>
      <x:c r="U25" s="44">
        <x:f t="shared" si="7"/>
        <x:v>128.75800387059627</x:v>
      </x:c>
      <x:c r="V25" s="44">
        <x:f t="shared" si="7"/>
        <x:v>132.16944181188535</x:v>
      </x:c>
      <x:c r="W25" s="44">
        <x:f t="shared" si="7"/>
        <x:v>135.64077918239528</x:v>
      </x:c>
      <x:c r="X25" s="44">
        <x:f t="shared" si="7"/>
        <x:v>139.17306437595101</x:v>
      </x:c>
      <x:c r="Y25" s="44">
        <x:f t="shared" si="7"/>
        <x:v>0</x:v>
      </x:c>
      <x:c r="Z25" s="44">
        <x:f t="shared" si="7"/>
        <x:v>0</x:v>
      </x:c>
      <x:c r="AA25" s="44">
        <x:f t="shared" si="7"/>
        <x:v>0</x:v>
      </x:c>
      <x:c r="AB25" s="44">
        <x:f t="shared" si="7"/>
        <x:v>0</x:v>
      </x:c>
      <x:c r="AC25" s="44">
        <x:f t="shared" si="7"/>
        <x:v>0</x:v>
      </x:c>
      <x:c r="AD25" s="44">
        <x:f t="shared" si="7"/>
        <x:v>0</x:v>
      </x:c>
      <x:c r="AE25" s="44">
        <x:f t="shared" si="7"/>
        <x:v>0</x:v>
      </x:c>
      <x:c r="AF25" s="44">
        <x:f t="shared" si="7"/>
        <x:v>0</x:v>
      </x:c>
    </x:row>
    <x:row r="26" ht="15" customHeight="1">
      <x:c r="A26" s="72" t="s">
        <x:v>549</x:v>
      </x:c>
      <x:c r="B26" s="73" t="s">
        <x:v>550</x:v>
      </x:c>
      <x:c r="C26" s="44" t="n">
        <x:f t="shared" ref="C26:AF26" si="8">C18-C25</x:f>
        <x:v>0</x:v>
      </x:c>
      <x:c r="D26" s="44">
        <x:f t="shared" si="8"/>
        <x:v>0</x:v>
      </x:c>
      <x:c r="E26" s="44">
        <x:f t="shared" si="8"/>
        <x:v>-20.389753999999982</x:v>
      </x:c>
      <x:c r="F26" s="44">
        <x:f t="shared" si="8"/>
        <x:v>28.190385361493497</x:v>
      </x:c>
      <x:c r="G26" s="44">
        <x:f t="shared" si="8"/>
        <x:v>76.997386019252588</x:v>
      </x:c>
      <x:c r="H26" s="44">
        <x:f t="shared" si="8"/>
        <x:v>126.03522260535823</x:v>
      </x:c>
      <x:c r="I26" s="44">
        <x:f t="shared" si="8"/>
        <x:v>166.54254218333045</x:v>
      </x:c>
      <x:c r="J26" s="44">
        <x:f t="shared" si="8"/>
        <x:v>213.57866772753692</x:v>
      </x:c>
      <x:c r="K26" s="44">
        <x:f t="shared" si="8"/>
        <x:v>260.84581522305911</x:v>
      </x:c>
      <x:c r="L26" s="44">
        <x:f t="shared" si="8"/>
        <x:v>308.34803120204003</x:v>
      </x:c>
      <x:c r="M26" s="44">
        <x:f t="shared" si="8"/>
        <x:v>356.08943281989872</x:v>
      </x:c>
      <x:c r="N26" s="44">
        <x:f t="shared" si="8"/>
        <x:v>404.07420908267341</x:v>
      </x:c>
      <x:c r="O26" s="44">
        <x:f t="shared" si="8"/>
        <x:v>452.30662209559074</x:v>
      </x:c>
      <x:c r="P26" s="44">
        <x:f t="shared" si="8"/>
        <x:v>500.79100833321894</x:v>
      </x:c>
      <x:c r="Q26" s="44">
        <x:f t="shared" si="8"/>
        <x:v>549.53177993158124</x:v>
      </x:c>
      <x:c r="R26" s="44">
        <x:f t="shared" si="8"/>
        <x:v>534.92791673930537</x:v>
      </x:c>
      <x:c r="S26" s="44">
        <x:f t="shared" si="8"/>
        <x:v>549.49825007804316</x:v>
      </x:c>
      <x:c r="T26" s="44">
        <x:f t="shared" si="8"/>
        <x:v>501.62173973550745</x:v>
      </x:c>
      <x:c r="U26" s="44">
        <x:f t="shared" si="8"/>
        <x:v>515.03201548238508</x:v>
      </x:c>
      <x:c r="V26" s="44">
        <x:f t="shared" si="8"/>
        <x:v>528.6777672475414</x:v>
      </x:c>
      <x:c r="W26" s="44">
        <x:f t="shared" si="8"/>
        <x:v>542.56311672958111</x:v>
      </x:c>
      <x:c r="X26" s="44">
        <x:f t="shared" si="8"/>
        <x:v>556.69225750380406</x:v>
      </x:c>
      <x:c r="Y26" s="44">
        <x:f t="shared" si="8"/>
        <x:v>0</x:v>
      </x:c>
      <x:c r="Z26" s="44">
        <x:f t="shared" si="8"/>
        <x:v>0</x:v>
      </x:c>
      <x:c r="AA26" s="44">
        <x:f t="shared" si="8"/>
        <x:v>0</x:v>
      </x:c>
      <x:c r="AB26" s="44">
        <x:f t="shared" si="8"/>
        <x:v>0</x:v>
      </x:c>
      <x:c r="AC26" s="44">
        <x:f t="shared" si="8"/>
        <x:v>0</x:v>
      </x:c>
      <x:c r="AD26" s="44">
        <x:f t="shared" si="8"/>
        <x:v>0</x:v>
      </x:c>
      <x:c r="AE26" s="44">
        <x:f t="shared" si="8"/>
        <x:v>0</x:v>
      </x:c>
      <x:c r="AF26" s="44">
        <x:f t="shared" si="8"/>
        <x:v>0</x:v>
      </x:c>
    </x:row>
    <x:row r="27" ht="15" customHeight="1">
      <x:c r="A27" s="70"/>
      <x:c r="B27" s="70"/>
      <x:c r="C27" s="65"/>
      <x:c r="D27" s="65"/>
      <x:c r="E27" s="65"/>
      <x:c r="F27" s="65"/>
      <x:c r="G27" s="65"/>
      <x:c r="H27" s="65"/>
      <x:c r="I27" s="65"/>
      <x:c r="J27" s="65"/>
      <x:c r="K27" s="65"/>
      <x:c r="L27" s="65"/>
      <x:c r="M27" s="65"/>
      <x:c r="N27" s="65"/>
      <x:c r="O27" s="65"/>
      <x:c r="P27" s="65"/>
      <x:c r="Q27" s="65"/>
      <x:c r="R27" s="65"/>
      <x:c r="S27" s="65"/>
      <x:c r="T27" s="65"/>
      <x:c r="U27" s="65"/>
      <x:c r="V27" s="65"/>
      <x:c r="W27" s="65"/>
      <x:c r="X27" s="65"/>
      <x:c r="Y27" s="65"/>
      <x:c r="Z27" s="65"/>
      <x:c r="AA27" s="65"/>
      <x:c r="AB27" s="65"/>
      <x:c r="AC27" s="65"/>
      <x:c r="AD27" s="65"/>
      <x:c r="AE27" s="65"/>
      <x:c r="AF27" s="65"/>
    </x:row>
    <x:row r="28" ht="15" customHeight="1">
      <x:c r="A28" s="70"/>
      <x:c r="B28" s="70"/>
      <x:c r="C28" s="65"/>
      <x:c r="D28" s="65"/>
      <x:c r="E28" s="65"/>
      <x:c r="F28" s="65"/>
      <x:c r="G28" s="65"/>
      <x:c r="H28" s="65"/>
      <x:c r="I28" s="65"/>
      <x:c r="J28" s="65"/>
      <x:c r="K28" s="65"/>
      <x:c r="L28" s="65"/>
      <x:c r="M28" s="65"/>
      <x:c r="N28" s="65"/>
      <x:c r="O28" s="65"/>
      <x:c r="P28" s="65"/>
      <x:c r="Q28" s="65"/>
      <x:c r="R28" s="65"/>
      <x:c r="S28" s="65"/>
      <x:c r="T28" s="65"/>
      <x:c r="U28" s="65"/>
      <x:c r="V28" s="65"/>
      <x:c r="W28" s="65"/>
      <x:c r="X28" s="65"/>
      <x:c r="Y28" s="65"/>
      <x:c r="Z28" s="65"/>
      <x:c r="AA28" s="65"/>
      <x:c r="AB28" s="65"/>
      <x:c r="AC28" s="65"/>
      <x:c r="AD28" s="65"/>
      <x:c r="AE28" s="65"/>
      <x:c r="AF28" s="65"/>
    </x:row>
    <x:row r="29">
      <x:c r="A29" s="138" t="s">
        <x:v>551</x:v>
      </x:c>
      <x:c r="B29" s="138"/>
      <x:c r="C29" s="138"/>
      <x:c r="D29" s="138"/>
      <x:c r="E29" s="138"/>
      <x:c r="F29" s="138"/>
      <x:c r="G29" s="138"/>
      <x:c r="H29" s="138"/>
      <x:c r="I29" s="138"/>
      <x:c r="J29" s="138"/>
      <x:c r="K29" s="138"/>
      <x:c r="L29" s="138"/>
      <x:c r="M29" s="138"/>
      <x:c r="N29" s="138"/>
      <x:c r="O29" s="138"/>
      <x:c r="P29" s="138"/>
      <x:c r="Q29" s="138"/>
      <x:c r="R29" s="138"/>
      <x:c r="S29" s="138"/>
      <x:c r="T29" s="138"/>
      <x:c r="U29" s="138"/>
      <x:c r="V29" s="138"/>
      <x:c r="W29" s="138"/>
      <x:c r="X29" s="138"/>
      <x:c r="Y29" s="138"/>
      <x:c r="Z29" s="138"/>
      <x:c r="AA29" s="138"/>
      <x:c r="AB29" s="138"/>
      <x:c r="AC29" s="138"/>
      <x:c r="AD29" s="138"/>
      <x:c r="AE29" s="138"/>
      <x:c r="AF29" s="138"/>
    </x:row>
    <x:row r="30">
      <x:c r="A30" s="138"/>
      <x:c r="B30" s="138"/>
      <x:c r="C30" s="138"/>
      <x:c r="D30" s="138"/>
      <x:c r="E30" s="138"/>
      <x:c r="F30" s="138"/>
      <x:c r="G30" s="138"/>
      <x:c r="H30" s="138"/>
      <x:c r="I30" s="138"/>
      <x:c r="J30" s="138"/>
      <x:c r="K30" s="138"/>
      <x:c r="L30" s="138"/>
      <x:c r="M30" s="138"/>
      <x:c r="N30" s="138"/>
      <x:c r="O30" s="138"/>
      <x:c r="P30" s="138"/>
      <x:c r="Q30" s="138"/>
      <x:c r="R30" s="138"/>
      <x:c r="S30" s="138"/>
      <x:c r="T30" s="138"/>
      <x:c r="U30" s="138"/>
      <x:c r="V30" s="138"/>
      <x:c r="W30" s="138"/>
      <x:c r="X30" s="138"/>
      <x:c r="Y30" s="138"/>
      <x:c r="Z30" s="138"/>
      <x:c r="AA30" s="138"/>
      <x:c r="AB30" s="138"/>
      <x:c r="AC30" s="138"/>
      <x:c r="AD30" s="138"/>
      <x:c r="AE30" s="138"/>
      <x:c r="AF30" s="138"/>
    </x:row>
    <x:row r="31" ht="15" customHeight="1">
      <x:c r="A31" s="70"/>
      <x:c r="B31" s="70"/>
      <x:c r="C31" s="65"/>
      <x:c r="D31" s="65"/>
      <x:c r="E31" s="65"/>
      <x:c r="F31" s="65"/>
      <x:c r="G31" s="65"/>
      <x:c r="H31" s="65"/>
      <x:c r="I31" s="65"/>
      <x:c r="J31" s="65"/>
      <x:c r="K31" s="65"/>
      <x:c r="L31" s="65"/>
      <x:c r="M31" s="65"/>
      <x:c r="N31" s="65"/>
      <x:c r="O31" s="65"/>
      <x:c r="P31" s="65"/>
      <x:c r="Q31" s="65"/>
      <x:c r="R31" s="65"/>
      <x:c r="S31" s="65"/>
      <x:c r="T31" s="65"/>
      <x:c r="U31" s="65"/>
      <x:c r="V31" s="65"/>
      <x:c r="W31" s="65"/>
      <x:c r="X31" s="65"/>
      <x:c r="Y31" s="65"/>
      <x:c r="Z31" s="65"/>
      <x:c r="AA31" s="65"/>
      <x:c r="AB31" s="65"/>
      <x:c r="AC31" s="65"/>
      <x:c r="AD31" s="65"/>
      <x:c r="AE31" s="65"/>
      <x:c r="AF31" s="65"/>
    </x:row>
    <x:row r="32" ht="15" customHeight="1">
      <x:c r="A32" s="70"/>
      <x:c r="B32" s="70"/>
      <x:c r="C32" s="65"/>
      <x:c r="D32" s="65"/>
      <x:c r="E32" s="65"/>
      <x:c r="F32" s="65"/>
      <x:c r="G32" s="65"/>
      <x:c r="H32" s="65"/>
      <x:c r="I32" s="65"/>
      <x:c r="J32" s="65"/>
      <x:c r="K32" s="65"/>
      <x:c r="L32" s="65"/>
      <x:c r="M32" s="65"/>
      <x:c r="N32" s="65"/>
      <x:c r="O32" s="65"/>
      <x:c r="P32" s="65"/>
      <x:c r="Q32" s="65"/>
      <x:c r="R32" s="65"/>
      <x:c r="S32" s="65"/>
      <x:c r="T32" s="65"/>
      <x:c r="U32" s="65"/>
      <x:c r="V32" s="65"/>
      <x:c r="W32" s="65"/>
      <x:c r="X32" s="65"/>
      <x:c r="Y32" s="65"/>
      <x:c r="Z32" s="65"/>
      <x:c r="AA32" s="65"/>
      <x:c r="AB32" s="65"/>
      <x:c r="AC32" s="65"/>
      <x:c r="AD32" s="65"/>
      <x:c r="AE32" s="65"/>
      <x:c r="AF32" s="65"/>
    </x:row>
    <x:row r="33" ht="15" customHeight="1">
      <x:c r="A33" s="70"/>
      <x:c r="B33" s="70"/>
      <x:c r="C33" s="65"/>
      <x:c r="D33" s="65"/>
      <x:c r="E33" s="65"/>
      <x:c r="F33" s="65"/>
      <x:c r="G33" s="65"/>
      <x:c r="H33" s="65"/>
      <x:c r="I33" s="65"/>
      <x:c r="J33" s="65"/>
      <x:c r="K33" s="65"/>
      <x:c r="L33" s="65"/>
      <x:c r="M33" s="65"/>
      <x:c r="N33" s="65"/>
      <x:c r="O33" s="65"/>
      <x:c r="P33" s="65"/>
      <x:c r="Q33" s="65"/>
      <x:c r="R33" s="65"/>
      <x:c r="S33" s="65"/>
      <x:c r="T33" s="65"/>
      <x:c r="U33" s="65"/>
      <x:c r="V33" s="65"/>
      <x:c r="W33" s="65"/>
      <x:c r="X33" s="65"/>
      <x:c r="Y33" s="65"/>
      <x:c r="Z33" s="65"/>
      <x:c r="AA33" s="65"/>
      <x:c r="AB33" s="65"/>
      <x:c r="AC33" s="65"/>
      <x:c r="AD33" s="65"/>
      <x:c r="AE33" s="65"/>
      <x:c r="AF33" s="65"/>
    </x:row>
    <x:row r="34" ht="15" customHeight="1">
      <x:c r="A34" s="70"/>
      <x:c r="B34" s="70"/>
      <x:c r="C34" s="65"/>
      <x:c r="D34" s="65"/>
      <x:c r="E34" s="65"/>
      <x:c r="F34" s="65"/>
      <x:c r="G34" s="65"/>
      <x:c r="H34" s="65"/>
      <x:c r="I34" s="65"/>
      <x:c r="J34" s="65"/>
      <x:c r="K34" s="65"/>
      <x:c r="L34" s="65"/>
      <x:c r="M34" s="65"/>
      <x:c r="N34" s="65"/>
      <x:c r="O34" s="65"/>
      <x:c r="P34" s="65"/>
      <x:c r="Q34" s="65"/>
      <x:c r="R34" s="65"/>
      <x:c r="S34" s="65"/>
      <x:c r="T34" s="65"/>
      <x:c r="U34" s="65"/>
      <x:c r="V34" s="65"/>
      <x:c r="W34" s="65"/>
      <x:c r="X34" s="65"/>
      <x:c r="Y34" s="65"/>
      <x:c r="Z34" s="65"/>
      <x:c r="AA34" s="65"/>
      <x:c r="AB34" s="65"/>
      <x:c r="AC34" s="65"/>
      <x:c r="AD34" s="65"/>
      <x:c r="AE34" s="65"/>
      <x:c r="AF34" s="65"/>
    </x:row>
    <x:row r="35" ht="15" customHeight="1">
      <x:c r="A35" s="70"/>
      <x:c r="B35" s="70"/>
      <x:c r="C35" s="65"/>
      <x:c r="D35" s="65"/>
      <x:c r="E35" s="65"/>
      <x:c r="F35" s="65"/>
      <x:c r="G35" s="65"/>
      <x:c r="H35" s="65"/>
      <x:c r="I35" s="65"/>
      <x:c r="J35" s="65"/>
      <x:c r="K35" s="65"/>
      <x:c r="L35" s="65"/>
      <x:c r="M35" s="65"/>
      <x:c r="N35" s="65"/>
      <x:c r="O35" s="65"/>
      <x:c r="P35" s="65"/>
      <x:c r="Q35" s="65"/>
      <x:c r="R35" s="65"/>
      <x:c r="S35" s="65"/>
      <x:c r="T35" s="65"/>
      <x:c r="U35" s="65"/>
      <x:c r="V35" s="65"/>
      <x:c r="W35" s="65"/>
      <x:c r="X35" s="65"/>
      <x:c r="Y35" s="65"/>
      <x:c r="Z35" s="65"/>
      <x:c r="AA35" s="65"/>
      <x:c r="AB35" s="65"/>
      <x:c r="AC35" s="65"/>
      <x:c r="AD35" s="65"/>
      <x:c r="AE35" s="65"/>
      <x:c r="AF35" s="65"/>
    </x:row>
    <x:row r="36" ht="15" customHeight="1">
      <x:c r="A36" s="70"/>
      <x:c r="B36" s="70"/>
      <x:c r="C36" s="65"/>
      <x:c r="D36" s="65"/>
      <x:c r="E36" s="65"/>
      <x:c r="F36" s="65"/>
      <x:c r="G36" s="65"/>
      <x:c r="H36" s="65"/>
      <x:c r="I36" s="65"/>
      <x:c r="J36" s="65"/>
      <x:c r="K36" s="65"/>
      <x:c r="L36" s="65"/>
      <x:c r="M36" s="65"/>
      <x:c r="N36" s="65"/>
      <x:c r="O36" s="65"/>
      <x:c r="P36" s="65"/>
      <x:c r="Q36" s="65"/>
      <x:c r="R36" s="65"/>
      <x:c r="S36" s="65"/>
      <x:c r="T36" s="65"/>
      <x:c r="U36" s="65"/>
      <x:c r="V36" s="65"/>
      <x:c r="W36" s="65"/>
      <x:c r="X36" s="65"/>
      <x:c r="Y36" s="65"/>
      <x:c r="Z36" s="65"/>
      <x:c r="AA36" s="65"/>
      <x:c r="AB36" s="65"/>
      <x:c r="AC36" s="65"/>
      <x:c r="AD36" s="65"/>
      <x:c r="AE36" s="65"/>
      <x:c r="AF36" s="65"/>
    </x:row>
    <x:row r="37" ht="15" customHeight="1">
      <x:c r="A37" s="70"/>
      <x:c r="B37" s="70"/>
      <x:c r="C37" s="65"/>
      <x:c r="D37" s="65"/>
      <x:c r="E37" s="65"/>
      <x:c r="F37" s="65"/>
      <x:c r="G37" s="65"/>
      <x:c r="H37" s="65"/>
      <x:c r="I37" s="65"/>
      <x:c r="J37" s="65"/>
      <x:c r="K37" s="65"/>
      <x:c r="L37" s="65"/>
      <x:c r="M37" s="65"/>
      <x:c r="N37" s="65"/>
      <x:c r="O37" s="65"/>
      <x:c r="P37" s="65"/>
      <x:c r="Q37" s="65"/>
      <x:c r="R37" s="65"/>
      <x:c r="S37" s="65"/>
      <x:c r="T37" s="65"/>
      <x:c r="U37" s="65"/>
      <x:c r="V37" s="65"/>
      <x:c r="W37" s="65"/>
      <x:c r="X37" s="65"/>
      <x:c r="Y37" s="65"/>
      <x:c r="Z37" s="65"/>
      <x:c r="AA37" s="65"/>
      <x:c r="AB37" s="65"/>
      <x:c r="AC37" s="65"/>
      <x:c r="AD37" s="65"/>
      <x:c r="AE37" s="65"/>
      <x:c r="AF37" s="65"/>
    </x:row>
    <x:row r="38" ht="15" customHeight="1">
      <x:c r="A38" s="70"/>
      <x:c r="B38" s="70"/>
      <x:c r="C38" s="65"/>
      <x:c r="D38" s="65"/>
      <x:c r="E38" s="65"/>
      <x:c r="F38" s="65"/>
      <x:c r="G38" s="65"/>
      <x:c r="H38" s="65"/>
      <x:c r="I38" s="65"/>
      <x:c r="J38" s="65"/>
      <x:c r="K38" s="65"/>
      <x:c r="L38" s="65"/>
      <x:c r="M38" s="65"/>
      <x:c r="N38" s="65"/>
      <x:c r="O38" s="65"/>
      <x:c r="P38" s="65"/>
      <x:c r="Q38" s="65"/>
      <x:c r="R38" s="65"/>
      <x:c r="S38" s="65"/>
      <x:c r="T38" s="65"/>
      <x:c r="U38" s="65"/>
      <x:c r="V38" s="65"/>
      <x:c r="W38" s="65"/>
      <x:c r="X38" s="65"/>
      <x:c r="Y38" s="65"/>
      <x:c r="Z38" s="65"/>
      <x:c r="AA38" s="65"/>
      <x:c r="AB38" s="65"/>
      <x:c r="AC38" s="65"/>
      <x:c r="AD38" s="65"/>
      <x:c r="AE38" s="65"/>
      <x:c r="AF38" s="65"/>
    </x:row>
    <x:row r="39" ht="15" customHeight="1">
      <x:c r="A39" s="70"/>
      <x:c r="B39" s="70"/>
      <x:c r="C39" s="65"/>
      <x:c r="D39" s="65"/>
      <x:c r="E39" s="65"/>
      <x:c r="F39" s="65"/>
      <x:c r="G39" s="65"/>
      <x:c r="H39" s="65"/>
      <x:c r="I39" s="65"/>
      <x:c r="J39" s="65"/>
      <x:c r="K39" s="65"/>
      <x:c r="L39" s="65"/>
      <x:c r="M39" s="65"/>
      <x:c r="N39" s="65"/>
      <x:c r="O39" s="65"/>
      <x:c r="P39" s="65"/>
      <x:c r="Q39" s="65"/>
      <x:c r="R39" s="65"/>
      <x:c r="S39" s="65"/>
      <x:c r="T39" s="65"/>
      <x:c r="U39" s="65"/>
      <x:c r="V39" s="65"/>
      <x:c r="W39" s="65"/>
      <x:c r="X39" s="65"/>
      <x:c r="Y39" s="65"/>
      <x:c r="Z39" s="65"/>
      <x:c r="AA39" s="65"/>
      <x:c r="AB39" s="65"/>
      <x:c r="AC39" s="65"/>
      <x:c r="AD39" s="65"/>
      <x:c r="AE39" s="65"/>
      <x:c r="AF39" s="65"/>
    </x:row>
    <x:row r="40" ht="15" customHeight="1">
      <x:c r="A40" s="70"/>
      <x:c r="B40" s="70"/>
      <x:c r="C40" s="65"/>
      <x:c r="D40" s="65"/>
      <x:c r="E40" s="65"/>
      <x:c r="F40" s="65"/>
      <x:c r="G40" s="65"/>
      <x:c r="H40" s="65"/>
      <x:c r="I40" s="65"/>
      <x:c r="J40" s="65"/>
      <x:c r="K40" s="65"/>
      <x:c r="L40" s="65"/>
      <x:c r="M40" s="65"/>
      <x:c r="N40" s="65"/>
      <x:c r="O40" s="65"/>
      <x:c r="P40" s="65"/>
      <x:c r="Q40" s="65"/>
      <x:c r="R40" s="65"/>
      <x:c r="S40" s="65"/>
      <x:c r="T40" s="65"/>
      <x:c r="U40" s="65"/>
      <x:c r="V40" s="65"/>
      <x:c r="W40" s="65"/>
      <x:c r="X40" s="65"/>
      <x:c r="Y40" s="65"/>
      <x:c r="Z40" s="65"/>
      <x:c r="AA40" s="65"/>
      <x:c r="AB40" s="65"/>
      <x:c r="AC40" s="65"/>
      <x:c r="AD40" s="65"/>
      <x:c r="AE40" s="65"/>
      <x:c r="AF40" s="65"/>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c r="AA41" s="41"/>
      <x:c r="AB41" s="41"/>
      <x:c r="AC41" s="41"/>
      <x:c r="AD41" s="41"/>
      <x:c r="AE41" s="41"/>
      <x:c r="AF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c r="AA42" s="41"/>
      <x:c r="AB42" s="41"/>
      <x:c r="AC42" s="41"/>
      <x:c r="AD42" s="41"/>
      <x:c r="AE42" s="41"/>
      <x:c r="AF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c r="AA43" s="41"/>
      <x:c r="AB43" s="41"/>
      <x:c r="AC43" s="41"/>
      <x:c r="AD43" s="41"/>
      <x:c r="AE43" s="41"/>
      <x:c r="AF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c r="AA44" s="41"/>
      <x:c r="AB44" s="41"/>
      <x:c r="AC44" s="41"/>
      <x:c r="AD44" s="41"/>
      <x:c r="AE44" s="41"/>
      <x:c r="AF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c r="AA45" s="41"/>
      <x:c r="AB45" s="41"/>
      <x:c r="AC45" s="41"/>
      <x:c r="AD45" s="41"/>
      <x:c r="AE45" s="41"/>
      <x:c r="AF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c r="AA46" s="41"/>
      <x:c r="AB46" s="41"/>
      <x:c r="AC46" s="41"/>
      <x:c r="AD46" s="41"/>
      <x:c r="AE46" s="41"/>
      <x:c r="AF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c r="AA47" s="41"/>
      <x:c r="AB47" s="41"/>
      <x:c r="AC47" s="41"/>
      <x:c r="AD47" s="41"/>
      <x:c r="AE47" s="41"/>
      <x:c r="AF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c r="AA48" s="41"/>
      <x:c r="AB48" s="41"/>
      <x:c r="AC48" s="41"/>
      <x:c r="AD48" s="41"/>
      <x:c r="AE48" s="41"/>
      <x:c r="AF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c r="AA49" s="41"/>
      <x:c r="AB49" s="41"/>
      <x:c r="AC49" s="41"/>
      <x:c r="AD49" s="41"/>
      <x:c r="AE49" s="41"/>
      <x:c r="AF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c r="AA50" s="41"/>
      <x:c r="AB50" s="41"/>
      <x:c r="AC50" s="41"/>
      <x:c r="AD50" s="41"/>
      <x:c r="AE50" s="41"/>
      <x:c r="AF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c r="AA51" s="41"/>
      <x:c r="AB51" s="41"/>
      <x:c r="AC51" s="41"/>
      <x:c r="AD51" s="41"/>
      <x:c r="AE51" s="41"/>
      <x:c r="AF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c r="AA52" s="41"/>
      <x:c r="AB52" s="41"/>
      <x:c r="AC52" s="41"/>
      <x:c r="AD52" s="41"/>
      <x:c r="AE52" s="41"/>
      <x:c r="AF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c r="AA53" s="41"/>
      <x:c r="AB53" s="41"/>
      <x:c r="AC53" s="41"/>
      <x:c r="AD53" s="41"/>
      <x:c r="AE53" s="41"/>
      <x:c r="AF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c r="AA54" s="41"/>
      <x:c r="AB54" s="41"/>
      <x:c r="AC54" s="41"/>
      <x:c r="AD54" s="41"/>
      <x:c r="AE54" s="41"/>
      <x:c r="AF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c r="AA55" s="41"/>
      <x:c r="AB55" s="41"/>
      <x:c r="AC55" s="41"/>
      <x:c r="AD55" s="41"/>
      <x:c r="AE55" s="41"/>
      <x:c r="AF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c r="AA56" s="41"/>
      <x:c r="AB56" s="41"/>
      <x:c r="AC56" s="41"/>
      <x:c r="AD56" s="41"/>
      <x:c r="AE56" s="41"/>
      <x:c r="AF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c r="AA57" s="41"/>
      <x:c r="AB57" s="41"/>
      <x:c r="AC57" s="41"/>
      <x:c r="AD57" s="41"/>
      <x:c r="AE57" s="41"/>
      <x:c r="AF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c r="AA58" s="41"/>
      <x:c r="AB58" s="41"/>
      <x:c r="AC58" s="41"/>
      <x:c r="AD58" s="41"/>
      <x:c r="AE58" s="41"/>
      <x:c r="AF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c r="AA59" s="41"/>
      <x:c r="AB59" s="41"/>
      <x:c r="AC59" s="41"/>
      <x:c r="AD59" s="41"/>
      <x:c r="AE59" s="41"/>
      <x:c r="AF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c r="AA60" s="41"/>
      <x:c r="AB60" s="41"/>
      <x:c r="AC60" s="41"/>
      <x:c r="AD60" s="41"/>
      <x:c r="AE60" s="41"/>
      <x:c r="AF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c r="AA61" s="41"/>
      <x:c r="AB61" s="41"/>
      <x:c r="AC61" s="41"/>
      <x:c r="AD61" s="41"/>
      <x:c r="AE61" s="41"/>
      <x:c r="AF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c r="AA62" s="41"/>
      <x:c r="AB62" s="41"/>
      <x:c r="AC62" s="41"/>
      <x:c r="AD62" s="41"/>
      <x:c r="AE62" s="41"/>
      <x:c r="AF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c r="AA63" s="41"/>
      <x:c r="AB63" s="41"/>
      <x:c r="AC63" s="41"/>
      <x:c r="AD63" s="41"/>
      <x:c r="AE63" s="41"/>
      <x:c r="AF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c r="AA64" s="41"/>
      <x:c r="AB64" s="41"/>
      <x:c r="AC64" s="41"/>
      <x:c r="AD64" s="41"/>
      <x:c r="AE64" s="41"/>
      <x:c r="AF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c r="AA65" s="41"/>
      <x:c r="AB65" s="41"/>
      <x:c r="AC65" s="41"/>
      <x:c r="AD65" s="41"/>
      <x:c r="AE65" s="41"/>
      <x:c r="AF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c r="AA66" s="41"/>
      <x:c r="AB66" s="41"/>
      <x:c r="AC66" s="41"/>
      <x:c r="AD66" s="41"/>
      <x:c r="AE66" s="41"/>
      <x:c r="AF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c r="AA67" s="41"/>
      <x:c r="AB67" s="41"/>
      <x:c r="AC67" s="41"/>
      <x:c r="AD67" s="41"/>
      <x:c r="AE67" s="41"/>
      <x:c r="AF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c r="AA68" s="41"/>
      <x:c r="AB68" s="41"/>
      <x:c r="AC68" s="41"/>
      <x:c r="AD68" s="41"/>
      <x:c r="AE68" s="41"/>
      <x:c r="AF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c r="AA69" s="41"/>
      <x:c r="AB69" s="41"/>
      <x:c r="AC69" s="41"/>
      <x:c r="AD69" s="41"/>
      <x:c r="AE69" s="41"/>
      <x:c r="AF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c r="AA70" s="41"/>
      <x:c r="AB70" s="41"/>
      <x:c r="AC70" s="41"/>
      <x:c r="AD70" s="41"/>
      <x:c r="AE70" s="41"/>
      <x:c r="AF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c r="AA71" s="41"/>
      <x:c r="AB71" s="41"/>
      <x:c r="AC71" s="41"/>
      <x:c r="AD71" s="41"/>
      <x:c r="AE71" s="41"/>
      <x:c r="AF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c r="AA72" s="41"/>
      <x:c r="AB72" s="41"/>
      <x:c r="AC72" s="41"/>
      <x:c r="AD72" s="41"/>
      <x:c r="AE72" s="41"/>
      <x:c r="AF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c r="AA73" s="41"/>
      <x:c r="AB73" s="41"/>
      <x:c r="AC73" s="41"/>
      <x:c r="AD73" s="41"/>
      <x:c r="AE73" s="41"/>
      <x:c r="AF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c r="AA74" s="41"/>
      <x:c r="AB74" s="41"/>
      <x:c r="AC74" s="41"/>
      <x:c r="AD74" s="41"/>
      <x:c r="AE74" s="41"/>
      <x:c r="AF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c r="AA75" s="41"/>
      <x:c r="AB75" s="41"/>
      <x:c r="AC75" s="41"/>
      <x:c r="AD75" s="41"/>
      <x:c r="AE75" s="41"/>
      <x:c r="AF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c r="AA76" s="41"/>
      <x:c r="AB76" s="41"/>
      <x:c r="AC76" s="41"/>
      <x:c r="AD76" s="41"/>
      <x:c r="AE76" s="41"/>
      <x:c r="AF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c r="AA77" s="41"/>
      <x:c r="AB77" s="41"/>
      <x:c r="AC77" s="41"/>
      <x:c r="AD77" s="41"/>
      <x:c r="AE77" s="41"/>
      <x:c r="AF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c r="AA78" s="41"/>
      <x:c r="AB78" s="41"/>
      <x:c r="AC78" s="41"/>
      <x:c r="AD78" s="41"/>
      <x:c r="AE78" s="41"/>
      <x:c r="AF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c r="AA79" s="41"/>
      <x:c r="AB79" s="41"/>
      <x:c r="AC79" s="41"/>
      <x:c r="AD79" s="41"/>
      <x:c r="AE79" s="41"/>
      <x:c r="AF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c r="AA80" s="41"/>
      <x:c r="AB80" s="41"/>
      <x:c r="AC80" s="41"/>
      <x:c r="AD80" s="41"/>
      <x:c r="AE80" s="41"/>
      <x:c r="AF80" s="41"/>
    </x:row>
  </x:sheetData>
  <x:mergeCells>
    <x:mergeCell ref="A29:AF30"/>
    <x:mergeCell ref="A1:AF1"/>
    <x:mergeCell ref="A2:AF2"/>
    <x:mergeCell ref="A3:AF3"/>
    <x:mergeCell ref="A10:AF10"/>
    <x:mergeCell ref="A14:AF14"/>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4"/>
  <x:cols>
    <x:col min="1" max="1" width="10" customWidth="1"/>
    <x:col min="2" max="2" width="34" customWidth="1"/>
    <x:col min="3" max="32" width="12" customWidth="1"/>
  </x:cols>
  <x:sheetData>
    <x:row r="1" ht="15" customHeight="1">
      <x:c r="A1" s="131" t="s">
        <x:v>552</x:v>
      </x:c>
      <x:c r="B1" s="131"/>
      <x:c r="C1" s="132"/>
      <x:c r="D1" s="132"/>
      <x:c r="E1" s="132"/>
      <x:c r="F1" s="132"/>
      <x:c r="G1" s="132"/>
      <x:c r="H1" s="132"/>
      <x:c r="I1" s="132"/>
      <x:c r="J1" s="132"/>
      <x:c r="K1" s="132"/>
      <x:c r="L1" s="132"/>
      <x:c r="M1" s="132"/>
      <x:c r="N1" s="132"/>
      <x:c r="O1" s="132"/>
      <x:c r="P1" s="132"/>
      <x:c r="Q1" s="132"/>
      <x:c r="R1" s="132"/>
      <x:c r="S1" s="132"/>
      <x:c r="T1" s="132"/>
      <x:c r="U1" s="132"/>
      <x:c r="V1" s="132"/>
      <x:c r="W1" s="132"/>
      <x:c r="X1" s="132"/>
      <x:c r="Y1" s="132"/>
      <x:c r="Z1" s="132"/>
      <x:c r="AA1" s="132"/>
      <x:c r="AB1" s="132"/>
      <x:c r="AC1" s="132"/>
      <x:c r="AD1" s="132"/>
      <x:c r="AE1" s="132"/>
      <x:c r="AF1" s="132"/>
    </x:row>
    <x:row r="2" ht="15" customHeight="1">
      <x:c r="A2" s="133" t="s">
        <x:v>553</x:v>
      </x:c>
      <x:c r="B2" s="133"/>
      <x:c r="C2" s="133"/>
      <x:c r="D2" s="133"/>
      <x:c r="E2" s="133"/>
      <x:c r="F2" s="133"/>
      <x:c r="G2" s="133"/>
      <x:c r="H2" s="133"/>
      <x:c r="I2" s="133"/>
      <x:c r="J2" s="133"/>
      <x:c r="K2" s="133"/>
      <x:c r="L2" s="133"/>
      <x:c r="M2" s="133"/>
      <x:c r="N2" s="133"/>
      <x:c r="O2" s="133"/>
      <x:c r="P2" s="133"/>
      <x:c r="Q2" s="133"/>
      <x:c r="R2" s="133"/>
      <x:c r="S2" s="133"/>
      <x:c r="T2" s="133"/>
      <x:c r="U2" s="133"/>
      <x:c r="V2" s="133"/>
      <x:c r="W2" s="133"/>
      <x:c r="X2" s="133"/>
      <x:c r="Y2" s="133"/>
      <x:c r="Z2" s="133"/>
      <x:c r="AA2" s="133"/>
      <x:c r="AB2" s="133"/>
      <x:c r="AC2" s="133"/>
      <x:c r="AD2" s="133"/>
      <x:c r="AE2" s="133"/>
      <x:c r="AF2" s="133"/>
    </x:row>
    <x:row r="3" ht="15" customHeight="1">
      <x:c r="A3" s="134" t="s">
        <x:v>447</x:v>
      </x:c>
      <x:c r="B3" s="134"/>
      <x:c r="C3" s="135"/>
      <x:c r="D3" s="135"/>
      <x:c r="E3" s="135"/>
      <x:c r="F3" s="135"/>
      <x:c r="G3" s="135"/>
      <x:c r="H3" s="135"/>
      <x:c r="I3" s="135"/>
      <x:c r="J3" s="135"/>
      <x:c r="K3" s="135"/>
      <x:c r="L3" s="135"/>
      <x:c r="M3" s="135"/>
      <x:c r="N3" s="135"/>
      <x:c r="O3" s="135"/>
      <x:c r="P3" s="135"/>
      <x:c r="Q3" s="135"/>
      <x:c r="R3" s="135"/>
      <x:c r="S3" s="135"/>
      <x:c r="T3" s="135"/>
      <x:c r="U3" s="135"/>
      <x:c r="V3" s="135"/>
      <x:c r="W3" s="135"/>
      <x:c r="X3" s="135"/>
      <x:c r="Y3" s="135"/>
      <x:c r="Z3" s="135"/>
      <x:c r="AA3" s="135"/>
      <x:c r="AB3" s="135"/>
      <x:c r="AC3" s="135"/>
      <x:c r="AD3" s="135"/>
      <x:c r="AE3" s="135"/>
      <x:c r="AF3" s="135"/>
    </x:row>
    <x:row r="4" ht="15" customHeight="1">
      <x:c r="A4" s="70"/>
      <x:c r="B4" s="70"/>
      <x:c r="C4" s="65"/>
      <x:c r="D4" s="65"/>
      <x:c r="E4" s="65"/>
      <x:c r="F4" s="65"/>
      <x:c r="G4" s="65"/>
      <x:c r="H4" s="65"/>
      <x:c r="I4" s="65"/>
      <x:c r="J4" s="65"/>
      <x:c r="K4" s="65"/>
      <x:c r="L4" s="65"/>
      <x:c r="M4" s="65"/>
      <x:c r="N4" s="65"/>
      <x:c r="O4" s="65"/>
      <x:c r="P4" s="65"/>
      <x:c r="Q4" s="65"/>
      <x:c r="R4" s="65"/>
      <x:c r="S4" s="65"/>
      <x:c r="T4" s="65"/>
      <x:c r="U4" s="65"/>
      <x:c r="V4" s="65"/>
      <x:c r="W4" s="65"/>
      <x:c r="X4" s="65"/>
      <x:c r="Y4" s="65"/>
      <x:c r="Z4" s="65"/>
      <x:c r="AA4" s="65"/>
      <x:c r="AB4" s="65"/>
      <x:c r="AC4" s="65"/>
      <x:c r="AD4" s="65"/>
      <x:c r="AE4" s="65"/>
      <x:c r="AF4" s="65"/>
    </x:row>
    <x:row r="5" ht="15" customHeight="1">
      <x:c r="A5" s="70"/>
      <x:c r="B5" s="70"/>
      <x:c r="C5" s="65"/>
      <x:c r="D5" s="65"/>
      <x:c r="E5" s="65"/>
      <x:c r="F5" s="65"/>
      <x:c r="G5" s="65"/>
      <x:c r="H5" s="65"/>
      <x:c r="I5" s="65"/>
      <x:c r="J5" s="65"/>
      <x:c r="K5" s="65"/>
      <x:c r="L5" s="65"/>
      <x:c r="M5" s="65"/>
      <x:c r="N5" s="65"/>
      <x:c r="O5" s="65"/>
      <x:c r="P5" s="65"/>
      <x:c r="Q5" s="65"/>
      <x:c r="R5" s="65"/>
      <x:c r="S5" s="65"/>
      <x:c r="T5" s="65"/>
      <x:c r="U5" s="65"/>
      <x:c r="V5" s="65"/>
      <x:c r="W5" s="65"/>
      <x:c r="X5" s="65"/>
      <x:c r="Y5" s="65"/>
      <x:c r="Z5" s="65"/>
      <x:c r="AA5" s="65"/>
      <x:c r="AB5" s="65"/>
      <x:c r="AC5" s="65"/>
      <x:c r="AD5" s="65"/>
      <x:c r="AE5" s="65"/>
      <x:c r="AF5" s="65"/>
    </x:row>
    <x:row r="6" ht="15" customHeight="1">
      <x:c r="A6" s="71"/>
      <x:c r="B6" s="71" t="s">
        <x:v>160</x:v>
      </x:c>
      <x:c r="C6" s="42" t="n">
        <x:f>CAPEX!C6</x:f>
        <x:v>2025</x:v>
      </x:c>
      <x:c r="D6" s="42" t="n">
        <x:f>CAPEX!D6</x:f>
        <x:v>2026</x:v>
      </x:c>
      <x:c r="E6" s="42" t="n">
        <x:f>CAPEX!E6</x:f>
        <x:v>2027</x:v>
      </x:c>
      <x:c r="F6" s="42" t="n">
        <x:f>CAPEX!F6</x:f>
        <x:v>2028</x:v>
      </x:c>
      <x:c r="G6" s="42" t="n">
        <x:f>CAPEX!G6</x:f>
        <x:v>2029</x:v>
      </x:c>
      <x:c r="H6" s="42" t="n">
        <x:f>CAPEX!H6</x:f>
        <x:v>2030</x:v>
      </x:c>
      <x:c r="I6" s="42" t="n">
        <x:f>CAPEX!I6</x:f>
        <x:v>2031</x:v>
      </x:c>
      <x:c r="J6" s="42" t="n">
        <x:f>CAPEX!J6</x:f>
        <x:v>2032</x:v>
      </x:c>
      <x:c r="K6" s="42" t="n">
        <x:f>CAPEX!K6</x:f>
        <x:v>2033</x:v>
      </x:c>
      <x:c r="L6" s="42" t="n">
        <x:f>CAPEX!L6</x:f>
        <x:v>2034</x:v>
      </x:c>
      <x:c r="M6" s="42" t="n">
        <x:f>CAPEX!M6</x:f>
        <x:v>2035</x:v>
      </x:c>
      <x:c r="N6" s="42" t="n">
        <x:f>CAPEX!N6</x:f>
        <x:v>2036</x:v>
      </x:c>
      <x:c r="O6" s="42" t="n">
        <x:f>CAPEX!O6</x:f>
        <x:v>2037</x:v>
      </x:c>
      <x:c r="P6" s="42" t="n">
        <x:f>CAPEX!P6</x:f>
        <x:v>2038</x:v>
      </x:c>
      <x:c r="Q6" s="42" t="n">
        <x:f>CAPEX!Q6</x:f>
        <x:v>2039</x:v>
      </x:c>
      <x:c r="R6" s="42" t="n">
        <x:f>CAPEX!R6</x:f>
        <x:v>2040</x:v>
      </x:c>
      <x:c r="S6" s="42" t="n">
        <x:f>CAPEX!S6</x:f>
        <x:v>2041</x:v>
      </x:c>
      <x:c r="T6" s="42" t="n">
        <x:f>CAPEX!T6</x:f>
        <x:v>2042</x:v>
      </x:c>
      <x:c r="U6" s="42" t="n">
        <x:f>CAPEX!U6</x:f>
        <x:v>2043</x:v>
      </x:c>
      <x:c r="V6" s="42" t="n">
        <x:f>CAPEX!V6</x:f>
        <x:v>2044</x:v>
      </x:c>
      <x:c r="W6" s="42" t="n">
        <x:f>CAPEX!W6</x:f>
        <x:v>2045</x:v>
      </x:c>
      <x:c r="X6" s="42" t="n">
        <x:f>CAPEX!X6</x:f>
        <x:v>2046</x:v>
      </x:c>
      <x:c r="Y6" s="42" t="n">
        <x:f>CAPEX!Y6</x:f>
        <x:v>2047</x:v>
      </x:c>
      <x:c r="Z6" s="42" t="n">
        <x:f>CAPEX!Z6</x:f>
        <x:v>2048</x:v>
      </x:c>
      <x:c r="AA6" s="42" t="n">
        <x:f>CAPEX!AA6</x:f>
        <x:v>2049</x:v>
      </x:c>
      <x:c r="AB6" s="42" t="n">
        <x:f>CAPEX!AB6</x:f>
        <x:v>2050</x:v>
      </x:c>
      <x:c r="AC6" s="42" t="n">
        <x:f>CAPEX!AC6</x:f>
        <x:v>2051</x:v>
      </x:c>
      <x:c r="AD6" s="42" t="n">
        <x:f>CAPEX!AD6</x:f>
        <x:v>2052</x:v>
      </x:c>
      <x:c r="AE6" s="42" t="n">
        <x:f>CAPEX!AE6</x:f>
        <x:v>2053</x:v>
      </x:c>
      <x:c r="AF6" s="42" t="n">
        <x:f>CAPEX!AF6</x:f>
        <x:v>2054</x:v>
      </x:c>
    </x:row>
    <x:row r="7" ht="15" customHeight="1">
      <x:c r="A7" s="70"/>
      <x:c r="B7" s="70" t="s">
        <x:v>448</x:v>
      </x:c>
      <x:c r="C7" s="66" t="n">
        <x:f>CAPEX!C7</x:f>
        <x:v>0</x:v>
      </x:c>
      <x:c r="D7" s="66" t="n">
        <x:f>CAPEX!D7</x:f>
        <x:v>1</x:v>
      </x:c>
      <x:c r="E7" s="66" t="n">
        <x:f>CAPEX!E7</x:f>
        <x:v>2</x:v>
      </x:c>
      <x:c r="F7" s="66" t="n">
        <x:f>CAPEX!F7</x:f>
        <x:v>3</x:v>
      </x:c>
      <x:c r="G7" s="66" t="n">
        <x:f>CAPEX!G7</x:f>
        <x:v>4</x:v>
      </x:c>
      <x:c r="H7" s="66" t="n">
        <x:f>CAPEX!H7</x:f>
        <x:v>5</x:v>
      </x:c>
      <x:c r="I7" s="66" t="n">
        <x:f>CAPEX!I7</x:f>
        <x:v>6</x:v>
      </x:c>
      <x:c r="J7" s="66" t="n">
        <x:f>CAPEX!J7</x:f>
        <x:v>7</x:v>
      </x:c>
      <x:c r="K7" s="66" t="n">
        <x:f>CAPEX!K7</x:f>
        <x:v>8</x:v>
      </x:c>
      <x:c r="L7" s="66" t="n">
        <x:f>CAPEX!L7</x:f>
        <x:v>9</x:v>
      </x:c>
      <x:c r="M7" s="66" t="n">
        <x:f>CAPEX!M7</x:f>
        <x:v>10</x:v>
      </x:c>
      <x:c r="N7" s="66" t="n">
        <x:f>CAPEX!N7</x:f>
        <x:v>11</x:v>
      </x:c>
      <x:c r="O7" s="66" t="n">
        <x:f>CAPEX!O7</x:f>
        <x:v>12</x:v>
      </x:c>
      <x:c r="P7" s="66" t="n">
        <x:f>CAPEX!P7</x:f>
        <x:v>13</x:v>
      </x:c>
      <x:c r="Q7" s="66" t="n">
        <x:f>CAPEX!Q7</x:f>
        <x:v>14</x:v>
      </x:c>
      <x:c r="R7" s="66" t="n">
        <x:f>CAPEX!R7</x:f>
        <x:v>15</x:v>
      </x:c>
      <x:c r="S7" s="66" t="n">
        <x:f>CAPEX!S7</x:f>
        <x:v>16</x:v>
      </x:c>
      <x:c r="T7" s="66" t="n">
        <x:f>CAPEX!T7</x:f>
        <x:v>17</x:v>
      </x:c>
      <x:c r="U7" s="66" t="n">
        <x:f>CAPEX!U7</x:f>
        <x:v>18</x:v>
      </x:c>
      <x:c r="V7" s="66" t="n">
        <x:f>CAPEX!V7</x:f>
        <x:v>19</x:v>
      </x:c>
      <x:c r="W7" s="66" t="n">
        <x:f>CAPEX!W7</x:f>
        <x:v>20</x:v>
      </x:c>
      <x:c r="X7" s="66" t="n">
        <x:f>CAPEX!X7</x:f>
        <x:v>21</x:v>
      </x:c>
      <x:c r="Y7" s="66" t="n">
        <x:f>CAPEX!Y7</x:f>
        <x:v>22</x:v>
      </x:c>
      <x:c r="Z7" s="66" t="n">
        <x:f>CAPEX!Z7</x:f>
        <x:v>23</x:v>
      </x:c>
      <x:c r="AA7" s="66" t="n">
        <x:f>CAPEX!AA7</x:f>
        <x:v>24</x:v>
      </x:c>
      <x:c r="AB7" s="66" t="n">
        <x:f>CAPEX!AB7</x:f>
        <x:v>25</x:v>
      </x:c>
      <x:c r="AC7" s="66" t="n">
        <x:f>CAPEX!AC7</x:f>
        <x:v>26</x:v>
      </x:c>
      <x:c r="AD7" s="66" t="n">
        <x:f>CAPEX!AD7</x:f>
        <x:v>27</x:v>
      </x:c>
      <x:c r="AE7" s="66" t="n">
        <x:f>CAPEX!AE7</x:f>
        <x:v>28</x:v>
      </x:c>
      <x:c r="AF7" s="66" t="n">
        <x:f>CAPEX!AF7</x:f>
        <x:v>29</x:v>
      </x:c>
    </x:row>
    <x:row r="8" ht="15" customHeight="1">
      <x:c r="A8" s="70"/>
      <x:c r="B8" s="70" t="s">
        <x:v>450</x:v>
      </x:c>
      <x:c r="C8" s="66" t="n">
        <x:f>CAPEX!C9</x:f>
        <x:v>0</x:v>
      </x:c>
      <x:c r="D8" s="66" t="n">
        <x:f>CAPEX!D9</x:f>
        <x:v>0</x:v>
      </x:c>
      <x:c r="E8" s="66" t="n">
        <x:f>CAPEX!E9</x:f>
        <x:v>1</x:v>
      </x:c>
      <x:c r="F8" s="66" t="n">
        <x:f>CAPEX!F9</x:f>
        <x:v>2</x:v>
      </x:c>
      <x:c r="G8" s="66" t="n">
        <x:f>CAPEX!G9</x:f>
        <x:v>3</x:v>
      </x:c>
      <x:c r="H8" s="66" t="n">
        <x:f>CAPEX!H9</x:f>
        <x:v>4</x:v>
      </x:c>
      <x:c r="I8" s="66" t="n">
        <x:f>CAPEX!I9</x:f>
        <x:v>5</x:v>
      </x:c>
      <x:c r="J8" s="66" t="n">
        <x:f>CAPEX!J9</x:f>
        <x:v>6</x:v>
      </x:c>
      <x:c r="K8" s="66" t="n">
        <x:f>CAPEX!K9</x:f>
        <x:v>7</x:v>
      </x:c>
      <x:c r="L8" s="66" t="n">
        <x:f>CAPEX!L9</x:f>
        <x:v>8</x:v>
      </x:c>
      <x:c r="M8" s="66" t="n">
        <x:f>CAPEX!M9</x:f>
        <x:v>9</x:v>
      </x:c>
      <x:c r="N8" s="66" t="n">
        <x:f>CAPEX!N9</x:f>
        <x:v>10</x:v>
      </x:c>
      <x:c r="O8" s="66" t="n">
        <x:f>CAPEX!O9</x:f>
        <x:v>11</x:v>
      </x:c>
      <x:c r="P8" s="66" t="n">
        <x:f>CAPEX!P9</x:f>
        <x:v>12</x:v>
      </x:c>
      <x:c r="Q8" s="66" t="n">
        <x:f>CAPEX!Q9</x:f>
        <x:v>13</x:v>
      </x:c>
      <x:c r="R8" s="66" t="n">
        <x:f>CAPEX!R9</x:f>
        <x:v>14</x:v>
      </x:c>
      <x:c r="S8" s="66" t="n">
        <x:f>CAPEX!S9</x:f>
        <x:v>15</x:v>
      </x:c>
      <x:c r="T8" s="66" t="n">
        <x:f>CAPEX!T9</x:f>
        <x:v>16</x:v>
      </x:c>
      <x:c r="U8" s="66" t="n">
        <x:f>CAPEX!U9</x:f>
        <x:v>17</x:v>
      </x:c>
      <x:c r="V8" s="66" t="n">
        <x:f>CAPEX!V9</x:f>
        <x:v>18</x:v>
      </x:c>
      <x:c r="W8" s="66" t="n">
        <x:f>CAPEX!W9</x:f>
        <x:v>19</x:v>
      </x:c>
      <x:c r="X8" s="66" t="n">
        <x:f>CAPEX!X9</x:f>
        <x:v>20</x:v>
      </x:c>
      <x:c r="Y8" s="66" t="n">
        <x:f>CAPEX!Y9</x:f>
        <x:v>0</x:v>
      </x:c>
      <x:c r="Z8" s="66" t="n">
        <x:f>CAPEX!Z9</x:f>
        <x:v>0</x:v>
      </x:c>
      <x:c r="AA8" s="66" t="n">
        <x:f>CAPEX!AA9</x:f>
        <x:v>0</x:v>
      </x:c>
      <x:c r="AB8" s="66" t="n">
        <x:f>CAPEX!AB9</x:f>
        <x:v>0</x:v>
      </x:c>
      <x:c r="AC8" s="66" t="n">
        <x:f>CAPEX!AC9</x:f>
        <x:v>0</x:v>
      </x:c>
      <x:c r="AD8" s="66" t="n">
        <x:f>CAPEX!AD9</x:f>
        <x:v>0</x:v>
      </x:c>
      <x:c r="AE8" s="66" t="n">
        <x:f>CAPEX!AE9</x:f>
        <x:v>0</x:v>
      </x:c>
      <x:c r="AF8" s="66" t="n">
        <x:f>CAPEX!AF9</x:f>
        <x:v>0</x:v>
      </x:c>
    </x:row>
    <x:row r="9" ht="15" customHeight="1">
      <x:c r="A9" s="70"/>
      <x:c r="B9" s="70"/>
      <x:c r="C9" s="65"/>
      <x:c r="D9" s="65"/>
      <x:c r="E9" s="65"/>
      <x:c r="F9" s="65"/>
      <x:c r="G9" s="65"/>
      <x:c r="H9" s="65"/>
      <x:c r="I9" s="65"/>
      <x:c r="J9" s="65"/>
      <x:c r="K9" s="65"/>
      <x:c r="L9" s="65"/>
      <x:c r="M9" s="65"/>
      <x:c r="N9" s="65"/>
      <x:c r="O9" s="65"/>
      <x:c r="P9" s="65"/>
      <x:c r="Q9" s="65"/>
      <x:c r="R9" s="65"/>
      <x:c r="S9" s="65"/>
      <x:c r="T9" s="65"/>
      <x:c r="U9" s="65"/>
      <x:c r="V9" s="65"/>
      <x:c r="W9" s="65"/>
      <x:c r="X9" s="65"/>
      <x:c r="Y9" s="65"/>
      <x:c r="Z9" s="65"/>
      <x:c r="AA9" s="65"/>
      <x:c r="AB9" s="65"/>
      <x:c r="AC9" s="65"/>
      <x:c r="AD9" s="65"/>
      <x:c r="AE9" s="65"/>
      <x:c r="AF9" s="65"/>
    </x:row>
    <x:row r="10" ht="15" customHeight="1">
      <x:c r="A10" s="136" t="s">
        <x:v>554</x:v>
      </x:c>
      <x:c r="B10" s="136"/>
      <x:c r="C10" s="137"/>
      <x:c r="D10" s="137"/>
      <x:c r="E10" s="137"/>
      <x:c r="F10" s="137"/>
      <x:c r="G10" s="137"/>
      <x:c r="H10" s="137"/>
      <x:c r="I10" s="137"/>
      <x:c r="J10" s="137"/>
      <x:c r="K10" s="137"/>
      <x:c r="L10" s="137"/>
      <x:c r="M10" s="137"/>
      <x:c r="N10" s="137"/>
      <x:c r="O10" s="137"/>
      <x:c r="P10" s="137"/>
      <x:c r="Q10" s="137"/>
      <x:c r="R10" s="137"/>
      <x:c r="S10" s="137"/>
      <x:c r="T10" s="137"/>
      <x:c r="U10" s="137"/>
      <x:c r="V10" s="137"/>
      <x:c r="W10" s="137"/>
      <x:c r="X10" s="137"/>
      <x:c r="Y10" s="137"/>
      <x:c r="Z10" s="137"/>
      <x:c r="AA10" s="137"/>
      <x:c r="AB10" s="137"/>
      <x:c r="AC10" s="137"/>
      <x:c r="AD10" s="137"/>
      <x:c r="AE10" s="137"/>
      <x:c r="AF10" s="137"/>
    </x:row>
    <x:row r="11" ht="15" customHeight="1">
      <x:c r="A11" s="72" t="s">
        <x:v>555</x:v>
      </x:c>
      <x:c r="B11" s="73" t="s">
        <x:v>480</x:v>
      </x:c>
      <x:c r="C11" s="44" t="n">
        <x:f>Energy_Revenue!C16</x:f>
        <x:v>0</x:v>
      </x:c>
      <x:c r="D11" s="44" t="n">
        <x:f>Energy_Revenue!D16</x:f>
        <x:v>0</x:v>
      </x:c>
      <x:c r="E11" s="44" t="n">
        <x:f>Energy_Revenue!E16</x:f>
        <x:v>854.972496</x:v>
      </x:c>
      <x:c r="F11" s="44" t="n">
        <x:f>Energy_Revenue!F16</x:f>
        <x:v>870.3278020281601</x:v>
      </x:c>
      <x:c r="G11" s="44" t="n">
        <x:f>Energy_Revenue!G16</x:f>
        <x:v>885.9588893525859</x:v>
      </x:c>
      <x:c r="H11" s="44" t="n">
        <x:f>Energy_Revenue!H16</x:f>
        <x:v>901.8707110053582</x:v>
      </x:c>
      <x:c r="I11" s="44" t="n">
        <x:f>Energy_Revenue!I16</x:f>
        <x:v>918.0683089750145</x:v>
      </x:c>
      <x:c r="J11" s="44" t="n">
        <x:f>Energy_Revenue!J16</x:f>
        <x:v>934.5568158042058</x:v>
      </x:c>
      <x:c r="K11" s="44" t="n">
        <x:f>Energy_Revenue!K16</x:f>
        <x:v>951.3414562160493</x:v>
      </x:c>
      <x:c r="L11" s="44" t="n">
        <x:f>Energy_Revenue!L16</x:f>
        <x:v>968.4275487696893</x:v>
      </x:c>
      <x:c r="M11" s="44" t="n">
        <x:f>Energy_Revenue!M16</x:f>
        <x:v>985.8205075455932</x:v>
      </x:c>
      <x:c r="N11" s="44" t="n">
        <x:f>Energy_Revenue!N16</x:f>
        <x:v>1003.5258438611121</x:v>
      </x:c>
      <x:c r="O11" s="44" t="n">
        <x:f>Energy_Revenue!O16</x:f>
        <x:v>1021.5491680168577</x:v>
      </x:c>
      <x:c r="P11" s="44" t="n">
        <x:f>Energy_Revenue!P16</x:f>
        <x:v>1039.8961910744401</x:v>
      </x:c>
      <x:c r="Q11" s="44" t="n">
        <x:f>Energy_Revenue!Q16</x:f>
        <x:v>1058.5727266661374</x:v>
      </x:c>
      <x:c r="R11" s="44" t="n">
        <x:f>Energy_Revenue!R16</x:f>
        <x:v>1077.5846928370609</x:v>
      </x:c>
      <x:c r="S11" s="44" t="n">
        <x:f>Energy_Revenue!S16</x:f>
        <x:v>1096.938113920415</x:v>
      </x:c>
      <x:c r="T11" s="44" t="n">
        <x:f>Energy_Revenue!T16</x:f>
        <x:v>1116.6391224464253</x:v>
      </x:c>
      <x:c r="U11" s="44" t="n">
        <x:f>Energy_Revenue!U16</x:f>
        <x:v>1136.6939610855632</x:v>
      </x:c>
      <x:c r="V11" s="44" t="n">
        <x:f>Energy_Revenue!V16</x:f>
        <x:v>1157.1089846266602</x:v>
      </x:c>
      <x:c r="W11" s="44" t="n">
        <x:f>Energy_Revenue!W16</x:f>
        <x:v>1177.8906619905545</x:v>
      </x:c>
      <x:c r="X11" s="44" t="n">
        <x:f>Energy_Revenue!X16</x:f>
        <x:v>1199.0455782799047</x:v>
      </x:c>
      <x:c r="Y11" s="44" t="n">
        <x:f>Energy_Revenue!Y16</x:f>
        <x:v>0</x:v>
      </x:c>
      <x:c r="Z11" s="44" t="n">
        <x:f>Energy_Revenue!Z16</x:f>
        <x:v>0</x:v>
      </x:c>
      <x:c r="AA11" s="44" t="n">
        <x:f>Energy_Revenue!AA16</x:f>
        <x:v>0</x:v>
      </x:c>
      <x:c r="AB11" s="44" t="n">
        <x:f>Energy_Revenue!AB16</x:f>
        <x:v>0</x:v>
      </x:c>
      <x:c r="AC11" s="44" t="n">
        <x:f>Energy_Revenue!AC16</x:f>
        <x:v>0</x:v>
      </x:c>
      <x:c r="AD11" s="44" t="n">
        <x:f>Energy_Revenue!AD16</x:f>
        <x:v>0</x:v>
      </x:c>
      <x:c r="AE11" s="44" t="n">
        <x:f>Energy_Revenue!AE16</x:f>
        <x:v>0</x:v>
      </x:c>
      <x:c r="AF11" s="44" t="n">
        <x:f>Energy_Revenue!AF16</x:f>
        <x:v>0</x:v>
      </x:c>
    </x:row>
    <x:row r="12" ht="15" customHeight="1">
      <x:c r="A12" s="72" t="s">
        <x:v>556</x:v>
      </x:c>
      <x:c r="B12" s="72" t="s">
        <x:v>482</x:v>
      </x:c>
      <x:c r="C12" s="45" t="n">
        <x:f>Energy_Revenue!C19</x:f>
        <x:v>0</x:v>
      </x:c>
      <x:c r="D12" s="45" t="n">
        <x:f>Energy_Revenue!D19</x:f>
        <x:v>0</x:v>
      </x:c>
      <x:c r="E12" s="45" t="n">
        <x:f>Energy_Revenue!E19</x:f>
        <x:v>122.3</x:v>
      </x:c>
      <x:c r="F12" s="45" t="n">
        <x:f>Energy_Revenue!F19</x:f>
        <x:v>124.746</x:v>
      </x:c>
      <x:c r="G12" s="45" t="n">
        <x:f>Energy_Revenue!G19</x:f>
        <x:v>127.24092</x:v>
      </x:c>
      <x:c r="H12" s="45" t="n">
        <x:f>Energy_Revenue!H19</x:f>
        <x:v>129.7857384</x:v>
      </x:c>
      <x:c r="I12" s="45" t="n">
        <x:f>Energy_Revenue!I19</x:f>
        <x:v>132.381453168</x:v>
      </x:c>
      <x:c r="J12" s="45" t="n">
        <x:f>Energy_Revenue!J19</x:f>
        <x:v>135.02908223136</x:v>
      </x:c>
      <x:c r="K12" s="45" t="n">
        <x:f>Energy_Revenue!K19</x:f>
        <x:v>137.7296638759872</x:v>
      </x:c>
      <x:c r="L12" s="45" t="n">
        <x:f>Energy_Revenue!L19</x:f>
        <x:v>140.48425715350695</x:v>
      </x:c>
      <x:c r="M12" s="45" t="n">
        <x:f>Energy_Revenue!M19</x:f>
        <x:v>143.2939422965771</x:v>
      </x:c>
      <x:c r="N12" s="45" t="n">
        <x:f>Energy_Revenue!N19</x:f>
        <x:v>146.15982114250863</x:v>
      </x:c>
      <x:c r="O12" s="45" t="n">
        <x:f>Energy_Revenue!O19</x:f>
        <x:v>149.08301756535883</x:v>
      </x:c>
      <x:c r="P12" s="45" t="n">
        <x:f>Energy_Revenue!P19</x:f>
        <x:v>152.064677916666</x:v>
      </x:c>
      <x:c r="Q12" s="45" t="n">
        <x:f>Energy_Revenue!Q19</x:f>
        <x:v>155.1059714749993</x:v>
      </x:c>
      <x:c r="R12" s="45" t="n">
        <x:f>Energy_Revenue!R19</x:f>
        <x:v>158.2080909044993</x:v>
      </x:c>
      <x:c r="S12" s="45" t="n">
        <x:f>Energy_Revenue!S19</x:f>
        <x:v>161.37225272258928</x:v>
      </x:c>
      <x:c r="T12" s="45" t="n">
        <x:f>Energy_Revenue!T19</x:f>
        <x:v>164.5996977770411</x:v>
      </x:c>
      <x:c r="U12" s="45" t="n">
        <x:f>Energy_Revenue!U19</x:f>
        <x:v>167.8916917325819</x:v>
      </x:c>
      <x:c r="V12" s="45" t="n">
        <x:f>Energy_Revenue!V19</x:f>
        <x:v>171.24952556723355</x:v>
      </x:c>
      <x:c r="W12" s="45" t="n">
        <x:f>Energy_Revenue!W19</x:f>
        <x:v>174.67451607857822</x:v>
      </x:c>
      <x:c r="X12" s="45" t="n">
        <x:f>Energy_Revenue!X19</x:f>
        <x:v>178.16800640014978</x:v>
      </x:c>
      <x:c r="Y12" s="45" t="n">
        <x:f>Energy_Revenue!Y19</x:f>
        <x:v>0</x:v>
      </x:c>
      <x:c r="Z12" s="45" t="n">
        <x:f>Energy_Revenue!Z19</x:f>
        <x:v>0</x:v>
      </x:c>
      <x:c r="AA12" s="45" t="n">
        <x:f>Energy_Revenue!AA19</x:f>
        <x:v>0</x:v>
      </x:c>
      <x:c r="AB12" s="45" t="n">
        <x:f>Energy_Revenue!AB19</x:f>
        <x:v>0</x:v>
      </x:c>
      <x:c r="AC12" s="45" t="n">
        <x:f>Energy_Revenue!AC19</x:f>
        <x:v>0</x:v>
      </x:c>
      <x:c r="AD12" s="45" t="n">
        <x:f>Energy_Revenue!AD19</x:f>
        <x:v>0</x:v>
      </x:c>
      <x:c r="AE12" s="45" t="n">
        <x:f>Energy_Revenue!AE19</x:f>
        <x:v>0</x:v>
      </x:c>
      <x:c r="AF12" s="45" t="n">
        <x:f>Energy_Revenue!AF19</x:f>
        <x:v>0</x:v>
      </x:c>
    </x:row>
    <x:row r="13" ht="15" customHeight="1">
      <x:c r="A13" s="72" t="s">
        <x:v>557</x:v>
      </x:c>
      <x:c r="B13" s="73" t="s">
        <x:v>47</x:v>
      </x:c>
      <x:c r="C13" s="44" t="n">
        <x:f t="shared" ref="C13:AF13" si="0">C11-C12</x:f>
        <x:v>0</x:v>
      </x:c>
      <x:c r="D13" s="44">
        <x:f t="shared" si="0"/>
        <x:v>0</x:v>
      </x:c>
      <x:c r="E13" s="44">
        <x:f t="shared" si="0"/>
        <x:v>732.67249600000002</x:v>
      </x:c>
      <x:c r="F13" s="44">
        <x:f t="shared" si="0"/>
        <x:v>745.58180202816015</x:v>
      </x:c>
      <x:c r="G13" s="44">
        <x:f t="shared" si="0"/>
        <x:v>758.7179693525859</x:v>
      </x:c>
      <x:c r="H13" s="44">
        <x:f t="shared" si="0"/>
        <x:v>772.08497260535819</x:v>
      </x:c>
      <x:c r="I13" s="44">
        <x:f t="shared" si="0"/>
        <x:v>785.68685580701447</x:v>
      </x:c>
      <x:c r="J13" s="44">
        <x:f t="shared" si="0"/>
        <x:v>799.52773357284582</x:v>
      </x:c>
      <x:c r="K13" s="44">
        <x:f t="shared" si="0"/>
        <x:v>813.61179234006215</x:v>
      </x:c>
      <x:c r="L13" s="44">
        <x:f t="shared" si="0"/>
        <x:v>827.94329161618248</x:v>
      </x:c>
      <x:c r="M13" s="44">
        <x:f t="shared" si="0"/>
        <x:v>842.52656524901613</x:v>
      </x:c>
      <x:c r="N13" s="44">
        <x:f t="shared" si="0"/>
        <x:v>857.36602271860352</x:v>
      </x:c>
      <x:c r="O13" s="44">
        <x:f t="shared" si="0"/>
        <x:v>872.46615045149895</x:v>
      </x:c>
      <x:c r="P13" s="44">
        <x:f t="shared" si="0"/>
        <x:v>887.83151315777422</x:v>
      </x:c>
      <x:c r="Q13" s="44">
        <x:f t="shared" si="0"/>
        <x:v>903.46675519113819</x:v>
      </x:c>
      <x:c r="R13" s="44">
        <x:f t="shared" si="0"/>
        <x:v>919.37660193256158</x:v>
      </x:c>
      <x:c r="S13" s="44">
        <x:f t="shared" si="0"/>
        <x:v>935.56586119782571</x:v>
      </x:c>
      <x:c r="T13" s="44">
        <x:f t="shared" si="0"/>
        <x:v>952.03942466938429</x:v>
      </x:c>
      <x:c r="U13" s="44">
        <x:f t="shared" si="0"/>
        <x:v>968.80226935298128</x:v>
      </x:c>
      <x:c r="V13" s="44">
        <x:f t="shared" si="0"/>
        <x:v>985.85945905942674</x:v>
      </x:c>
      <x:c r="W13" s="44">
        <x:f t="shared" si="0"/>
        <x:v>1003.2161459119764</x:v>
      </x:c>
      <x:c r="X13" s="44">
        <x:f t="shared" si="0"/>
        <x:v>1020.877571879755</x:v>
      </x:c>
      <x:c r="Y13" s="44">
        <x:f t="shared" si="0"/>
        <x:v>0</x:v>
      </x:c>
      <x:c r="Z13" s="44">
        <x:f t="shared" si="0"/>
        <x:v>0</x:v>
      </x:c>
      <x:c r="AA13" s="44">
        <x:f t="shared" si="0"/>
        <x:v>0</x:v>
      </x:c>
      <x:c r="AB13" s="44">
        <x:f t="shared" si="0"/>
        <x:v>0</x:v>
      </x:c>
      <x:c r="AC13" s="44">
        <x:f t="shared" si="0"/>
        <x:v>0</x:v>
      </x:c>
      <x:c r="AD13" s="44">
        <x:f t="shared" si="0"/>
        <x:v>0</x:v>
      </x:c>
      <x:c r="AE13" s="44">
        <x:f t="shared" si="0"/>
        <x:v>0</x:v>
      </x:c>
      <x:c r="AF13" s="44">
        <x:f t="shared" si="0"/>
        <x:v>0</x:v>
      </x:c>
    </x:row>
    <x:row r="14" ht="15" customHeight="1">
      <x:c r="A14" s="72" t="s">
        <x:v>558</x:v>
      </x:c>
      <x:c r="B14" s="72" t="s">
        <x:v>37</x:v>
      </x:c>
      <x:c r="C14" s="45" t="n">
        <x:f>Dep_Tax!C12</x:f>
        <x:v>0</x:v>
      </x:c>
      <x:c r="D14" s="45" t="n">
        <x:f>Dep_Tax!D12</x:f>
        <x:v>0</x:v>
      </x:c>
      <x:c r="E14" s="45" t="n">
        <x:f>Dep_Tax!E12</x:f>
        <x:v>325.01225</x:v>
      </x:c>
      <x:c r="F14" s="45" t="n">
        <x:f>Dep_Tax!F12</x:f>
        <x:v>325.01225</x:v>
      </x:c>
      <x:c r="G14" s="45" t="n">
        <x:f>Dep_Tax!G12</x:f>
        <x:v>325.01225</x:v>
      </x:c>
      <x:c r="H14" s="45" t="n">
        <x:f>Dep_Tax!H12</x:f>
        <x:v>325.01225</x:v>
      </x:c>
      <x:c r="I14" s="45" t="n">
        <x:f>Dep_Tax!I12</x:f>
        <x:v>325.01225</x:v>
      </x:c>
      <x:c r="J14" s="45" t="n">
        <x:f>Dep_Tax!J12</x:f>
        <x:v>325.01225</x:v>
      </x:c>
      <x:c r="K14" s="45" t="n">
        <x:f>Dep_Tax!K12</x:f>
        <x:v>325.01225</x:v>
      </x:c>
      <x:c r="L14" s="45" t="n">
        <x:f>Dep_Tax!L12</x:f>
        <x:v>325.01225</x:v>
      </x:c>
      <x:c r="M14" s="45" t="n">
        <x:f>Dep_Tax!M12</x:f>
        <x:v>325.01225</x:v>
      </x:c>
      <x:c r="N14" s="45" t="n">
        <x:f>Dep_Tax!N12</x:f>
        <x:v>325.01225</x:v>
      </x:c>
      <x:c r="O14" s="45" t="n">
        <x:f>Dep_Tax!O12</x:f>
        <x:v>325.01225</x:v>
      </x:c>
      <x:c r="P14" s="45" t="n">
        <x:f>Dep_Tax!P12</x:f>
        <x:v>325.01225</x:v>
      </x:c>
      <x:c r="Q14" s="45" t="n">
        <x:f>Dep_Tax!Q12</x:f>
        <x:v>325.01225</x:v>
      </x:c>
      <x:c r="R14" s="45" t="n">
        <x:f>Dep_Tax!R12</x:f>
        <x:v>325.01225</x:v>
      </x:c>
      <x:c r="S14" s="45" t="n">
        <x:f>Dep_Tax!S12</x:f>
        <x:v>325.01225</x:v>
      </x:c>
      <x:c r="T14" s="45" t="n">
        <x:f>Dep_Tax!T12</x:f>
        <x:v>325.01225</x:v>
      </x:c>
      <x:c r="U14" s="45" t="n">
        <x:f>Dep_Tax!U12</x:f>
        <x:v>325.01225</x:v>
      </x:c>
      <x:c r="V14" s="45" t="n">
        <x:f>Dep_Tax!V12</x:f>
        <x:v>325.01225</x:v>
      </x:c>
      <x:c r="W14" s="45" t="n">
        <x:f>Dep_Tax!W12</x:f>
        <x:v>325.01225</x:v>
      </x:c>
      <x:c r="X14" s="45" t="n">
        <x:f>Dep_Tax!X12</x:f>
        <x:v>325.01225</x:v>
      </x:c>
      <x:c r="Y14" s="45" t="n">
        <x:f>Dep_Tax!Y12</x:f>
        <x:v>0</x:v>
      </x:c>
      <x:c r="Z14" s="45" t="n">
        <x:f>Dep_Tax!Z12</x:f>
        <x:v>0</x:v>
      </x:c>
      <x:c r="AA14" s="45" t="n">
        <x:f>Dep_Tax!AA12</x:f>
        <x:v>0</x:v>
      </x:c>
      <x:c r="AB14" s="45" t="n">
        <x:f>Dep_Tax!AB12</x:f>
        <x:v>0</x:v>
      </x:c>
      <x:c r="AC14" s="45" t="n">
        <x:f>Dep_Tax!AC12</x:f>
        <x:v>0</x:v>
      </x:c>
      <x:c r="AD14" s="45" t="n">
        <x:f>Dep_Tax!AD12</x:f>
        <x:v>0</x:v>
      </x:c>
      <x:c r="AE14" s="45" t="n">
        <x:f>Dep_Tax!AE12</x:f>
        <x:v>0</x:v>
      </x:c>
      <x:c r="AF14" s="45" t="n">
        <x:f>Dep_Tax!AF12</x:f>
        <x:v>0</x:v>
      </x:c>
    </x:row>
    <x:row r="15" ht="15" customHeight="1">
      <x:c r="A15" s="72" t="s">
        <x:v>559</x:v>
      </x:c>
      <x:c r="B15" s="73" t="s">
        <x:v>43</x:v>
      </x:c>
      <x:c r="C15" s="44" t="n">
        <x:f t="shared" ref="C15:AF15" si="1">C13-C14</x:f>
        <x:v>0</x:v>
      </x:c>
      <x:c r="D15" s="44">
        <x:f t="shared" si="1"/>
        <x:v>0</x:v>
      </x:c>
      <x:c r="E15" s="44">
        <x:f t="shared" si="1"/>
        <x:v>407.66024600000003</x:v>
      </x:c>
      <x:c r="F15" s="44">
        <x:f t="shared" si="1"/>
        <x:v>420.56955202816016</x:v>
      </x:c>
      <x:c r="G15" s="44">
        <x:f t="shared" si="1"/>
        <x:v>433.7057193525859</x:v>
      </x:c>
      <x:c r="H15" s="44">
        <x:f t="shared" si="1"/>
        <x:v>447.07272260535819</x:v>
      </x:c>
      <x:c r="I15" s="44">
        <x:f t="shared" si="1"/>
        <x:v>460.67460580701447</x:v>
      </x:c>
      <x:c r="J15" s="44">
        <x:f t="shared" si="1"/>
        <x:v>474.51548357284582</x:v>
      </x:c>
      <x:c r="K15" s="44">
        <x:f t="shared" si="1"/>
        <x:v>488.59954234006216</x:v>
      </x:c>
      <x:c r="L15" s="44">
        <x:f t="shared" si="1"/>
        <x:v>502.93104161618248</x:v>
      </x:c>
      <x:c r="M15" s="44">
        <x:f t="shared" si="1"/>
        <x:v>517.51431524901614</x:v>
      </x:c>
      <x:c r="N15" s="44">
        <x:f t="shared" si="1"/>
        <x:v>532.35377271860352</x:v>
      </x:c>
      <x:c r="O15" s="44">
        <x:f t="shared" si="1"/>
        <x:v>547.45390045149895</x:v>
      </x:c>
      <x:c r="P15" s="44">
        <x:f t="shared" si="1"/>
        <x:v>562.81926315777423</x:v>
      </x:c>
      <x:c r="Q15" s="44">
        <x:f t="shared" si="1"/>
        <x:v>578.4545051911382</x:v>
      </x:c>
      <x:c r="R15" s="44">
        <x:f t="shared" si="1"/>
        <x:v>594.36435193256159</x:v>
      </x:c>
      <x:c r="S15" s="44">
        <x:f t="shared" si="1"/>
        <x:v>610.55361119782572</x:v>
      </x:c>
      <x:c r="T15" s="44">
        <x:f t="shared" si="1"/>
        <x:v>627.02717466938429</x:v>
      </x:c>
      <x:c r="U15" s="44">
        <x:f t="shared" si="1"/>
        <x:v>643.79001935298129</x:v>
      </x:c>
      <x:c r="V15" s="44">
        <x:f t="shared" si="1"/>
        <x:v>660.84720905942675</x:v>
      </x:c>
      <x:c r="W15" s="44">
        <x:f t="shared" si="1"/>
        <x:v>678.20389591197636</x:v>
      </x:c>
      <x:c r="X15" s="44">
        <x:f t="shared" si="1"/>
        <x:v>695.86532187975502</x:v>
      </x:c>
      <x:c r="Y15" s="44">
        <x:f t="shared" si="1"/>
        <x:v>0</x:v>
      </x:c>
      <x:c r="Z15" s="44">
        <x:f t="shared" si="1"/>
        <x:v>0</x:v>
      </x:c>
      <x:c r="AA15" s="44">
        <x:f t="shared" si="1"/>
        <x:v>0</x:v>
      </x:c>
      <x:c r="AB15" s="44">
        <x:f t="shared" si="1"/>
        <x:v>0</x:v>
      </x:c>
      <x:c r="AC15" s="44">
        <x:f t="shared" si="1"/>
        <x:v>0</x:v>
      </x:c>
      <x:c r="AD15" s="44">
        <x:f t="shared" si="1"/>
        <x:v>0</x:v>
      </x:c>
      <x:c r="AE15" s="44">
        <x:f t="shared" si="1"/>
        <x:v>0</x:v>
      </x:c>
      <x:c r="AF15" s="44">
        <x:f t="shared" si="1"/>
        <x:v>0</x:v>
      </x:c>
    </x:row>
    <x:row r="16" ht="15" customHeight="1">
      <x:c r="A16" s="72" t="s">
        <x:v>560</x:v>
      </x:c>
      <x:c r="B16" s="72" t="s">
        <x:v>506</x:v>
      </x:c>
      <x:c r="C16" s="45" t="n">
        <x:f>Dep_Tax!C17</x:f>
        <x:v>0</x:v>
      </x:c>
      <x:c r="D16" s="45" t="n">
        <x:f>Dep_Tax!D17</x:f>
        <x:v>0</x:v>
      </x:c>
      <x:c r="E16" s="45" t="n">
        <x:f>Dep_Tax!E17</x:f>
        <x:v>428.05</x:v>
      </x:c>
      <x:c r="F16" s="45" t="n">
        <x:f>Dep_Tax!F17</x:f>
        <x:v>392.37916666666666</x:v>
      </x:c>
      <x:c r="G16" s="45" t="n">
        <x:f>Dep_Tax!G17</x:f>
        <x:v>356.7083333333333</x:v>
      </x:c>
      <x:c r="H16" s="45" t="n">
        <x:f>Dep_Tax!H17</x:f>
        <x:v>321.03749999999997</x:v>
      </x:c>
      <x:c r="I16" s="45" t="n">
        <x:f>Dep_Tax!I17</x:f>
        <x:v>285.3666666666666</x:v>
      </x:c>
      <x:c r="J16" s="45" t="n">
        <x:f>Dep_Tax!J17</x:f>
        <x:v>249.69583333333327</x:v>
      </x:c>
      <x:c r="K16" s="45" t="n">
        <x:f>Dep_Tax!K17</x:f>
        <x:v>214.02499999999992</x:v>
      </x:c>
      <x:c r="L16" s="45" t="n">
        <x:f>Dep_Tax!L17</x:f>
        <x:v>178.3541666666666</x:v>
      </x:c>
      <x:c r="M16" s="45" t="n">
        <x:f>Dep_Tax!M17</x:f>
        <x:v>142.68333333333325</x:v>
      </x:c>
      <x:c r="N16" s="45" t="n">
        <x:f>Dep_Tax!N17</x:f>
        <x:v>107.01249999999993</x:v>
      </x:c>
      <x:c r="O16" s="45" t="n">
        <x:f>Dep_Tax!O17</x:f>
        <x:v>71.34166666666661</x:v>
      </x:c>
      <x:c r="P16" s="45" t="n">
        <x:f>Dep_Tax!P17</x:f>
        <x:v>35.67083333333328</x:v>
      </x:c>
      <x:c r="Q16" s="45" t="n">
        <x:f>Dep_Tax!Q17</x:f>
        <x:v>0</x:v>
      </x:c>
      <x:c r="R16" s="45" t="n">
        <x:f>Dep_Tax!R17</x:f>
        <x:v>0</x:v>
      </x:c>
      <x:c r="S16" s="45" t="n">
        <x:f>Dep_Tax!S17</x:f>
        <x:v>0</x:v>
      </x:c>
      <x:c r="T16" s="45" t="n">
        <x:f>Dep_Tax!T17</x:f>
        <x:v>0</x:v>
      </x:c>
      <x:c r="U16" s="45" t="n">
        <x:f>Dep_Tax!U17</x:f>
        <x:v>0</x:v>
      </x:c>
      <x:c r="V16" s="45" t="n">
        <x:f>Dep_Tax!V17</x:f>
        <x:v>0</x:v>
      </x:c>
      <x:c r="W16" s="45" t="n">
        <x:f>Dep_Tax!W17</x:f>
        <x:v>0</x:v>
      </x:c>
      <x:c r="X16" s="45" t="n">
        <x:f>Dep_Tax!X17</x:f>
        <x:v>0</x:v>
      </x:c>
      <x:c r="Y16" s="45" t="n">
        <x:f>Dep_Tax!Y17</x:f>
        <x:v>0</x:v>
      </x:c>
      <x:c r="Z16" s="45" t="n">
        <x:f>Dep_Tax!Z17</x:f>
        <x:v>0</x:v>
      </x:c>
      <x:c r="AA16" s="45" t="n">
        <x:f>Dep_Tax!AA17</x:f>
        <x:v>0</x:v>
      </x:c>
      <x:c r="AB16" s="45" t="n">
        <x:f>Dep_Tax!AB17</x:f>
        <x:v>0</x:v>
      </x:c>
      <x:c r="AC16" s="45" t="n">
        <x:f>Dep_Tax!AC17</x:f>
        <x:v>0</x:v>
      </x:c>
      <x:c r="AD16" s="45" t="n">
        <x:f>Dep_Tax!AD17</x:f>
        <x:v>0</x:v>
      </x:c>
      <x:c r="AE16" s="45" t="n">
        <x:f>Dep_Tax!AE17</x:f>
        <x:v>0</x:v>
      </x:c>
      <x:c r="AF16" s="45" t="n">
        <x:f>Dep_Tax!AF17</x:f>
        <x:v>0</x:v>
      </x:c>
    </x:row>
    <x:row r="17" ht="15" customHeight="1">
      <x:c r="A17" s="72" t="s">
        <x:v>561</x:v>
      </x:c>
      <x:c r="B17" s="73" t="s">
        <x:v>562</x:v>
      </x:c>
      <x:c r="C17" s="44" t="n">
        <x:f t="shared" ref="C17:AF17" si="2">C15-C16</x:f>
        <x:v>0</x:v>
      </x:c>
      <x:c r="D17" s="44">
        <x:f t="shared" si="2"/>
        <x:v>0</x:v>
      </x:c>
      <x:c r="E17" s="44">
        <x:f t="shared" si="2"/>
        <x:v>-20.389753999999982</x:v>
      </x:c>
      <x:c r="F17" s="44">
        <x:f t="shared" si="2"/>
        <x:v>28.190385361493497</x:v>
      </x:c>
      <x:c r="G17" s="44">
        <x:f t="shared" si="2"/>
        <x:v>76.997386019252588</x:v>
      </x:c>
      <x:c r="H17" s="44">
        <x:f t="shared" si="2"/>
        <x:v>126.03522260535823</x:v>
      </x:c>
      <x:c r="I17" s="44">
        <x:f t="shared" si="2"/>
        <x:v>175.30793914034786</x:v>
      </x:c>
      <x:c r="J17" s="44">
        <x:f t="shared" si="2"/>
        <x:v>224.81965023951255</x:v>
      </x:c>
      <x:c r="K17" s="44">
        <x:f t="shared" si="2"/>
        <x:v>274.57454234006224</x:v>
      </x:c>
      <x:c r="L17" s="44">
        <x:f t="shared" si="2"/>
        <x:v>324.57687494951585</x:v>
      </x:c>
      <x:c r="M17" s="44">
        <x:f t="shared" si="2"/>
        <x:v>374.83098191568286</x:v>
      </x:c>
      <x:c r="N17" s="44">
        <x:f t="shared" si="2"/>
        <x:v>425.34127271860359</x:v>
      </x:c>
      <x:c r="O17" s="44">
        <x:f t="shared" si="2"/>
        <x:v>476.11223378483237</x:v>
      </x:c>
      <x:c r="P17" s="44">
        <x:f t="shared" si="2"/>
        <x:v>527.148429824441</x:v>
      </x:c>
      <x:c r="Q17" s="44">
        <x:f t="shared" si="2"/>
        <x:v>578.4545051911382</x:v>
      </x:c>
      <x:c r="R17" s="44">
        <x:f t="shared" si="2"/>
        <x:v>594.36435193256159</x:v>
      </x:c>
      <x:c r="S17" s="44">
        <x:f t="shared" si="2"/>
        <x:v>610.55361119782572</x:v>
      </x:c>
      <x:c r="T17" s="44">
        <x:f t="shared" si="2"/>
        <x:v>627.02717466938429</x:v>
      </x:c>
      <x:c r="U17" s="44">
        <x:f t="shared" si="2"/>
        <x:v>643.79001935298129</x:v>
      </x:c>
      <x:c r="V17" s="44">
        <x:f t="shared" si="2"/>
        <x:v>660.84720905942675</x:v>
      </x:c>
      <x:c r="W17" s="44">
        <x:f t="shared" si="2"/>
        <x:v>678.20389591197636</x:v>
      </x:c>
      <x:c r="X17" s="44">
        <x:f t="shared" si="2"/>
        <x:v>695.86532187975502</x:v>
      </x:c>
      <x:c r="Y17" s="44">
        <x:f t="shared" si="2"/>
        <x:v>0</x:v>
      </x:c>
      <x:c r="Z17" s="44">
        <x:f t="shared" si="2"/>
        <x:v>0</x:v>
      </x:c>
      <x:c r="AA17" s="44">
        <x:f t="shared" si="2"/>
        <x:v>0</x:v>
      </x:c>
      <x:c r="AB17" s="44">
        <x:f t="shared" si="2"/>
        <x:v>0</x:v>
      </x:c>
      <x:c r="AC17" s="44">
        <x:f t="shared" si="2"/>
        <x:v>0</x:v>
      </x:c>
      <x:c r="AD17" s="44">
        <x:f t="shared" si="2"/>
        <x:v>0</x:v>
      </x:c>
      <x:c r="AE17" s="44">
        <x:f t="shared" si="2"/>
        <x:v>0</x:v>
      </x:c>
      <x:c r="AF17" s="44">
        <x:f t="shared" si="2"/>
        <x:v>0</x:v>
      </x:c>
    </x:row>
    <x:row r="18" ht="15" customHeight="1">
      <x:c r="A18" s="72" t="s">
        <x:v>563</x:v>
      </x:c>
      <x:c r="B18" s="72" t="s">
        <x:v>540</x:v>
      </x:c>
      <x:c r="C18" s="45" t="n">
        <x:f>Dep_Tax!C21</x:f>
        <x:v>0</x:v>
      </x:c>
      <x:c r="D18" s="45" t="n">
        <x:f>Dep_Tax!D21</x:f>
        <x:v>0</x:v>
      </x:c>
      <x:c r="E18" s="45" t="n">
        <x:f>Dep_Tax!E21</x:f>
        <x:v>0</x:v>
      </x:c>
      <x:c r="F18" s="45" t="n">
        <x:f>Dep_Tax!F21</x:f>
        <x:v>20.389753999999982</x:v>
      </x:c>
      <x:c r="G18" s="45" t="n">
        <x:f>Dep_Tax!G21</x:f>
        <x:v>0</x:v>
      </x:c>
      <x:c r="H18" s="45" t="n">
        <x:f>Dep_Tax!H21</x:f>
        <x:v>0</x:v>
      </x:c>
      <x:c r="I18" s="45" t="n">
        <x:f>Dep_Tax!I21</x:f>
        <x:v>0</x:v>
      </x:c>
      <x:c r="J18" s="45" t="n">
        <x:f>Dep_Tax!J21</x:f>
        <x:v>0</x:v>
      </x:c>
      <x:c r="K18" s="45" t="n">
        <x:f>Dep_Tax!K21</x:f>
        <x:v>0</x:v>
      </x:c>
      <x:c r="L18" s="45" t="n">
        <x:f>Dep_Tax!L21</x:f>
        <x:v>0</x:v>
      </x:c>
      <x:c r="M18" s="45" t="n">
        <x:f>Dep_Tax!M21</x:f>
        <x:v>0</x:v>
      </x:c>
      <x:c r="N18" s="45" t="n">
        <x:f>Dep_Tax!N21</x:f>
        <x:v>0</x:v>
      </x:c>
      <x:c r="O18" s="45" t="n">
        <x:f>Dep_Tax!O21</x:f>
        <x:v>0</x:v>
      </x:c>
      <x:c r="P18" s="45" t="n">
        <x:f>Dep_Tax!P21</x:f>
        <x:v>0</x:v>
      </x:c>
      <x:c r="Q18" s="45" t="n">
        <x:f>Dep_Tax!Q21</x:f>
        <x:v>0</x:v>
      </x:c>
      <x:c r="R18" s="45" t="n">
        <x:f>Dep_Tax!R21</x:f>
        <x:v>0</x:v>
      </x:c>
      <x:c r="S18" s="45" t="n">
        <x:f>Dep_Tax!S21</x:f>
        <x:v>0</x:v>
      </x:c>
      <x:c r="T18" s="45" t="n">
        <x:f>Dep_Tax!T21</x:f>
        <x:v>0</x:v>
      </x:c>
      <x:c r="U18" s="45" t="n">
        <x:f>Dep_Tax!U21</x:f>
        <x:v>0</x:v>
      </x:c>
      <x:c r="V18" s="45" t="n">
        <x:f>Dep_Tax!V21</x:f>
        <x:v>0</x:v>
      </x:c>
      <x:c r="W18" s="45" t="n">
        <x:f>Dep_Tax!W21</x:f>
        <x:v>0</x:v>
      </x:c>
      <x:c r="X18" s="45" t="n">
        <x:f>Dep_Tax!X21</x:f>
        <x:v>0</x:v>
      </x:c>
      <x:c r="Y18" s="45" t="n">
        <x:f>Dep_Tax!Y21</x:f>
        <x:v>0</x:v>
      </x:c>
      <x:c r="Z18" s="45" t="n">
        <x:f>Dep_Tax!Z21</x:f>
        <x:v>0</x:v>
      </x:c>
      <x:c r="AA18" s="45" t="n">
        <x:f>Dep_Tax!AA21</x:f>
        <x:v>0</x:v>
      </x:c>
      <x:c r="AB18" s="45" t="n">
        <x:f>Dep_Tax!AB21</x:f>
        <x:v>0</x:v>
      </x:c>
      <x:c r="AC18" s="45" t="n">
        <x:f>Dep_Tax!AC21</x:f>
        <x:v>0</x:v>
      </x:c>
      <x:c r="AD18" s="45" t="n">
        <x:f>Dep_Tax!AD21</x:f>
        <x:v>0</x:v>
      </x:c>
      <x:c r="AE18" s="45" t="n">
        <x:f>Dep_Tax!AE21</x:f>
        <x:v>0</x:v>
      </x:c>
      <x:c r="AF18" s="45" t="n">
        <x:f>Dep_Tax!AF21</x:f>
        <x:v>0</x:v>
      </x:c>
    </x:row>
    <x:row r="19" ht="15" customHeight="1">
      <x:c r="A19" s="72" t="s">
        <x:v>564</x:v>
      </x:c>
      <x:c r="B19" s="72" t="s">
        <x:v>544</x:v>
      </x:c>
      <x:c r="C19" s="45" t="n">
        <x:f>Dep_Tax!C23</x:f>
        <x:v>0</x:v>
      </x:c>
      <x:c r="D19" s="45" t="n">
        <x:f>Dep_Tax!D23</x:f>
        <x:v>0</x:v>
      </x:c>
      <x:c r="E19" s="45" t="n">
        <x:f>Dep_Tax!E23</x:f>
        <x:v>0</x:v>
      </x:c>
      <x:c r="F19" s="45" t="n">
        <x:f>Dep_Tax!F23</x:f>
        <x:v>7.800631361493515</x:v>
      </x:c>
      <x:c r="G19" s="45" t="n">
        <x:f>Dep_Tax!G23</x:f>
        <x:v>76.99738601925259</x:v>
      </x:c>
      <x:c r="H19" s="45" t="n">
        <x:f>Dep_Tax!H23</x:f>
        <x:v>126.03522260535823</x:v>
      </x:c>
      <x:c r="I19" s="45" t="n">
        <x:f>Dep_Tax!I23</x:f>
        <x:v>175.30793914034786</x:v>
      </x:c>
      <x:c r="J19" s="45" t="n">
        <x:f>Dep_Tax!J23</x:f>
        <x:v>224.81965023951255</x:v>
      </x:c>
      <x:c r="K19" s="45" t="n">
        <x:f>Dep_Tax!K23</x:f>
        <x:v>274.57454234006224</x:v>
      </x:c>
      <x:c r="L19" s="45" t="n">
        <x:f>Dep_Tax!L23</x:f>
        <x:v>324.57687494951585</x:v>
      </x:c>
      <x:c r="M19" s="45" t="n">
        <x:f>Dep_Tax!M23</x:f>
        <x:v>374.83098191568286</x:v>
      </x:c>
      <x:c r="N19" s="45" t="n">
        <x:f>Dep_Tax!N23</x:f>
        <x:v>425.3412727186036</x:v>
      </x:c>
      <x:c r="O19" s="45" t="n">
        <x:f>Dep_Tax!O23</x:f>
        <x:v>476.11223378483237</x:v>
      </x:c>
      <x:c r="P19" s="45" t="n">
        <x:f>Dep_Tax!P23</x:f>
        <x:v>527.148429824441</x:v>
      </x:c>
      <x:c r="Q19" s="45" t="n">
        <x:f>Dep_Tax!Q23</x:f>
        <x:v>578.4545051911382</x:v>
      </x:c>
      <x:c r="R19" s="45" t="n">
        <x:f>Dep_Tax!R23</x:f>
        <x:v>594.3643519325616</x:v>
      </x:c>
      <x:c r="S19" s="45" t="n">
        <x:f>Dep_Tax!S23</x:f>
        <x:v>610.5536111978257</x:v>
      </x:c>
      <x:c r="T19" s="45" t="n">
        <x:f>Dep_Tax!T23</x:f>
        <x:v>627.0271746693843</x:v>
      </x:c>
      <x:c r="U19" s="45" t="n">
        <x:f>Dep_Tax!U23</x:f>
        <x:v>643.7900193529813</x:v>
      </x:c>
      <x:c r="V19" s="45" t="n">
        <x:f>Dep_Tax!V23</x:f>
        <x:v>660.8472090594267</x:v>
      </x:c>
      <x:c r="W19" s="45" t="n">
        <x:f>Dep_Tax!W23</x:f>
        <x:v>678.2038959119764</x:v>
      </x:c>
      <x:c r="X19" s="45" t="n">
        <x:f>Dep_Tax!X23</x:f>
        <x:v>695.865321879755</x:v>
      </x:c>
      <x:c r="Y19" s="45" t="n">
        <x:f>Dep_Tax!Y23</x:f>
        <x:v>0</x:v>
      </x:c>
      <x:c r="Z19" s="45" t="n">
        <x:f>Dep_Tax!Z23</x:f>
        <x:v>0</x:v>
      </x:c>
      <x:c r="AA19" s="45" t="n">
        <x:f>Dep_Tax!AA23</x:f>
        <x:v>0</x:v>
      </x:c>
      <x:c r="AB19" s="45" t="n">
        <x:f>Dep_Tax!AB23</x:f>
        <x:v>0</x:v>
      </x:c>
      <x:c r="AC19" s="45" t="n">
        <x:f>Dep_Tax!AC23</x:f>
        <x:v>0</x:v>
      </x:c>
      <x:c r="AD19" s="45" t="n">
        <x:f>Dep_Tax!AD23</x:f>
        <x:v>0</x:v>
      </x:c>
      <x:c r="AE19" s="45" t="n">
        <x:f>Dep_Tax!AE23</x:f>
        <x:v>0</x:v>
      </x:c>
      <x:c r="AF19" s="45" t="n">
        <x:f>Dep_Tax!AF23</x:f>
        <x:v>0</x:v>
      </x:c>
    </x:row>
    <x:row r="20" ht="15" customHeight="1">
      <x:c r="A20" s="72" t="s">
        <x:v>565</x:v>
      </x:c>
      <x:c r="B20" s="72" t="s">
        <x:v>566</x:v>
      </x:c>
      <x:c r="C20" s="45" t="n">
        <x:f>Dep_Tax!C25</x:f>
        <x:v>0</x:v>
      </x:c>
      <x:c r="D20" s="45" t="n">
        <x:f>Dep_Tax!D25</x:f>
        <x:v>0</x:v>
      </x:c>
      <x:c r="E20" s="45" t="n">
        <x:f>Dep_Tax!E25</x:f>
        <x:v>0</x:v>
      </x:c>
      <x:c r="F20" s="45" t="n">
        <x:f>Dep_Tax!F25</x:f>
        <x:v>0</x:v>
      </x:c>
      <x:c r="G20" s="45" t="n">
        <x:f>Dep_Tax!G25</x:f>
        <x:v>0</x:v>
      </x:c>
      <x:c r="H20" s="45" t="n">
        <x:f>Dep_Tax!H25</x:f>
        <x:v>0</x:v>
      </x:c>
      <x:c r="I20" s="45" t="n">
        <x:f>Dep_Tax!I25</x:f>
        <x:v>8.765396957017392</x:v>
      </x:c>
      <x:c r="J20" s="45" t="n">
        <x:f>Dep_Tax!J25</x:f>
        <x:v>11.240982511975629</x:v>
      </x:c>
      <x:c r="K20" s="45" t="n">
        <x:f>Dep_Tax!K25</x:f>
        <x:v>13.728727117003112</x:v>
      </x:c>
      <x:c r="L20" s="45" t="n">
        <x:f>Dep_Tax!L25</x:f>
        <x:v>16.228843747475793</x:v>
      </x:c>
      <x:c r="M20" s="45" t="n">
        <x:f>Dep_Tax!M25</x:f>
        <x:v>18.741549095784144</x:v>
      </x:c>
      <x:c r="N20" s="45" t="n">
        <x:f>Dep_Tax!N25</x:f>
        <x:v>21.26706363593018</x:v>
      </x:c>
      <x:c r="O20" s="45" t="n">
        <x:f>Dep_Tax!O25</x:f>
        <x:v>23.80561168924162</x:v>
      </x:c>
      <x:c r="P20" s="45" t="n">
        <x:f>Dep_Tax!P25</x:f>
        <x:v>26.357421491222052</x:v>
      </x:c>
      <x:c r="Q20" s="45" t="n">
        <x:f>Dep_Tax!Q25</x:f>
        <x:v>28.922725259556913</x:v>
      </x:c>
      <x:c r="R20" s="45" t="n">
        <x:f>Dep_Tax!R25</x:f>
        <x:v>59.43643519325616</x:v>
      </x:c>
      <x:c r="S20" s="45" t="n">
        <x:f>Dep_Tax!S25</x:f>
        <x:v>61.055361119782575</x:v>
      </x:c>
      <x:c r="T20" s="45" t="n">
        <x:f>Dep_Tax!T25</x:f>
        <x:v>125.40543493387686</x:v>
      </x:c>
      <x:c r="U20" s="45" t="n">
        <x:f>Dep_Tax!U25</x:f>
        <x:v>128.75800387059627</x:v>
      </x:c>
      <x:c r="V20" s="45" t="n">
        <x:f>Dep_Tax!V25</x:f>
        <x:v>132.16944181188535</x:v>
      </x:c>
      <x:c r="W20" s="45" t="n">
        <x:f>Dep_Tax!W25</x:f>
        <x:v>135.64077918239528</x:v>
      </x:c>
      <x:c r="X20" s="45" t="n">
        <x:f>Dep_Tax!X25</x:f>
        <x:v>139.17306437595101</x:v>
      </x:c>
      <x:c r="Y20" s="45" t="n">
        <x:f>Dep_Tax!Y25</x:f>
        <x:v>0</x:v>
      </x:c>
      <x:c r="Z20" s="45" t="n">
        <x:f>Dep_Tax!Z25</x:f>
        <x:v>0</x:v>
      </x:c>
      <x:c r="AA20" s="45" t="n">
        <x:f>Dep_Tax!AA25</x:f>
        <x:v>0</x:v>
      </x:c>
      <x:c r="AB20" s="45" t="n">
        <x:f>Dep_Tax!AB25</x:f>
        <x:v>0</x:v>
      </x:c>
      <x:c r="AC20" s="45" t="n">
        <x:f>Dep_Tax!AC25</x:f>
        <x:v>0</x:v>
      </x:c>
      <x:c r="AD20" s="45" t="n">
        <x:f>Dep_Tax!AD25</x:f>
        <x:v>0</x:v>
      </x:c>
      <x:c r="AE20" s="45" t="n">
        <x:f>Dep_Tax!AE25</x:f>
        <x:v>0</x:v>
      </x:c>
      <x:c r="AF20" s="45" t="n">
        <x:f>Dep_Tax!AF25</x:f>
        <x:v>0</x:v>
      </x:c>
    </x:row>
    <x:row r="21" ht="15" customHeight="1">
      <x:c r="A21" s="72" t="s">
        <x:v>567</x:v>
      </x:c>
      <x:c r="B21" s="73" t="s">
        <x:v>550</x:v>
      </x:c>
      <x:c r="C21" s="44" t="n">
        <x:f t="shared" ref="C21:AF21" si="3">C17-C20</x:f>
        <x:v>0</x:v>
      </x:c>
      <x:c r="D21" s="44">
        <x:f t="shared" si="3"/>
        <x:v>0</x:v>
      </x:c>
      <x:c r="E21" s="44">
        <x:f t="shared" si="3"/>
        <x:v>-20.389753999999982</x:v>
      </x:c>
      <x:c r="F21" s="44">
        <x:f t="shared" si="3"/>
        <x:v>28.190385361493497</x:v>
      </x:c>
      <x:c r="G21" s="44">
        <x:f t="shared" si="3"/>
        <x:v>76.997386019252588</x:v>
      </x:c>
      <x:c r="H21" s="44">
        <x:f t="shared" si="3"/>
        <x:v>126.03522260535823</x:v>
      </x:c>
      <x:c r="I21" s="44">
        <x:f t="shared" si="3"/>
        <x:v>166.54254218333045</x:v>
      </x:c>
      <x:c r="J21" s="44">
        <x:f t="shared" si="3"/>
        <x:v>213.57866772753692</x:v>
      </x:c>
      <x:c r="K21" s="44">
        <x:f t="shared" si="3"/>
        <x:v>260.84581522305911</x:v>
      </x:c>
      <x:c r="L21" s="44">
        <x:f t="shared" si="3"/>
        <x:v>308.34803120204003</x:v>
      </x:c>
      <x:c r="M21" s="44">
        <x:f t="shared" si="3"/>
        <x:v>356.08943281989872</x:v>
      </x:c>
      <x:c r="N21" s="44">
        <x:f t="shared" si="3"/>
        <x:v>404.07420908267341</x:v>
      </x:c>
      <x:c r="O21" s="44">
        <x:f t="shared" si="3"/>
        <x:v>452.30662209559074</x:v>
      </x:c>
      <x:c r="P21" s="44">
        <x:f t="shared" si="3"/>
        <x:v>500.79100833321894</x:v>
      </x:c>
      <x:c r="Q21" s="44">
        <x:f t="shared" si="3"/>
        <x:v>549.53177993158124</x:v>
      </x:c>
      <x:c r="R21" s="44">
        <x:f t="shared" si="3"/>
        <x:v>534.92791673930537</x:v>
      </x:c>
      <x:c r="S21" s="44">
        <x:f t="shared" si="3"/>
        <x:v>549.49825007804316</x:v>
      </x:c>
      <x:c r="T21" s="44">
        <x:f t="shared" si="3"/>
        <x:v>501.62173973550745</x:v>
      </x:c>
      <x:c r="U21" s="44">
        <x:f t="shared" si="3"/>
        <x:v>515.03201548238508</x:v>
      </x:c>
      <x:c r="V21" s="44">
        <x:f t="shared" si="3"/>
        <x:v>528.6777672475414</x:v>
      </x:c>
      <x:c r="W21" s="44">
        <x:f t="shared" si="3"/>
        <x:v>542.56311672958111</x:v>
      </x:c>
      <x:c r="X21" s="44">
        <x:f t="shared" si="3"/>
        <x:v>556.69225750380406</x:v>
      </x:c>
      <x:c r="Y21" s="44">
        <x:f t="shared" si="3"/>
        <x:v>0</x:v>
      </x:c>
      <x:c r="Z21" s="44">
        <x:f t="shared" si="3"/>
        <x:v>0</x:v>
      </x:c>
      <x:c r="AA21" s="44">
        <x:f t="shared" si="3"/>
        <x:v>0</x:v>
      </x:c>
      <x:c r="AB21" s="44">
        <x:f t="shared" si="3"/>
        <x:v>0</x:v>
      </x:c>
      <x:c r="AC21" s="44">
        <x:f t="shared" si="3"/>
        <x:v>0</x:v>
      </x:c>
      <x:c r="AD21" s="44">
        <x:f t="shared" si="3"/>
        <x:v>0</x:v>
      </x:c>
      <x:c r="AE21" s="44">
        <x:f t="shared" si="3"/>
        <x:v>0</x:v>
      </x:c>
      <x:c r="AF21" s="44">
        <x:f t="shared" si="3"/>
        <x:v>0</x:v>
      </x:c>
    </x:row>
    <x:row r="22" ht="15" customHeight="1">
      <x:c r="A22" s="70"/>
      <x:c r="B22" s="70"/>
      <x:c r="C22" s="65"/>
      <x:c r="D22" s="65"/>
      <x:c r="E22" s="65"/>
      <x:c r="F22" s="65"/>
      <x:c r="G22" s="65"/>
      <x:c r="H22" s="65"/>
      <x:c r="I22" s="65"/>
      <x:c r="J22" s="65"/>
      <x:c r="K22" s="65"/>
      <x:c r="L22" s="65"/>
      <x:c r="M22" s="65"/>
      <x:c r="N22" s="65"/>
      <x:c r="O22" s="65"/>
      <x:c r="P22" s="65"/>
      <x:c r="Q22" s="65"/>
      <x:c r="R22" s="65"/>
      <x:c r="S22" s="65"/>
      <x:c r="T22" s="65"/>
      <x:c r="U22" s="65"/>
      <x:c r="V22" s="65"/>
      <x:c r="W22" s="65"/>
      <x:c r="X22" s="65"/>
      <x:c r="Y22" s="65"/>
      <x:c r="Z22" s="65"/>
      <x:c r="AA22" s="65"/>
      <x:c r="AB22" s="65"/>
      <x:c r="AC22" s="65"/>
      <x:c r="AD22" s="65"/>
      <x:c r="AE22" s="65"/>
      <x:c r="AF22" s="65"/>
    </x:row>
    <x:row r="23" ht="15" customHeight="1">
      <x:c r="A23" s="136" t="s">
        <x:v>568</x:v>
      </x:c>
      <x:c r="B23" s="136"/>
      <x:c r="C23" s="137"/>
      <x:c r="D23" s="137"/>
      <x:c r="E23" s="137"/>
      <x:c r="F23" s="137"/>
      <x:c r="G23" s="137"/>
      <x:c r="H23" s="137"/>
      <x:c r="I23" s="137"/>
      <x:c r="J23" s="137"/>
      <x:c r="K23" s="137"/>
      <x:c r="L23" s="137"/>
      <x:c r="M23" s="137"/>
      <x:c r="N23" s="137"/>
      <x:c r="O23" s="137"/>
      <x:c r="P23" s="137"/>
      <x:c r="Q23" s="137"/>
      <x:c r="R23" s="137"/>
      <x:c r="S23" s="137"/>
      <x:c r="T23" s="137"/>
      <x:c r="U23" s="137"/>
      <x:c r="V23" s="137"/>
      <x:c r="W23" s="137"/>
      <x:c r="X23" s="137"/>
      <x:c r="Y23" s="137"/>
      <x:c r="Z23" s="137"/>
      <x:c r="AA23" s="137"/>
      <x:c r="AB23" s="137"/>
      <x:c r="AC23" s="137"/>
      <x:c r="AD23" s="137"/>
      <x:c r="AE23" s="137"/>
      <x:c r="AF23" s="137"/>
    </x:row>
    <x:row r="24" ht="15" customHeight="1">
      <x:c r="A24" s="70" t="s">
        <x:v>569</x:v>
      </x:c>
      <x:c r="B24" s="70" t="s">
        <x:v>480</x:v>
      </x:c>
      <x:c r="C24" s="68" t="n">
        <x:f>SUM(C11:AF11)</x:f>
        <x:v>20356.789580501787</x:v>
      </x:c>
      <x:c r="D24" s="65"/>
      <x:c r="E24" s="65"/>
      <x:c r="F24" s="65"/>
      <x:c r="G24" s="65"/>
      <x:c r="H24" s="65"/>
      <x:c r="I24" s="65"/>
      <x:c r="J24" s="65"/>
      <x:c r="K24" s="65"/>
      <x:c r="L24" s="65"/>
      <x:c r="M24" s="65"/>
      <x:c r="N24" s="65"/>
      <x:c r="O24" s="65"/>
      <x:c r="P24" s="65"/>
      <x:c r="Q24" s="65"/>
      <x:c r="R24" s="65"/>
      <x:c r="S24" s="65"/>
      <x:c r="T24" s="65"/>
      <x:c r="U24" s="65"/>
      <x:c r="V24" s="65"/>
      <x:c r="W24" s="65"/>
      <x:c r="X24" s="65"/>
      <x:c r="Y24" s="65"/>
      <x:c r="Z24" s="65"/>
      <x:c r="AA24" s="65"/>
      <x:c r="AB24" s="65"/>
      <x:c r="AC24" s="65"/>
      <x:c r="AD24" s="65"/>
      <x:c r="AE24" s="65"/>
      <x:c r="AF24" s="65"/>
    </x:row>
    <x:row r="25" ht="15" customHeight="1">
      <x:c r="A25" s="70" t="s">
        <x:v>570</x:v>
      </x:c>
      <x:c r="B25" s="70" t="s">
        <x:v>571</x:v>
      </x:c>
      <x:c r="C25" s="68" t="n">
        <x:f>SUM(C13:AF13)</x:f>
        <x:v>17385.221254094155</x:v>
      </x:c>
      <x:c r="D25" s="65"/>
      <x:c r="E25" s="65"/>
      <x:c r="F25" s="65"/>
      <x:c r="G25" s="65"/>
      <x:c r="H25" s="65"/>
      <x:c r="I25" s="65"/>
      <x:c r="J25" s="65"/>
      <x:c r="K25" s="65"/>
      <x:c r="L25" s="65"/>
      <x:c r="M25" s="65"/>
      <x:c r="N25" s="65"/>
      <x:c r="O25" s="65"/>
      <x:c r="P25" s="65"/>
      <x:c r="Q25" s="65"/>
      <x:c r="R25" s="65"/>
      <x:c r="S25" s="65"/>
      <x:c r="T25" s="65"/>
      <x:c r="U25" s="65"/>
      <x:c r="V25" s="65"/>
      <x:c r="W25" s="65"/>
      <x:c r="X25" s="65"/>
      <x:c r="Y25" s="65"/>
      <x:c r="Z25" s="65"/>
      <x:c r="AA25" s="65"/>
      <x:c r="AB25" s="65"/>
      <x:c r="AC25" s="65"/>
      <x:c r="AD25" s="65"/>
      <x:c r="AE25" s="65"/>
      <x:c r="AF25" s="65"/>
    </x:row>
    <x:row r="26" ht="15" customHeight="1">
      <x:c r="A26" s="70" t="s">
        <x:v>572</x:v>
      </x:c>
      <x:c r="B26" s="70" t="s">
        <x:v>415</x:v>
      </x:c>
      <x:c r="C26" s="68" t="n">
        <x:f>SUM(C20:AF20)</x:f>
        <x:v>950.6968419929503</x:v>
      </x:c>
      <x:c r="D26" s="65"/>
      <x:c r="E26" s="65"/>
      <x:c r="F26" s="65"/>
      <x:c r="G26" s="65"/>
      <x:c r="H26" s="65"/>
      <x:c r="I26" s="65"/>
      <x:c r="J26" s="65"/>
      <x:c r="K26" s="65"/>
      <x:c r="L26" s="65"/>
      <x:c r="M26" s="65"/>
      <x:c r="N26" s="65"/>
      <x:c r="O26" s="65"/>
      <x:c r="P26" s="65"/>
      <x:c r="Q26" s="65"/>
      <x:c r="R26" s="65"/>
      <x:c r="S26" s="65"/>
      <x:c r="T26" s="65"/>
      <x:c r="U26" s="65"/>
      <x:c r="V26" s="65"/>
      <x:c r="W26" s="65"/>
      <x:c r="X26" s="65"/>
      <x:c r="Y26" s="65"/>
      <x:c r="Z26" s="65"/>
      <x:c r="AA26" s="65"/>
      <x:c r="AB26" s="65"/>
      <x:c r="AC26" s="65"/>
      <x:c r="AD26" s="65"/>
      <x:c r="AE26" s="65"/>
      <x:c r="AF26" s="65"/>
    </x:row>
    <x:row r="27" ht="15" customHeight="1">
      <x:c r="A27" s="70" t="s">
        <x:v>573</x:v>
      </x:c>
      <x:c r="B27" s="70" t="s">
        <x:v>574</x:v>
      </x:c>
      <x:c r="C27" s="68" t="n">
        <x:f>SUM(C21:AF21)</x:f>
        <x:v>7151.954412101202</x:v>
      </x:c>
      <x:c r="D27" s="65"/>
      <x:c r="E27" s="65"/>
      <x:c r="F27" s="65"/>
      <x:c r="G27" s="65"/>
      <x:c r="H27" s="65"/>
      <x:c r="I27" s="65"/>
      <x:c r="J27" s="65"/>
      <x:c r="K27" s="65"/>
      <x:c r="L27" s="65"/>
      <x:c r="M27" s="65"/>
      <x:c r="N27" s="65"/>
      <x:c r="O27" s="65"/>
      <x:c r="P27" s="65"/>
      <x:c r="Q27" s="65"/>
      <x:c r="R27" s="65"/>
      <x:c r="S27" s="65"/>
      <x:c r="T27" s="65"/>
      <x:c r="U27" s="65"/>
      <x:c r="V27" s="65"/>
      <x:c r="W27" s="65"/>
      <x:c r="X27" s="65"/>
      <x:c r="Y27" s="65"/>
      <x:c r="Z27" s="65"/>
      <x:c r="AA27" s="65"/>
      <x:c r="AB27" s="65"/>
      <x:c r="AC27" s="65"/>
      <x:c r="AD27" s="65"/>
      <x:c r="AE27" s="65"/>
      <x:c r="AF27" s="65"/>
    </x:row>
    <x:row r="28" ht="15" customHeight="1">
      <x:c r="A28" s="70"/>
      <x:c r="B28" s="70"/>
      <x:c r="C28" s="65"/>
      <x:c r="D28" s="65"/>
      <x:c r="E28" s="65"/>
      <x:c r="F28" s="65"/>
      <x:c r="G28" s="65"/>
      <x:c r="H28" s="65"/>
      <x:c r="I28" s="65"/>
      <x:c r="J28" s="65"/>
      <x:c r="K28" s="65"/>
      <x:c r="L28" s="65"/>
      <x:c r="M28" s="65"/>
      <x:c r="N28" s="65"/>
      <x:c r="O28" s="65"/>
      <x:c r="P28" s="65"/>
      <x:c r="Q28" s="65"/>
      <x:c r="R28" s="65"/>
      <x:c r="S28" s="65"/>
      <x:c r="T28" s="65"/>
      <x:c r="U28" s="65"/>
      <x:c r="V28" s="65"/>
      <x:c r="W28" s="65"/>
      <x:c r="X28" s="65"/>
      <x:c r="Y28" s="65"/>
      <x:c r="Z28" s="65"/>
      <x:c r="AA28" s="65"/>
      <x:c r="AB28" s="65"/>
      <x:c r="AC28" s="65"/>
      <x:c r="AD28" s="65"/>
      <x:c r="AE28" s="65"/>
      <x:c r="AF28" s="65"/>
    </x:row>
    <x:row r="29" ht="15" customHeight="1">
      <x:c r="A29" s="70"/>
      <x:c r="B29" s="70"/>
      <x:c r="C29" s="65"/>
      <x:c r="D29" s="65"/>
      <x:c r="E29" s="65"/>
      <x:c r="F29" s="65"/>
      <x:c r="G29" s="65"/>
      <x:c r="H29" s="65"/>
      <x:c r="I29" s="65"/>
      <x:c r="J29" s="65"/>
      <x:c r="K29" s="65"/>
      <x:c r="L29" s="65"/>
      <x:c r="M29" s="65"/>
      <x:c r="N29" s="65"/>
      <x:c r="O29" s="65"/>
      <x:c r="P29" s="65"/>
      <x:c r="Q29" s="65"/>
      <x:c r="R29" s="65"/>
      <x:c r="S29" s="65"/>
      <x:c r="T29" s="65"/>
      <x:c r="U29" s="65"/>
      <x:c r="V29" s="65"/>
      <x:c r="W29" s="65"/>
      <x:c r="X29" s="65"/>
      <x:c r="Y29" s="65"/>
      <x:c r="Z29" s="65"/>
      <x:c r="AA29" s="65"/>
      <x:c r="AB29" s="65"/>
      <x:c r="AC29" s="65"/>
      <x:c r="AD29" s="65"/>
      <x:c r="AE29" s="65"/>
      <x:c r="AF29" s="65"/>
    </x:row>
    <x:row r="30" ht="15" customHeight="1">
      <x:c r="A30" s="70"/>
      <x:c r="B30" s="70"/>
      <x:c r="C30" s="65"/>
      <x:c r="D30" s="65"/>
      <x:c r="E30" s="65"/>
      <x:c r="F30" s="65"/>
      <x:c r="G30" s="65"/>
      <x:c r="H30" s="65"/>
      <x:c r="I30" s="65"/>
      <x:c r="J30" s="65"/>
      <x:c r="K30" s="65"/>
      <x:c r="L30" s="65"/>
      <x:c r="M30" s="65"/>
      <x:c r="N30" s="65"/>
      <x:c r="O30" s="65"/>
      <x:c r="P30" s="65"/>
      <x:c r="Q30" s="65"/>
      <x:c r="R30" s="65"/>
      <x:c r="S30" s="65"/>
      <x:c r="T30" s="65"/>
      <x:c r="U30" s="65"/>
      <x:c r="V30" s="65"/>
      <x:c r="W30" s="65"/>
      <x:c r="X30" s="65"/>
      <x:c r="Y30" s="65"/>
      <x:c r="Z30" s="65"/>
      <x:c r="AA30" s="65"/>
      <x:c r="AB30" s="65"/>
      <x:c r="AC30" s="65"/>
      <x:c r="AD30" s="65"/>
      <x:c r="AE30" s="65"/>
      <x:c r="AF30" s="65"/>
    </x:row>
    <x:row r="31" ht="15" customHeight="1">
      <x:c r="A31" s="70"/>
      <x:c r="B31" s="70"/>
      <x:c r="C31" s="65"/>
      <x:c r="D31" s="65"/>
      <x:c r="E31" s="65"/>
      <x:c r="F31" s="65"/>
      <x:c r="G31" s="65"/>
      <x:c r="H31" s="65"/>
      <x:c r="I31" s="65"/>
      <x:c r="J31" s="65"/>
      <x:c r="K31" s="65"/>
      <x:c r="L31" s="65"/>
      <x:c r="M31" s="65"/>
      <x:c r="N31" s="65"/>
      <x:c r="O31" s="65"/>
      <x:c r="P31" s="65"/>
      <x:c r="Q31" s="65"/>
      <x:c r="R31" s="65"/>
      <x:c r="S31" s="65"/>
      <x:c r="T31" s="65"/>
      <x:c r="U31" s="65"/>
      <x:c r="V31" s="65"/>
      <x:c r="W31" s="65"/>
      <x:c r="X31" s="65"/>
      <x:c r="Y31" s="65"/>
      <x:c r="Z31" s="65"/>
      <x:c r="AA31" s="65"/>
      <x:c r="AB31" s="65"/>
      <x:c r="AC31" s="65"/>
      <x:c r="AD31" s="65"/>
      <x:c r="AE31" s="65"/>
      <x:c r="AF31" s="65"/>
    </x:row>
    <x:row r="32" ht="15" customHeight="1">
      <x:c r="A32" s="70"/>
      <x:c r="B32" s="70"/>
      <x:c r="C32" s="65"/>
      <x:c r="D32" s="65"/>
      <x:c r="E32" s="65"/>
      <x:c r="F32" s="65"/>
      <x:c r="G32" s="65"/>
      <x:c r="H32" s="65"/>
      <x:c r="I32" s="65"/>
      <x:c r="J32" s="65"/>
      <x:c r="K32" s="65"/>
      <x:c r="L32" s="65"/>
      <x:c r="M32" s="65"/>
      <x:c r="N32" s="65"/>
      <x:c r="O32" s="65"/>
      <x:c r="P32" s="65"/>
      <x:c r="Q32" s="65"/>
      <x:c r="R32" s="65"/>
      <x:c r="S32" s="65"/>
      <x:c r="T32" s="65"/>
      <x:c r="U32" s="65"/>
      <x:c r="V32" s="65"/>
      <x:c r="W32" s="65"/>
      <x:c r="X32" s="65"/>
      <x:c r="Y32" s="65"/>
      <x:c r="Z32" s="65"/>
      <x:c r="AA32" s="65"/>
      <x:c r="AB32" s="65"/>
      <x:c r="AC32" s="65"/>
      <x:c r="AD32" s="65"/>
      <x:c r="AE32" s="65"/>
      <x:c r="AF32" s="65"/>
    </x:row>
    <x:row r="33" ht="15" customHeight="1">
      <x:c r="A33" s="70"/>
      <x:c r="B33" s="70"/>
      <x:c r="C33" s="65"/>
      <x:c r="D33" s="65"/>
      <x:c r="E33" s="65"/>
      <x:c r="F33" s="65"/>
      <x:c r="G33" s="65"/>
      <x:c r="H33" s="65"/>
      <x:c r="I33" s="65"/>
      <x:c r="J33" s="65"/>
      <x:c r="K33" s="65"/>
      <x:c r="L33" s="65"/>
      <x:c r="M33" s="65"/>
      <x:c r="N33" s="65"/>
      <x:c r="O33" s="65"/>
      <x:c r="P33" s="65"/>
      <x:c r="Q33" s="65"/>
      <x:c r="R33" s="65"/>
      <x:c r="S33" s="65"/>
      <x:c r="T33" s="65"/>
      <x:c r="U33" s="65"/>
      <x:c r="V33" s="65"/>
      <x:c r="W33" s="65"/>
      <x:c r="X33" s="65"/>
      <x:c r="Y33" s="65"/>
      <x:c r="Z33" s="65"/>
      <x:c r="AA33" s="65"/>
      <x:c r="AB33" s="65"/>
      <x:c r="AC33" s="65"/>
      <x:c r="AD33" s="65"/>
      <x:c r="AE33" s="65"/>
      <x:c r="AF33" s="65"/>
    </x:row>
    <x:row r="34" ht="15" customHeight="1">
      <x:c r="A34" s="70"/>
      <x:c r="B34" s="70"/>
      <x:c r="C34" s="65"/>
      <x:c r="D34" s="65"/>
      <x:c r="E34" s="65"/>
      <x:c r="F34" s="65"/>
      <x:c r="G34" s="65"/>
      <x:c r="H34" s="65"/>
      <x:c r="I34" s="65"/>
      <x:c r="J34" s="65"/>
      <x:c r="K34" s="65"/>
      <x:c r="L34" s="65"/>
      <x:c r="M34" s="65"/>
      <x:c r="N34" s="65"/>
      <x:c r="O34" s="65"/>
      <x:c r="P34" s="65"/>
      <x:c r="Q34" s="65"/>
      <x:c r="R34" s="65"/>
      <x:c r="S34" s="65"/>
      <x:c r="T34" s="65"/>
      <x:c r="U34" s="65"/>
      <x:c r="V34" s="65"/>
      <x:c r="W34" s="65"/>
      <x:c r="X34" s="65"/>
      <x:c r="Y34" s="65"/>
      <x:c r="Z34" s="65"/>
      <x:c r="AA34" s="65"/>
      <x:c r="AB34" s="65"/>
      <x:c r="AC34" s="65"/>
      <x:c r="AD34" s="65"/>
      <x:c r="AE34" s="65"/>
      <x:c r="AF34" s="65"/>
    </x:row>
    <x:row r="35" ht="15" customHeight="1">
      <x:c r="A35" s="70"/>
      <x:c r="B35" s="70"/>
      <x:c r="C35" s="65"/>
      <x:c r="D35" s="65"/>
      <x:c r="E35" s="65"/>
      <x:c r="F35" s="65"/>
      <x:c r="G35" s="65"/>
      <x:c r="H35" s="65"/>
      <x:c r="I35" s="65"/>
      <x:c r="J35" s="65"/>
      <x:c r="K35" s="65"/>
      <x:c r="L35" s="65"/>
      <x:c r="M35" s="65"/>
      <x:c r="N35" s="65"/>
      <x:c r="O35" s="65"/>
      <x:c r="P35" s="65"/>
      <x:c r="Q35" s="65"/>
      <x:c r="R35" s="65"/>
      <x:c r="S35" s="65"/>
      <x:c r="T35" s="65"/>
      <x:c r="U35" s="65"/>
      <x:c r="V35" s="65"/>
      <x:c r="W35" s="65"/>
      <x:c r="X35" s="65"/>
      <x:c r="Y35" s="65"/>
      <x:c r="Z35" s="65"/>
      <x:c r="AA35" s="65"/>
      <x:c r="AB35" s="65"/>
      <x:c r="AC35" s="65"/>
      <x:c r="AD35" s="65"/>
      <x:c r="AE35" s="65"/>
      <x:c r="AF35" s="65"/>
    </x:row>
    <x:row r="36" ht="15" customHeight="1">
      <x:c r="A36" s="70"/>
      <x:c r="B36" s="70"/>
      <x:c r="C36" s="65"/>
      <x:c r="D36" s="65"/>
      <x:c r="E36" s="65"/>
      <x:c r="F36" s="65"/>
      <x:c r="G36" s="65"/>
      <x:c r="H36" s="65"/>
      <x:c r="I36" s="65"/>
      <x:c r="J36" s="65"/>
      <x:c r="K36" s="65"/>
      <x:c r="L36" s="65"/>
      <x:c r="M36" s="65"/>
      <x:c r="N36" s="65"/>
      <x:c r="O36" s="65"/>
      <x:c r="P36" s="65"/>
      <x:c r="Q36" s="65"/>
      <x:c r="R36" s="65"/>
      <x:c r="S36" s="65"/>
      <x:c r="T36" s="65"/>
      <x:c r="U36" s="65"/>
      <x:c r="V36" s="65"/>
      <x:c r="W36" s="65"/>
      <x:c r="X36" s="65"/>
      <x:c r="Y36" s="65"/>
      <x:c r="Z36" s="65"/>
      <x:c r="AA36" s="65"/>
      <x:c r="AB36" s="65"/>
      <x:c r="AC36" s="65"/>
      <x:c r="AD36" s="65"/>
      <x:c r="AE36" s="65"/>
      <x:c r="AF36" s="65"/>
    </x:row>
    <x:row r="37" ht="15" customHeight="1">
      <x:c r="A37" s="70"/>
      <x:c r="B37" s="70"/>
      <x:c r="C37" s="65"/>
      <x:c r="D37" s="65"/>
      <x:c r="E37" s="65"/>
      <x:c r="F37" s="65"/>
      <x:c r="G37" s="65"/>
      <x:c r="H37" s="65"/>
      <x:c r="I37" s="65"/>
      <x:c r="J37" s="65"/>
      <x:c r="K37" s="65"/>
      <x:c r="L37" s="65"/>
      <x:c r="M37" s="65"/>
      <x:c r="N37" s="65"/>
      <x:c r="O37" s="65"/>
      <x:c r="P37" s="65"/>
      <x:c r="Q37" s="65"/>
      <x:c r="R37" s="65"/>
      <x:c r="S37" s="65"/>
      <x:c r="T37" s="65"/>
      <x:c r="U37" s="65"/>
      <x:c r="V37" s="65"/>
      <x:c r="W37" s="65"/>
      <x:c r="X37" s="65"/>
      <x:c r="Y37" s="65"/>
      <x:c r="Z37" s="65"/>
      <x:c r="AA37" s="65"/>
      <x:c r="AB37" s="65"/>
      <x:c r="AC37" s="65"/>
      <x:c r="AD37" s="65"/>
      <x:c r="AE37" s="65"/>
      <x:c r="AF37" s="65"/>
    </x:row>
    <x:row r="38" ht="15" customHeight="1">
      <x:c r="A38" s="70"/>
      <x:c r="B38" s="70"/>
      <x:c r="C38" s="65"/>
      <x:c r="D38" s="65"/>
      <x:c r="E38" s="65"/>
      <x:c r="F38" s="65"/>
      <x:c r="G38" s="65"/>
      <x:c r="H38" s="65"/>
      <x:c r="I38" s="65"/>
      <x:c r="J38" s="65"/>
      <x:c r="K38" s="65"/>
      <x:c r="L38" s="65"/>
      <x:c r="M38" s="65"/>
      <x:c r="N38" s="65"/>
      <x:c r="O38" s="65"/>
      <x:c r="P38" s="65"/>
      <x:c r="Q38" s="65"/>
      <x:c r="R38" s="65"/>
      <x:c r="S38" s="65"/>
      <x:c r="T38" s="65"/>
      <x:c r="U38" s="65"/>
      <x:c r="V38" s="65"/>
      <x:c r="W38" s="65"/>
      <x:c r="X38" s="65"/>
      <x:c r="Y38" s="65"/>
      <x:c r="Z38" s="65"/>
      <x:c r="AA38" s="65"/>
      <x:c r="AB38" s="65"/>
      <x:c r="AC38" s="65"/>
      <x:c r="AD38" s="65"/>
      <x:c r="AE38" s="65"/>
      <x:c r="AF38" s="65"/>
    </x:row>
    <x:row r="39" ht="15" customHeight="1">
      <x:c r="A39" s="70"/>
      <x:c r="B39" s="70"/>
      <x:c r="C39" s="65"/>
      <x:c r="D39" s="65"/>
      <x:c r="E39" s="65"/>
      <x:c r="F39" s="65"/>
      <x:c r="G39" s="65"/>
      <x:c r="H39" s="65"/>
      <x:c r="I39" s="65"/>
      <x:c r="J39" s="65"/>
      <x:c r="K39" s="65"/>
      <x:c r="L39" s="65"/>
      <x:c r="M39" s="65"/>
      <x:c r="N39" s="65"/>
      <x:c r="O39" s="65"/>
      <x:c r="P39" s="65"/>
      <x:c r="Q39" s="65"/>
      <x:c r="R39" s="65"/>
      <x:c r="S39" s="65"/>
      <x:c r="T39" s="65"/>
      <x:c r="U39" s="65"/>
      <x:c r="V39" s="65"/>
      <x:c r="W39" s="65"/>
      <x:c r="X39" s="65"/>
      <x:c r="Y39" s="65"/>
      <x:c r="Z39" s="65"/>
      <x:c r="AA39" s="65"/>
      <x:c r="AB39" s="65"/>
      <x:c r="AC39" s="65"/>
      <x:c r="AD39" s="65"/>
      <x:c r="AE39" s="65"/>
      <x:c r="AF39" s="65"/>
    </x:row>
    <x:row r="40" ht="15" customHeight="1">
      <x:c r="A40" s="70"/>
      <x:c r="B40" s="70"/>
      <x:c r="C40" s="65"/>
      <x:c r="D40" s="65"/>
      <x:c r="E40" s="65"/>
      <x:c r="F40" s="65"/>
      <x:c r="G40" s="65"/>
      <x:c r="H40" s="65"/>
      <x:c r="I40" s="65"/>
      <x:c r="J40" s="65"/>
      <x:c r="K40" s="65"/>
      <x:c r="L40" s="65"/>
      <x:c r="M40" s="65"/>
      <x:c r="N40" s="65"/>
      <x:c r="O40" s="65"/>
      <x:c r="P40" s="65"/>
      <x:c r="Q40" s="65"/>
      <x:c r="R40" s="65"/>
      <x:c r="S40" s="65"/>
      <x:c r="T40" s="65"/>
      <x:c r="U40" s="65"/>
      <x:c r="V40" s="65"/>
      <x:c r="W40" s="65"/>
      <x:c r="X40" s="65"/>
      <x:c r="Y40" s="65"/>
      <x:c r="Z40" s="65"/>
      <x:c r="AA40" s="65"/>
      <x:c r="AB40" s="65"/>
      <x:c r="AC40" s="65"/>
      <x:c r="AD40" s="65"/>
      <x:c r="AE40" s="65"/>
      <x:c r="AF40" s="65"/>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c r="AA41" s="41"/>
      <x:c r="AB41" s="41"/>
      <x:c r="AC41" s="41"/>
      <x:c r="AD41" s="41"/>
      <x:c r="AE41" s="41"/>
      <x:c r="AF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c r="AA42" s="41"/>
      <x:c r="AB42" s="41"/>
      <x:c r="AC42" s="41"/>
      <x:c r="AD42" s="41"/>
      <x:c r="AE42" s="41"/>
      <x:c r="AF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c r="AA43" s="41"/>
      <x:c r="AB43" s="41"/>
      <x:c r="AC43" s="41"/>
      <x:c r="AD43" s="41"/>
      <x:c r="AE43" s="41"/>
      <x:c r="AF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c r="AA44" s="41"/>
      <x:c r="AB44" s="41"/>
      <x:c r="AC44" s="41"/>
      <x:c r="AD44" s="41"/>
      <x:c r="AE44" s="41"/>
      <x:c r="AF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c r="AA45" s="41"/>
      <x:c r="AB45" s="41"/>
      <x:c r="AC45" s="41"/>
      <x:c r="AD45" s="41"/>
      <x:c r="AE45" s="41"/>
      <x:c r="AF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c r="AA46" s="41"/>
      <x:c r="AB46" s="41"/>
      <x:c r="AC46" s="41"/>
      <x:c r="AD46" s="41"/>
      <x:c r="AE46" s="41"/>
      <x:c r="AF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c r="AA47" s="41"/>
      <x:c r="AB47" s="41"/>
      <x:c r="AC47" s="41"/>
      <x:c r="AD47" s="41"/>
      <x:c r="AE47" s="41"/>
      <x:c r="AF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c r="AA48" s="41"/>
      <x:c r="AB48" s="41"/>
      <x:c r="AC48" s="41"/>
      <x:c r="AD48" s="41"/>
      <x:c r="AE48" s="41"/>
      <x:c r="AF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c r="AA49" s="41"/>
      <x:c r="AB49" s="41"/>
      <x:c r="AC49" s="41"/>
      <x:c r="AD49" s="41"/>
      <x:c r="AE49" s="41"/>
      <x:c r="AF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c r="AA50" s="41"/>
      <x:c r="AB50" s="41"/>
      <x:c r="AC50" s="41"/>
      <x:c r="AD50" s="41"/>
      <x:c r="AE50" s="41"/>
      <x:c r="AF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c r="AA51" s="41"/>
      <x:c r="AB51" s="41"/>
      <x:c r="AC51" s="41"/>
      <x:c r="AD51" s="41"/>
      <x:c r="AE51" s="41"/>
      <x:c r="AF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c r="AA52" s="41"/>
      <x:c r="AB52" s="41"/>
      <x:c r="AC52" s="41"/>
      <x:c r="AD52" s="41"/>
      <x:c r="AE52" s="41"/>
      <x:c r="AF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c r="AA53" s="41"/>
      <x:c r="AB53" s="41"/>
      <x:c r="AC53" s="41"/>
      <x:c r="AD53" s="41"/>
      <x:c r="AE53" s="41"/>
      <x:c r="AF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c r="AA54" s="41"/>
      <x:c r="AB54" s="41"/>
      <x:c r="AC54" s="41"/>
      <x:c r="AD54" s="41"/>
      <x:c r="AE54" s="41"/>
      <x:c r="AF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c r="AA55" s="41"/>
      <x:c r="AB55" s="41"/>
      <x:c r="AC55" s="41"/>
      <x:c r="AD55" s="41"/>
      <x:c r="AE55" s="41"/>
      <x:c r="AF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c r="AA56" s="41"/>
      <x:c r="AB56" s="41"/>
      <x:c r="AC56" s="41"/>
      <x:c r="AD56" s="41"/>
      <x:c r="AE56" s="41"/>
      <x:c r="AF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c r="AA57" s="41"/>
      <x:c r="AB57" s="41"/>
      <x:c r="AC57" s="41"/>
      <x:c r="AD57" s="41"/>
      <x:c r="AE57" s="41"/>
      <x:c r="AF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c r="AA58" s="41"/>
      <x:c r="AB58" s="41"/>
      <x:c r="AC58" s="41"/>
      <x:c r="AD58" s="41"/>
      <x:c r="AE58" s="41"/>
      <x:c r="AF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c r="AA59" s="41"/>
      <x:c r="AB59" s="41"/>
      <x:c r="AC59" s="41"/>
      <x:c r="AD59" s="41"/>
      <x:c r="AE59" s="41"/>
      <x:c r="AF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c r="AA60" s="41"/>
      <x:c r="AB60" s="41"/>
      <x:c r="AC60" s="41"/>
      <x:c r="AD60" s="41"/>
      <x:c r="AE60" s="41"/>
      <x:c r="AF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c r="AA61" s="41"/>
      <x:c r="AB61" s="41"/>
      <x:c r="AC61" s="41"/>
      <x:c r="AD61" s="41"/>
      <x:c r="AE61" s="41"/>
      <x:c r="AF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c r="AA62" s="41"/>
      <x:c r="AB62" s="41"/>
      <x:c r="AC62" s="41"/>
      <x:c r="AD62" s="41"/>
      <x:c r="AE62" s="41"/>
      <x:c r="AF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c r="AA63" s="41"/>
      <x:c r="AB63" s="41"/>
      <x:c r="AC63" s="41"/>
      <x:c r="AD63" s="41"/>
      <x:c r="AE63" s="41"/>
      <x:c r="AF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c r="AA64" s="41"/>
      <x:c r="AB64" s="41"/>
      <x:c r="AC64" s="41"/>
      <x:c r="AD64" s="41"/>
      <x:c r="AE64" s="41"/>
      <x:c r="AF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c r="AA65" s="41"/>
      <x:c r="AB65" s="41"/>
      <x:c r="AC65" s="41"/>
      <x:c r="AD65" s="41"/>
      <x:c r="AE65" s="41"/>
      <x:c r="AF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c r="AA66" s="41"/>
      <x:c r="AB66" s="41"/>
      <x:c r="AC66" s="41"/>
      <x:c r="AD66" s="41"/>
      <x:c r="AE66" s="41"/>
      <x:c r="AF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c r="AA67" s="41"/>
      <x:c r="AB67" s="41"/>
      <x:c r="AC67" s="41"/>
      <x:c r="AD67" s="41"/>
      <x:c r="AE67" s="41"/>
      <x:c r="AF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c r="AA68" s="41"/>
      <x:c r="AB68" s="41"/>
      <x:c r="AC68" s="41"/>
      <x:c r="AD68" s="41"/>
      <x:c r="AE68" s="41"/>
      <x:c r="AF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c r="AA69" s="41"/>
      <x:c r="AB69" s="41"/>
      <x:c r="AC69" s="41"/>
      <x:c r="AD69" s="41"/>
      <x:c r="AE69" s="41"/>
      <x:c r="AF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c r="AA70" s="41"/>
      <x:c r="AB70" s="41"/>
      <x:c r="AC70" s="41"/>
      <x:c r="AD70" s="41"/>
      <x:c r="AE70" s="41"/>
      <x:c r="AF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c r="AA71" s="41"/>
      <x:c r="AB71" s="41"/>
      <x:c r="AC71" s="41"/>
      <x:c r="AD71" s="41"/>
      <x:c r="AE71" s="41"/>
      <x:c r="AF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c r="AA72" s="41"/>
      <x:c r="AB72" s="41"/>
      <x:c r="AC72" s="41"/>
      <x:c r="AD72" s="41"/>
      <x:c r="AE72" s="41"/>
      <x:c r="AF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c r="AA73" s="41"/>
      <x:c r="AB73" s="41"/>
      <x:c r="AC73" s="41"/>
      <x:c r="AD73" s="41"/>
      <x:c r="AE73" s="41"/>
      <x:c r="AF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c r="AA74" s="41"/>
      <x:c r="AB74" s="41"/>
      <x:c r="AC74" s="41"/>
      <x:c r="AD74" s="41"/>
      <x:c r="AE74" s="41"/>
      <x:c r="AF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c r="AA75" s="41"/>
      <x:c r="AB75" s="41"/>
      <x:c r="AC75" s="41"/>
      <x:c r="AD75" s="41"/>
      <x:c r="AE75" s="41"/>
      <x:c r="AF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c r="AA76" s="41"/>
      <x:c r="AB76" s="41"/>
      <x:c r="AC76" s="41"/>
      <x:c r="AD76" s="41"/>
      <x:c r="AE76" s="41"/>
      <x:c r="AF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c r="AA77" s="41"/>
      <x:c r="AB77" s="41"/>
      <x:c r="AC77" s="41"/>
      <x:c r="AD77" s="41"/>
      <x:c r="AE77" s="41"/>
      <x:c r="AF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c r="AA78" s="41"/>
      <x:c r="AB78" s="41"/>
      <x:c r="AC78" s="41"/>
      <x:c r="AD78" s="41"/>
      <x:c r="AE78" s="41"/>
      <x:c r="AF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c r="AA79" s="41"/>
      <x:c r="AB79" s="41"/>
      <x:c r="AC79" s="41"/>
      <x:c r="AD79" s="41"/>
      <x:c r="AE79" s="41"/>
      <x:c r="AF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c r="AA80" s="41"/>
      <x:c r="AB80" s="41"/>
      <x:c r="AC80" s="41"/>
      <x:c r="AD80" s="41"/>
      <x:c r="AE80" s="41"/>
      <x:c r="AF80" s="41"/>
    </x:row>
  </x:sheetData>
  <x:mergeCells>
    <x:mergeCell ref="A1:AF1"/>
    <x:mergeCell ref="A2:AF2"/>
    <x:mergeCell ref="A3:AF3"/>
    <x:mergeCell ref="A10:AF10"/>
    <x:mergeCell ref="A23:AF23"/>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4"/>
  <x:cols>
    <x:col min="1" max="1" width="10" customWidth="1"/>
    <x:col min="2" max="2" width="34" customWidth="1"/>
    <x:col min="3" max="32" width="12" customWidth="1"/>
  </x:cols>
  <x:sheetData>
    <x:row r="1" ht="15" customHeight="1">
      <x:c r="A1" s="131" t="s">
        <x:v>575</x:v>
      </x:c>
      <x:c r="B1" s="131"/>
      <x:c r="C1" s="132"/>
      <x:c r="D1" s="132"/>
      <x:c r="E1" s="132"/>
      <x:c r="F1" s="132"/>
      <x:c r="G1" s="132"/>
      <x:c r="H1" s="132"/>
      <x:c r="I1" s="132"/>
      <x:c r="J1" s="132"/>
      <x:c r="K1" s="132"/>
      <x:c r="L1" s="132"/>
      <x:c r="M1" s="132"/>
      <x:c r="N1" s="132"/>
      <x:c r="O1" s="132"/>
      <x:c r="P1" s="132"/>
      <x:c r="Q1" s="132"/>
      <x:c r="R1" s="132"/>
      <x:c r="S1" s="132"/>
      <x:c r="T1" s="132"/>
      <x:c r="U1" s="132"/>
      <x:c r="V1" s="132"/>
      <x:c r="W1" s="132"/>
      <x:c r="X1" s="132"/>
      <x:c r="Y1" s="132"/>
      <x:c r="Z1" s="132"/>
      <x:c r="AA1" s="132"/>
      <x:c r="AB1" s="132"/>
      <x:c r="AC1" s="132"/>
      <x:c r="AD1" s="132"/>
      <x:c r="AE1" s="132"/>
      <x:c r="AF1" s="132"/>
    </x:row>
    <x:row r="2" ht="15" customHeight="1">
      <x:c r="A2" s="133" t="s">
        <x:v>576</x:v>
      </x:c>
      <x:c r="B2" s="133"/>
      <x:c r="C2" s="133"/>
      <x:c r="D2" s="133"/>
      <x:c r="E2" s="133"/>
      <x:c r="F2" s="133"/>
      <x:c r="G2" s="133"/>
      <x:c r="H2" s="133"/>
      <x:c r="I2" s="133"/>
      <x:c r="J2" s="133"/>
      <x:c r="K2" s="133"/>
      <x:c r="L2" s="133"/>
      <x:c r="M2" s="133"/>
      <x:c r="N2" s="133"/>
      <x:c r="O2" s="133"/>
      <x:c r="P2" s="133"/>
      <x:c r="Q2" s="133"/>
      <x:c r="R2" s="133"/>
      <x:c r="S2" s="133"/>
      <x:c r="T2" s="133"/>
      <x:c r="U2" s="133"/>
      <x:c r="V2" s="133"/>
      <x:c r="W2" s="133"/>
      <x:c r="X2" s="133"/>
      <x:c r="Y2" s="133"/>
      <x:c r="Z2" s="133"/>
      <x:c r="AA2" s="133"/>
      <x:c r="AB2" s="133"/>
      <x:c r="AC2" s="133"/>
      <x:c r="AD2" s="133"/>
      <x:c r="AE2" s="133"/>
      <x:c r="AF2" s="133"/>
    </x:row>
    <x:row r="3" ht="15" customHeight="1">
      <x:c r="A3" s="134" t="s">
        <x:v>447</x:v>
      </x:c>
      <x:c r="B3" s="134"/>
      <x:c r="C3" s="135"/>
      <x:c r="D3" s="135"/>
      <x:c r="E3" s="135"/>
      <x:c r="F3" s="135"/>
      <x:c r="G3" s="135"/>
      <x:c r="H3" s="135"/>
      <x:c r="I3" s="135"/>
      <x:c r="J3" s="135"/>
      <x:c r="K3" s="135"/>
      <x:c r="L3" s="135"/>
      <x:c r="M3" s="135"/>
      <x:c r="N3" s="135"/>
      <x:c r="O3" s="135"/>
      <x:c r="P3" s="135"/>
      <x:c r="Q3" s="135"/>
      <x:c r="R3" s="135"/>
      <x:c r="S3" s="135"/>
      <x:c r="T3" s="135"/>
      <x:c r="U3" s="135"/>
      <x:c r="V3" s="135"/>
      <x:c r="W3" s="135"/>
      <x:c r="X3" s="135"/>
      <x:c r="Y3" s="135"/>
      <x:c r="Z3" s="135"/>
      <x:c r="AA3" s="135"/>
      <x:c r="AB3" s="135"/>
      <x:c r="AC3" s="135"/>
      <x:c r="AD3" s="135"/>
      <x:c r="AE3" s="135"/>
      <x:c r="AF3" s="135"/>
    </x:row>
    <x:row r="4" ht="15" customHeight="1">
      <x:c r="A4" s="70"/>
      <x:c r="B4" s="70"/>
      <x:c r="C4" s="65"/>
      <x:c r="D4" s="65"/>
      <x:c r="E4" s="65"/>
      <x:c r="F4" s="65"/>
      <x:c r="G4" s="65"/>
      <x:c r="H4" s="65"/>
      <x:c r="I4" s="65"/>
      <x:c r="J4" s="65"/>
      <x:c r="K4" s="65"/>
      <x:c r="L4" s="65"/>
      <x:c r="M4" s="65"/>
      <x:c r="N4" s="65"/>
      <x:c r="O4" s="65"/>
      <x:c r="P4" s="65"/>
      <x:c r="Q4" s="65"/>
      <x:c r="R4" s="65"/>
      <x:c r="S4" s="65"/>
      <x:c r="T4" s="65"/>
      <x:c r="U4" s="65"/>
      <x:c r="V4" s="65"/>
      <x:c r="W4" s="65"/>
      <x:c r="X4" s="65"/>
      <x:c r="Y4" s="65"/>
      <x:c r="Z4" s="65"/>
      <x:c r="AA4" s="65"/>
      <x:c r="AB4" s="65"/>
      <x:c r="AC4" s="65"/>
      <x:c r="AD4" s="65"/>
      <x:c r="AE4" s="65"/>
      <x:c r="AF4" s="65"/>
    </x:row>
    <x:row r="5" ht="15" customHeight="1">
      <x:c r="A5" s="70"/>
      <x:c r="B5" s="70"/>
      <x:c r="C5" s="65"/>
      <x:c r="D5" s="65"/>
      <x:c r="E5" s="65"/>
      <x:c r="F5" s="65"/>
      <x:c r="G5" s="65"/>
      <x:c r="H5" s="65"/>
      <x:c r="I5" s="65"/>
      <x:c r="J5" s="65"/>
      <x:c r="K5" s="65"/>
      <x:c r="L5" s="65"/>
      <x:c r="M5" s="65"/>
      <x:c r="N5" s="65"/>
      <x:c r="O5" s="65"/>
      <x:c r="P5" s="65"/>
      <x:c r="Q5" s="65"/>
      <x:c r="R5" s="65"/>
      <x:c r="S5" s="65"/>
      <x:c r="T5" s="65"/>
      <x:c r="U5" s="65"/>
      <x:c r="V5" s="65"/>
      <x:c r="W5" s="65"/>
      <x:c r="X5" s="65"/>
      <x:c r="Y5" s="65"/>
      <x:c r="Z5" s="65"/>
      <x:c r="AA5" s="65"/>
      <x:c r="AB5" s="65"/>
      <x:c r="AC5" s="65"/>
      <x:c r="AD5" s="65"/>
      <x:c r="AE5" s="65"/>
      <x:c r="AF5" s="65"/>
    </x:row>
    <x:row r="6" ht="15" customHeight="1">
      <x:c r="A6" s="71"/>
      <x:c r="B6" s="71" t="s">
        <x:v>160</x:v>
      </x:c>
      <x:c r="C6" s="42" t="n">
        <x:f>CAPEX!C6</x:f>
        <x:v>2025</x:v>
      </x:c>
      <x:c r="D6" s="42" t="n">
        <x:f>CAPEX!D6</x:f>
        <x:v>2026</x:v>
      </x:c>
      <x:c r="E6" s="42" t="n">
        <x:f>CAPEX!E6</x:f>
        <x:v>2027</x:v>
      </x:c>
      <x:c r="F6" s="42" t="n">
        <x:f>CAPEX!F6</x:f>
        <x:v>2028</x:v>
      </x:c>
      <x:c r="G6" s="42" t="n">
        <x:f>CAPEX!G6</x:f>
        <x:v>2029</x:v>
      </x:c>
      <x:c r="H6" s="42" t="n">
        <x:f>CAPEX!H6</x:f>
        <x:v>2030</x:v>
      </x:c>
      <x:c r="I6" s="42" t="n">
        <x:f>CAPEX!I6</x:f>
        <x:v>2031</x:v>
      </x:c>
      <x:c r="J6" s="42" t="n">
        <x:f>CAPEX!J6</x:f>
        <x:v>2032</x:v>
      </x:c>
      <x:c r="K6" s="42" t="n">
        <x:f>CAPEX!K6</x:f>
        <x:v>2033</x:v>
      </x:c>
      <x:c r="L6" s="42" t="n">
        <x:f>CAPEX!L6</x:f>
        <x:v>2034</x:v>
      </x:c>
      <x:c r="M6" s="42" t="n">
        <x:f>CAPEX!M6</x:f>
        <x:v>2035</x:v>
      </x:c>
      <x:c r="N6" s="42" t="n">
        <x:f>CAPEX!N6</x:f>
        <x:v>2036</x:v>
      </x:c>
      <x:c r="O6" s="42" t="n">
        <x:f>CAPEX!O6</x:f>
        <x:v>2037</x:v>
      </x:c>
      <x:c r="P6" s="42" t="n">
        <x:f>CAPEX!P6</x:f>
        <x:v>2038</x:v>
      </x:c>
      <x:c r="Q6" s="42" t="n">
        <x:f>CAPEX!Q6</x:f>
        <x:v>2039</x:v>
      </x:c>
      <x:c r="R6" s="42" t="n">
        <x:f>CAPEX!R6</x:f>
        <x:v>2040</x:v>
      </x:c>
      <x:c r="S6" s="42" t="n">
        <x:f>CAPEX!S6</x:f>
        <x:v>2041</x:v>
      </x:c>
      <x:c r="T6" s="42" t="n">
        <x:f>CAPEX!T6</x:f>
        <x:v>2042</x:v>
      </x:c>
      <x:c r="U6" s="42" t="n">
        <x:f>CAPEX!U6</x:f>
        <x:v>2043</x:v>
      </x:c>
      <x:c r="V6" s="42" t="n">
        <x:f>CAPEX!V6</x:f>
        <x:v>2044</x:v>
      </x:c>
      <x:c r="W6" s="42" t="n">
        <x:f>CAPEX!W6</x:f>
        <x:v>2045</x:v>
      </x:c>
      <x:c r="X6" s="42" t="n">
        <x:f>CAPEX!X6</x:f>
        <x:v>2046</x:v>
      </x:c>
      <x:c r="Y6" s="42" t="n">
        <x:f>CAPEX!Y6</x:f>
        <x:v>2047</x:v>
      </x:c>
      <x:c r="Z6" s="42" t="n">
        <x:f>CAPEX!Z6</x:f>
        <x:v>2048</x:v>
      </x:c>
      <x:c r="AA6" s="42" t="n">
        <x:f>CAPEX!AA6</x:f>
        <x:v>2049</x:v>
      </x:c>
      <x:c r="AB6" s="42" t="n">
        <x:f>CAPEX!AB6</x:f>
        <x:v>2050</x:v>
      </x:c>
      <x:c r="AC6" s="42" t="n">
        <x:f>CAPEX!AC6</x:f>
        <x:v>2051</x:v>
      </x:c>
      <x:c r="AD6" s="42" t="n">
        <x:f>CAPEX!AD6</x:f>
        <x:v>2052</x:v>
      </x:c>
      <x:c r="AE6" s="42" t="n">
        <x:f>CAPEX!AE6</x:f>
        <x:v>2053</x:v>
      </x:c>
      <x:c r="AF6" s="42" t="n">
        <x:f>CAPEX!AF6</x:f>
        <x:v>2054</x:v>
      </x:c>
    </x:row>
    <x:row r="7" ht="15" customHeight="1">
      <x:c r="A7" s="70"/>
      <x:c r="B7" s="70" t="s">
        <x:v>448</x:v>
      </x:c>
      <x:c r="C7" s="66" t="n">
        <x:f>CAPEX!C7</x:f>
        <x:v>0</x:v>
      </x:c>
      <x:c r="D7" s="66" t="n">
        <x:f>CAPEX!D7</x:f>
        <x:v>1</x:v>
      </x:c>
      <x:c r="E7" s="66" t="n">
        <x:f>CAPEX!E7</x:f>
        <x:v>2</x:v>
      </x:c>
      <x:c r="F7" s="66" t="n">
        <x:f>CAPEX!F7</x:f>
        <x:v>3</x:v>
      </x:c>
      <x:c r="G7" s="66" t="n">
        <x:f>CAPEX!G7</x:f>
        <x:v>4</x:v>
      </x:c>
      <x:c r="H7" s="66" t="n">
        <x:f>CAPEX!H7</x:f>
        <x:v>5</x:v>
      </x:c>
      <x:c r="I7" s="66" t="n">
        <x:f>CAPEX!I7</x:f>
        <x:v>6</x:v>
      </x:c>
      <x:c r="J7" s="66" t="n">
        <x:f>CAPEX!J7</x:f>
        <x:v>7</x:v>
      </x:c>
      <x:c r="K7" s="66" t="n">
        <x:f>CAPEX!K7</x:f>
        <x:v>8</x:v>
      </x:c>
      <x:c r="L7" s="66" t="n">
        <x:f>CAPEX!L7</x:f>
        <x:v>9</x:v>
      </x:c>
      <x:c r="M7" s="66" t="n">
        <x:f>CAPEX!M7</x:f>
        <x:v>10</x:v>
      </x:c>
      <x:c r="N7" s="66" t="n">
        <x:f>CAPEX!N7</x:f>
        <x:v>11</x:v>
      </x:c>
      <x:c r="O7" s="66" t="n">
        <x:f>CAPEX!O7</x:f>
        <x:v>12</x:v>
      </x:c>
      <x:c r="P7" s="66" t="n">
        <x:f>CAPEX!P7</x:f>
        <x:v>13</x:v>
      </x:c>
      <x:c r="Q7" s="66" t="n">
        <x:f>CAPEX!Q7</x:f>
        <x:v>14</x:v>
      </x:c>
      <x:c r="R7" s="66" t="n">
        <x:f>CAPEX!R7</x:f>
        <x:v>15</x:v>
      </x:c>
      <x:c r="S7" s="66" t="n">
        <x:f>CAPEX!S7</x:f>
        <x:v>16</x:v>
      </x:c>
      <x:c r="T7" s="66" t="n">
        <x:f>CAPEX!T7</x:f>
        <x:v>17</x:v>
      </x:c>
      <x:c r="U7" s="66" t="n">
        <x:f>CAPEX!U7</x:f>
        <x:v>18</x:v>
      </x:c>
      <x:c r="V7" s="66" t="n">
        <x:f>CAPEX!V7</x:f>
        <x:v>19</x:v>
      </x:c>
      <x:c r="W7" s="66" t="n">
        <x:f>CAPEX!W7</x:f>
        <x:v>20</x:v>
      </x:c>
      <x:c r="X7" s="66" t="n">
        <x:f>CAPEX!X7</x:f>
        <x:v>21</x:v>
      </x:c>
      <x:c r="Y7" s="66" t="n">
        <x:f>CAPEX!Y7</x:f>
        <x:v>22</x:v>
      </x:c>
      <x:c r="Z7" s="66" t="n">
        <x:f>CAPEX!Z7</x:f>
        <x:v>23</x:v>
      </x:c>
      <x:c r="AA7" s="66" t="n">
        <x:f>CAPEX!AA7</x:f>
        <x:v>24</x:v>
      </x:c>
      <x:c r="AB7" s="66" t="n">
        <x:f>CAPEX!AB7</x:f>
        <x:v>25</x:v>
      </x:c>
      <x:c r="AC7" s="66" t="n">
        <x:f>CAPEX!AC7</x:f>
        <x:v>26</x:v>
      </x:c>
      <x:c r="AD7" s="66" t="n">
        <x:f>CAPEX!AD7</x:f>
        <x:v>27</x:v>
      </x:c>
      <x:c r="AE7" s="66" t="n">
        <x:f>CAPEX!AE7</x:f>
        <x:v>28</x:v>
      </x:c>
      <x:c r="AF7" s="66" t="n">
        <x:f>CAPEX!AF7</x:f>
        <x:v>29</x:v>
      </x:c>
    </x:row>
    <x:row r="8" ht="15" customHeight="1">
      <x:c r="A8" s="70"/>
      <x:c r="B8" s="70" t="s">
        <x:v>450</x:v>
      </x:c>
      <x:c r="C8" s="66" t="n">
        <x:f>CAPEX!C9</x:f>
        <x:v>0</x:v>
      </x:c>
      <x:c r="D8" s="66" t="n">
        <x:f>CAPEX!D9</x:f>
        <x:v>0</x:v>
      </x:c>
      <x:c r="E8" s="66" t="n">
        <x:f>CAPEX!E9</x:f>
        <x:v>1</x:v>
      </x:c>
      <x:c r="F8" s="66" t="n">
        <x:f>CAPEX!F9</x:f>
        <x:v>2</x:v>
      </x:c>
      <x:c r="G8" s="66" t="n">
        <x:f>CAPEX!G9</x:f>
        <x:v>3</x:v>
      </x:c>
      <x:c r="H8" s="66" t="n">
        <x:f>CAPEX!H9</x:f>
        <x:v>4</x:v>
      </x:c>
      <x:c r="I8" s="66" t="n">
        <x:f>CAPEX!I9</x:f>
        <x:v>5</x:v>
      </x:c>
      <x:c r="J8" s="66" t="n">
        <x:f>CAPEX!J9</x:f>
        <x:v>6</x:v>
      </x:c>
      <x:c r="K8" s="66" t="n">
        <x:f>CAPEX!K9</x:f>
        <x:v>7</x:v>
      </x:c>
      <x:c r="L8" s="66" t="n">
        <x:f>CAPEX!L9</x:f>
        <x:v>8</x:v>
      </x:c>
      <x:c r="M8" s="66" t="n">
        <x:f>CAPEX!M9</x:f>
        <x:v>9</x:v>
      </x:c>
      <x:c r="N8" s="66" t="n">
        <x:f>CAPEX!N9</x:f>
        <x:v>10</x:v>
      </x:c>
      <x:c r="O8" s="66" t="n">
        <x:f>CAPEX!O9</x:f>
        <x:v>11</x:v>
      </x:c>
      <x:c r="P8" s="66" t="n">
        <x:f>CAPEX!P9</x:f>
        <x:v>12</x:v>
      </x:c>
      <x:c r="Q8" s="66" t="n">
        <x:f>CAPEX!Q9</x:f>
        <x:v>13</x:v>
      </x:c>
      <x:c r="R8" s="66" t="n">
        <x:f>CAPEX!R9</x:f>
        <x:v>14</x:v>
      </x:c>
      <x:c r="S8" s="66" t="n">
        <x:f>CAPEX!S9</x:f>
        <x:v>15</x:v>
      </x:c>
      <x:c r="T8" s="66" t="n">
        <x:f>CAPEX!T9</x:f>
        <x:v>16</x:v>
      </x:c>
      <x:c r="U8" s="66" t="n">
        <x:f>CAPEX!U9</x:f>
        <x:v>17</x:v>
      </x:c>
      <x:c r="V8" s="66" t="n">
        <x:f>CAPEX!V9</x:f>
        <x:v>18</x:v>
      </x:c>
      <x:c r="W8" s="66" t="n">
        <x:f>CAPEX!W9</x:f>
        <x:v>19</x:v>
      </x:c>
      <x:c r="X8" s="66" t="n">
        <x:f>CAPEX!X9</x:f>
        <x:v>20</x:v>
      </x:c>
      <x:c r="Y8" s="66" t="n">
        <x:f>CAPEX!Y9</x:f>
        <x:v>0</x:v>
      </x:c>
      <x:c r="Z8" s="66" t="n">
        <x:f>CAPEX!Z9</x:f>
        <x:v>0</x:v>
      </x:c>
      <x:c r="AA8" s="66" t="n">
        <x:f>CAPEX!AA9</x:f>
        <x:v>0</x:v>
      </x:c>
      <x:c r="AB8" s="66" t="n">
        <x:f>CAPEX!AB9</x:f>
        <x:v>0</x:v>
      </x:c>
      <x:c r="AC8" s="66" t="n">
        <x:f>CAPEX!AC9</x:f>
        <x:v>0</x:v>
      </x:c>
      <x:c r="AD8" s="66" t="n">
        <x:f>CAPEX!AD9</x:f>
        <x:v>0</x:v>
      </x:c>
      <x:c r="AE8" s="66" t="n">
        <x:f>CAPEX!AE9</x:f>
        <x:v>0</x:v>
      </x:c>
      <x:c r="AF8" s="66" t="n">
        <x:f>CAPEX!AF9</x:f>
        <x:v>0</x:v>
      </x:c>
    </x:row>
    <x:row r="9" ht="15" customHeight="1">
      <x:c r="A9" s="70"/>
      <x:c r="B9" s="70"/>
      <x:c r="C9" s="65"/>
      <x:c r="D9" s="65"/>
      <x:c r="E9" s="65"/>
      <x:c r="F9" s="65"/>
      <x:c r="G9" s="65"/>
      <x:c r="H9" s="65"/>
      <x:c r="I9" s="65"/>
      <x:c r="J9" s="65"/>
      <x:c r="K9" s="65"/>
      <x:c r="L9" s="65"/>
      <x:c r="M9" s="65"/>
      <x:c r="N9" s="65"/>
      <x:c r="O9" s="65"/>
      <x:c r="P9" s="65"/>
      <x:c r="Q9" s="65"/>
      <x:c r="R9" s="65"/>
      <x:c r="S9" s="65"/>
      <x:c r="T9" s="65"/>
      <x:c r="U9" s="65"/>
      <x:c r="V9" s="65"/>
      <x:c r="W9" s="65"/>
      <x:c r="X9" s="65"/>
      <x:c r="Y9" s="65"/>
      <x:c r="Z9" s="65"/>
      <x:c r="AA9" s="65"/>
      <x:c r="AB9" s="65"/>
      <x:c r="AC9" s="65"/>
      <x:c r="AD9" s="65"/>
      <x:c r="AE9" s="65"/>
      <x:c r="AF9" s="65"/>
    </x:row>
    <x:row r="10" ht="15" customHeight="1">
      <x:c r="A10" s="136" t="s">
        <x:v>577</x:v>
      </x:c>
      <x:c r="B10" s="136"/>
      <x:c r="C10" s="137"/>
      <x:c r="D10" s="137"/>
      <x:c r="E10" s="137"/>
      <x:c r="F10" s="137"/>
      <x:c r="G10" s="137"/>
      <x:c r="H10" s="137"/>
      <x:c r="I10" s="137"/>
      <x:c r="J10" s="137"/>
      <x:c r="K10" s="137"/>
      <x:c r="L10" s="137"/>
      <x:c r="M10" s="137"/>
      <x:c r="N10" s="137"/>
      <x:c r="O10" s="137"/>
      <x:c r="P10" s="137"/>
      <x:c r="Q10" s="137"/>
      <x:c r="R10" s="137"/>
      <x:c r="S10" s="137"/>
      <x:c r="T10" s="137"/>
      <x:c r="U10" s="137"/>
      <x:c r="V10" s="137"/>
      <x:c r="W10" s="137"/>
      <x:c r="X10" s="137"/>
      <x:c r="Y10" s="137"/>
      <x:c r="Z10" s="137"/>
      <x:c r="AA10" s="137"/>
      <x:c r="AB10" s="137"/>
      <x:c r="AC10" s="137"/>
      <x:c r="AD10" s="137"/>
      <x:c r="AE10" s="137"/>
      <x:c r="AF10" s="137"/>
    </x:row>
    <x:row r="11" ht="15" customHeight="1">
      <x:c r="A11" s="72" t="s">
        <x:v>578</x:v>
      </x:c>
      <x:c r="B11" s="72" t="s">
        <x:v>579</x:v>
      </x:c>
      <x:c r="C11" s="52" t="n">
        <x:f>Energy_Revenue!C11</x:f>
        <x:v>0</x:v>
      </x:c>
      <x:c r="D11" s="52" t="n">
        <x:f>Energy_Revenue!D11</x:f>
        <x:v>0</x:v>
      </x:c>
      <x:c r="E11" s="52" t="n">
        <x:f>Energy_Revenue!E11</x:f>
        <x:v>473040</x:v>
      </x:c>
      <x:c r="F11" s="52" t="n">
        <x:f>Energy_Revenue!F11</x:f>
        <x:v>472093.92</x:v>
      </x:c>
      <x:c r="G11" s="52" t="n">
        <x:f>Energy_Revenue!G11</x:f>
        <x:v>471149.73216</x:v>
      </x:c>
      <x:c r="H11" s="52" t="n">
        <x:f>Energy_Revenue!H11</x:f>
        <x:v>470207.43269568</x:v>
      </x:c>
      <x:c r="I11" s="52" t="n">
        <x:f>Energy_Revenue!I11</x:f>
        <x:v>469267.0178302886</x:v>
      </x:c>
      <x:c r="J11" s="52" t="n">
        <x:f>Energy_Revenue!J11</x:f>
        <x:v>468328.48379462806</x:v>
      </x:c>
      <x:c r="K11" s="52" t="n">
        <x:f>Energy_Revenue!K11</x:f>
        <x:v>467391.82682703884</x:v>
      </x:c>
      <x:c r="L11" s="52" t="n">
        <x:f>Energy_Revenue!L11</x:f>
        <x:v>466457.04317338474</x:v>
      </x:c>
      <x:c r="M11" s="52" t="n">
        <x:f>Energy_Revenue!M11</x:f>
        <x:v>465524.12908703793</x:v>
      </x:c>
      <x:c r="N11" s="52" t="n">
        <x:f>Energy_Revenue!N11</x:f>
        <x:v>464593.0808288639</x:v>
      </x:c>
      <x:c r="O11" s="52" t="n">
        <x:f>Energy_Revenue!O11</x:f>
        <x:v>463663.89466720616</x:v>
      </x:c>
      <x:c r="P11" s="52" t="n">
        <x:f>Energy_Revenue!P11</x:f>
        <x:v>462736.5668778717</x:v>
      </x:c>
      <x:c r="Q11" s="52" t="n">
        <x:f>Energy_Revenue!Q11</x:f>
        <x:v>461811.093744116</x:v>
      </x:c>
      <x:c r="R11" s="52" t="n">
        <x:f>Energy_Revenue!R11</x:f>
        <x:v>460887.4715566278</x:v>
      </x:c>
      <x:c r="S11" s="52" t="n">
        <x:f>Energy_Revenue!S11</x:f>
        <x:v>459965.6966135145</x:v>
      </x:c>
      <x:c r="T11" s="52" t="n">
        <x:f>Energy_Revenue!T11</x:f>
        <x:v>459045.7652202875</x:v>
      </x:c>
      <x:c r="U11" s="52" t="n">
        <x:f>Energy_Revenue!U11</x:f>
        <x:v>458127.67368984694</x:v>
      </x:c>
      <x:c r="V11" s="52" t="n">
        <x:f>Energy_Revenue!V11</x:f>
        <x:v>457211.41834246716</x:v>
      </x:c>
      <x:c r="W11" s="52" t="n">
        <x:f>Energy_Revenue!W11</x:f>
        <x:v>456296.99550578225</x:v>
      </x:c>
      <x:c r="X11" s="52" t="n">
        <x:f>Energy_Revenue!X11</x:f>
        <x:v>455384.4015147707</x:v>
      </x:c>
      <x:c r="Y11" s="52" t="n">
        <x:f>Energy_Revenue!Y11</x:f>
        <x:v>0</x:v>
      </x:c>
      <x:c r="Z11" s="52" t="n">
        <x:f>Energy_Revenue!Z11</x:f>
        <x:v>0</x:v>
      </x:c>
      <x:c r="AA11" s="52" t="n">
        <x:f>Energy_Revenue!AA11</x:f>
        <x:v>0</x:v>
      </x:c>
      <x:c r="AB11" s="52" t="n">
        <x:f>Energy_Revenue!AB11</x:f>
        <x:v>0</x:v>
      </x:c>
      <x:c r="AC11" s="52" t="n">
        <x:f>Energy_Revenue!AC11</x:f>
        <x:v>0</x:v>
      </x:c>
      <x:c r="AD11" s="52" t="n">
        <x:f>Energy_Revenue!AD11</x:f>
        <x:v>0</x:v>
      </x:c>
      <x:c r="AE11" s="52" t="n">
        <x:f>Energy_Revenue!AE11</x:f>
        <x:v>0</x:v>
      </x:c>
      <x:c r="AF11" s="52" t="n">
        <x:f>Energy_Revenue!AF11</x:f>
        <x:v>0</x:v>
      </x:c>
    </x:row>
    <x:row r="12" ht="15" customHeight="1">
      <x:c r="A12" s="72" t="s">
        <x:v>580</x:v>
      </x:c>
      <x:c r="B12" s="72" t="s">
        <x:v>480</x:v>
      </x:c>
      <x:c r="C12" s="45" t="n">
        <x:f>Energy_Revenue!C16</x:f>
        <x:v>0</x:v>
      </x:c>
      <x:c r="D12" s="45" t="n">
        <x:f>Energy_Revenue!D16</x:f>
        <x:v>0</x:v>
      </x:c>
      <x:c r="E12" s="45" t="n">
        <x:f>Energy_Revenue!E16</x:f>
        <x:v>854.972496</x:v>
      </x:c>
      <x:c r="F12" s="45" t="n">
        <x:f>Energy_Revenue!F16</x:f>
        <x:v>870.3278020281601</x:v>
      </x:c>
      <x:c r="G12" s="45" t="n">
        <x:f>Energy_Revenue!G16</x:f>
        <x:v>885.9588893525859</x:v>
      </x:c>
      <x:c r="H12" s="45" t="n">
        <x:f>Energy_Revenue!H16</x:f>
        <x:v>901.8707110053582</x:v>
      </x:c>
      <x:c r="I12" s="45" t="n">
        <x:f>Energy_Revenue!I16</x:f>
        <x:v>918.0683089750145</x:v>
      </x:c>
      <x:c r="J12" s="45" t="n">
        <x:f>Energy_Revenue!J16</x:f>
        <x:v>934.5568158042058</x:v>
      </x:c>
      <x:c r="K12" s="45" t="n">
        <x:f>Energy_Revenue!K16</x:f>
        <x:v>951.3414562160493</x:v>
      </x:c>
      <x:c r="L12" s="45" t="n">
        <x:f>Energy_Revenue!L16</x:f>
        <x:v>968.4275487696893</x:v>
      </x:c>
      <x:c r="M12" s="45" t="n">
        <x:f>Energy_Revenue!M16</x:f>
        <x:v>985.8205075455932</x:v>
      </x:c>
      <x:c r="N12" s="45" t="n">
        <x:f>Energy_Revenue!N16</x:f>
        <x:v>1003.5258438611121</x:v>
      </x:c>
      <x:c r="O12" s="45" t="n">
        <x:f>Energy_Revenue!O16</x:f>
        <x:v>1021.5491680168577</x:v>
      </x:c>
      <x:c r="P12" s="45" t="n">
        <x:f>Energy_Revenue!P16</x:f>
        <x:v>1039.8961910744401</x:v>
      </x:c>
      <x:c r="Q12" s="45" t="n">
        <x:f>Energy_Revenue!Q16</x:f>
        <x:v>1058.5727266661374</x:v>
      </x:c>
      <x:c r="R12" s="45" t="n">
        <x:f>Energy_Revenue!R16</x:f>
        <x:v>1077.5846928370609</x:v>
      </x:c>
      <x:c r="S12" s="45" t="n">
        <x:f>Energy_Revenue!S16</x:f>
        <x:v>1096.938113920415</x:v>
      </x:c>
      <x:c r="T12" s="45" t="n">
        <x:f>Energy_Revenue!T16</x:f>
        <x:v>1116.6391224464253</x:v>
      </x:c>
      <x:c r="U12" s="45" t="n">
        <x:f>Energy_Revenue!U16</x:f>
        <x:v>1136.6939610855632</x:v>
      </x:c>
      <x:c r="V12" s="45" t="n">
        <x:f>Energy_Revenue!V16</x:f>
        <x:v>1157.1089846266602</x:v>
      </x:c>
      <x:c r="W12" s="45" t="n">
        <x:f>Energy_Revenue!W16</x:f>
        <x:v>1177.8906619905545</x:v>
      </x:c>
      <x:c r="X12" s="45" t="n">
        <x:f>Energy_Revenue!X16</x:f>
        <x:v>1199.0455782799047</x:v>
      </x:c>
      <x:c r="Y12" s="45" t="n">
        <x:f>Energy_Revenue!Y16</x:f>
        <x:v>0</x:v>
      </x:c>
      <x:c r="Z12" s="45" t="n">
        <x:f>Energy_Revenue!Z16</x:f>
        <x:v>0</x:v>
      </x:c>
      <x:c r="AA12" s="45" t="n">
        <x:f>Energy_Revenue!AA16</x:f>
        <x:v>0</x:v>
      </x:c>
      <x:c r="AB12" s="45" t="n">
        <x:f>Energy_Revenue!AB16</x:f>
        <x:v>0</x:v>
      </x:c>
      <x:c r="AC12" s="45" t="n">
        <x:f>Energy_Revenue!AC16</x:f>
        <x:v>0</x:v>
      </x:c>
      <x:c r="AD12" s="45" t="n">
        <x:f>Energy_Revenue!AD16</x:f>
        <x:v>0</x:v>
      </x:c>
      <x:c r="AE12" s="45" t="n">
        <x:f>Energy_Revenue!AE16</x:f>
        <x:v>0</x:v>
      </x:c>
      <x:c r="AF12" s="45" t="n">
        <x:f>Energy_Revenue!AF16</x:f>
        <x:v>0</x:v>
      </x:c>
    </x:row>
    <x:row r="13" ht="15" customHeight="1">
      <x:c r="A13" s="72" t="s">
        <x:v>581</x:v>
      </x:c>
      <x:c r="B13" s="72" t="s">
        <x:v>482</x:v>
      </x:c>
      <x:c r="C13" s="45" t="n">
        <x:f>Energy_Revenue!C19</x:f>
        <x:v>0</x:v>
      </x:c>
      <x:c r="D13" s="45" t="n">
        <x:f>Energy_Revenue!D19</x:f>
        <x:v>0</x:v>
      </x:c>
      <x:c r="E13" s="45" t="n">
        <x:f>Energy_Revenue!E19</x:f>
        <x:v>122.3</x:v>
      </x:c>
      <x:c r="F13" s="45" t="n">
        <x:f>Energy_Revenue!F19</x:f>
        <x:v>124.746</x:v>
      </x:c>
      <x:c r="G13" s="45" t="n">
        <x:f>Energy_Revenue!G19</x:f>
        <x:v>127.24092</x:v>
      </x:c>
      <x:c r="H13" s="45" t="n">
        <x:f>Energy_Revenue!H19</x:f>
        <x:v>129.7857384</x:v>
      </x:c>
      <x:c r="I13" s="45" t="n">
        <x:f>Energy_Revenue!I19</x:f>
        <x:v>132.381453168</x:v>
      </x:c>
      <x:c r="J13" s="45" t="n">
        <x:f>Energy_Revenue!J19</x:f>
        <x:v>135.02908223136</x:v>
      </x:c>
      <x:c r="K13" s="45" t="n">
        <x:f>Energy_Revenue!K19</x:f>
        <x:v>137.7296638759872</x:v>
      </x:c>
      <x:c r="L13" s="45" t="n">
        <x:f>Energy_Revenue!L19</x:f>
        <x:v>140.48425715350695</x:v>
      </x:c>
      <x:c r="M13" s="45" t="n">
        <x:f>Energy_Revenue!M19</x:f>
        <x:v>143.2939422965771</x:v>
      </x:c>
      <x:c r="N13" s="45" t="n">
        <x:f>Energy_Revenue!N19</x:f>
        <x:v>146.15982114250863</x:v>
      </x:c>
      <x:c r="O13" s="45" t="n">
        <x:f>Energy_Revenue!O19</x:f>
        <x:v>149.08301756535883</x:v>
      </x:c>
      <x:c r="P13" s="45" t="n">
        <x:f>Energy_Revenue!P19</x:f>
        <x:v>152.064677916666</x:v>
      </x:c>
      <x:c r="Q13" s="45" t="n">
        <x:f>Energy_Revenue!Q19</x:f>
        <x:v>155.1059714749993</x:v>
      </x:c>
      <x:c r="R13" s="45" t="n">
        <x:f>Energy_Revenue!R19</x:f>
        <x:v>158.2080909044993</x:v>
      </x:c>
      <x:c r="S13" s="45" t="n">
        <x:f>Energy_Revenue!S19</x:f>
        <x:v>161.37225272258928</x:v>
      </x:c>
      <x:c r="T13" s="45" t="n">
        <x:f>Energy_Revenue!T19</x:f>
        <x:v>164.5996977770411</x:v>
      </x:c>
      <x:c r="U13" s="45" t="n">
        <x:f>Energy_Revenue!U19</x:f>
        <x:v>167.8916917325819</x:v>
      </x:c>
      <x:c r="V13" s="45" t="n">
        <x:f>Energy_Revenue!V19</x:f>
        <x:v>171.24952556723355</x:v>
      </x:c>
      <x:c r="W13" s="45" t="n">
        <x:f>Energy_Revenue!W19</x:f>
        <x:v>174.67451607857822</x:v>
      </x:c>
      <x:c r="X13" s="45" t="n">
        <x:f>Energy_Revenue!X19</x:f>
        <x:v>178.16800640014978</x:v>
      </x:c>
      <x:c r="Y13" s="45" t="n">
        <x:f>Energy_Revenue!Y19</x:f>
        <x:v>0</x:v>
      </x:c>
      <x:c r="Z13" s="45" t="n">
        <x:f>Energy_Revenue!Z19</x:f>
        <x:v>0</x:v>
      </x:c>
      <x:c r="AA13" s="45" t="n">
        <x:f>Energy_Revenue!AA19</x:f>
        <x:v>0</x:v>
      </x:c>
      <x:c r="AB13" s="45" t="n">
        <x:f>Energy_Revenue!AB19</x:f>
        <x:v>0</x:v>
      </x:c>
      <x:c r="AC13" s="45" t="n">
        <x:f>Energy_Revenue!AC19</x:f>
        <x:v>0</x:v>
      </x:c>
      <x:c r="AD13" s="45" t="n">
        <x:f>Energy_Revenue!AD19</x:f>
        <x:v>0</x:v>
      </x:c>
      <x:c r="AE13" s="45" t="n">
        <x:f>Energy_Revenue!AE19</x:f>
        <x:v>0</x:v>
      </x:c>
      <x:c r="AF13" s="45" t="n">
        <x:f>Energy_Revenue!AF19</x:f>
        <x:v>0</x:v>
      </x:c>
    </x:row>
    <x:row r="14" ht="15" customHeight="1">
      <x:c r="A14" s="72" t="s">
        <x:v>582</x:v>
      </x:c>
      <x:c r="B14" s="73" t="s">
        <x:v>47</x:v>
      </x:c>
      <x:c r="C14" s="44" t="n">
        <x:f t="shared" ref="C14:AF14" si="0">C12-C13</x:f>
        <x:v>0</x:v>
      </x:c>
      <x:c r="D14" s="44">
        <x:f t="shared" si="0"/>
        <x:v>0</x:v>
      </x:c>
      <x:c r="E14" s="44">
        <x:f t="shared" si="0"/>
        <x:v>732.67249600000002</x:v>
      </x:c>
      <x:c r="F14" s="44">
        <x:f t="shared" si="0"/>
        <x:v>745.58180202816015</x:v>
      </x:c>
      <x:c r="G14" s="44">
        <x:f t="shared" si="0"/>
        <x:v>758.7179693525859</x:v>
      </x:c>
      <x:c r="H14" s="44">
        <x:f t="shared" si="0"/>
        <x:v>772.08497260535819</x:v>
      </x:c>
      <x:c r="I14" s="44">
        <x:f t="shared" si="0"/>
        <x:v>785.68685580701447</x:v>
      </x:c>
      <x:c r="J14" s="44">
        <x:f t="shared" si="0"/>
        <x:v>799.52773357284582</x:v>
      </x:c>
      <x:c r="K14" s="44">
        <x:f t="shared" si="0"/>
        <x:v>813.61179234006215</x:v>
      </x:c>
      <x:c r="L14" s="44">
        <x:f t="shared" si="0"/>
        <x:v>827.94329161618248</x:v>
      </x:c>
      <x:c r="M14" s="44">
        <x:f t="shared" si="0"/>
        <x:v>842.52656524901613</x:v>
      </x:c>
      <x:c r="N14" s="44">
        <x:f t="shared" si="0"/>
        <x:v>857.36602271860352</x:v>
      </x:c>
      <x:c r="O14" s="44">
        <x:f t="shared" si="0"/>
        <x:v>872.46615045149895</x:v>
      </x:c>
      <x:c r="P14" s="44">
        <x:f t="shared" si="0"/>
        <x:v>887.83151315777422</x:v>
      </x:c>
      <x:c r="Q14" s="44">
        <x:f t="shared" si="0"/>
        <x:v>903.46675519113819</x:v>
      </x:c>
      <x:c r="R14" s="44">
        <x:f t="shared" si="0"/>
        <x:v>919.37660193256158</x:v>
      </x:c>
      <x:c r="S14" s="44">
        <x:f t="shared" si="0"/>
        <x:v>935.56586119782571</x:v>
      </x:c>
      <x:c r="T14" s="44">
        <x:f t="shared" si="0"/>
        <x:v>952.03942466938429</x:v>
      </x:c>
      <x:c r="U14" s="44">
        <x:f t="shared" si="0"/>
        <x:v>968.80226935298128</x:v>
      </x:c>
      <x:c r="V14" s="44">
        <x:f t="shared" si="0"/>
        <x:v>985.85945905942674</x:v>
      </x:c>
      <x:c r="W14" s="44">
        <x:f t="shared" si="0"/>
        <x:v>1003.2161459119764</x:v>
      </x:c>
      <x:c r="X14" s="44">
        <x:f t="shared" si="0"/>
        <x:v>1020.877571879755</x:v>
      </x:c>
      <x:c r="Y14" s="44">
        <x:f t="shared" si="0"/>
        <x:v>0</x:v>
      </x:c>
      <x:c r="Z14" s="44">
        <x:f t="shared" si="0"/>
        <x:v>0</x:v>
      </x:c>
      <x:c r="AA14" s="44">
        <x:f t="shared" si="0"/>
        <x:v>0</x:v>
      </x:c>
      <x:c r="AB14" s="44">
        <x:f t="shared" si="0"/>
        <x:v>0</x:v>
      </x:c>
      <x:c r="AC14" s="44">
        <x:f t="shared" si="0"/>
        <x:v>0</x:v>
      </x:c>
      <x:c r="AD14" s="44">
        <x:f t="shared" si="0"/>
        <x:v>0</x:v>
      </x:c>
      <x:c r="AE14" s="44">
        <x:f t="shared" si="0"/>
        <x:v>0</x:v>
      </x:c>
      <x:c r="AF14" s="44">
        <x:f t="shared" si="0"/>
        <x:v>0</x:v>
      </x:c>
    </x:row>
    <x:row r="15" ht="15" customHeight="1">
      <x:c r="A15" s="72" t="s">
        <x:v>583</x:v>
      </x:c>
      <x:c r="B15" s="72" t="s">
        <x:v>37</x:v>
      </x:c>
      <x:c r="C15" s="45" t="n">
        <x:f>Dep_Tax!C12</x:f>
        <x:v>0</x:v>
      </x:c>
      <x:c r="D15" s="45" t="n">
        <x:f>Dep_Tax!D12</x:f>
        <x:v>0</x:v>
      </x:c>
      <x:c r="E15" s="45" t="n">
        <x:f>Dep_Tax!E12</x:f>
        <x:v>325.01225</x:v>
      </x:c>
      <x:c r="F15" s="45" t="n">
        <x:f>Dep_Tax!F12</x:f>
        <x:v>325.01225</x:v>
      </x:c>
      <x:c r="G15" s="45" t="n">
        <x:f>Dep_Tax!G12</x:f>
        <x:v>325.01225</x:v>
      </x:c>
      <x:c r="H15" s="45" t="n">
        <x:f>Dep_Tax!H12</x:f>
        <x:v>325.01225</x:v>
      </x:c>
      <x:c r="I15" s="45" t="n">
        <x:f>Dep_Tax!I12</x:f>
        <x:v>325.01225</x:v>
      </x:c>
      <x:c r="J15" s="45" t="n">
        <x:f>Dep_Tax!J12</x:f>
        <x:v>325.01225</x:v>
      </x:c>
      <x:c r="K15" s="45" t="n">
        <x:f>Dep_Tax!K12</x:f>
        <x:v>325.01225</x:v>
      </x:c>
      <x:c r="L15" s="45" t="n">
        <x:f>Dep_Tax!L12</x:f>
        <x:v>325.01225</x:v>
      </x:c>
      <x:c r="M15" s="45" t="n">
        <x:f>Dep_Tax!M12</x:f>
        <x:v>325.01225</x:v>
      </x:c>
      <x:c r="N15" s="45" t="n">
        <x:f>Dep_Tax!N12</x:f>
        <x:v>325.01225</x:v>
      </x:c>
      <x:c r="O15" s="45" t="n">
        <x:f>Dep_Tax!O12</x:f>
        <x:v>325.01225</x:v>
      </x:c>
      <x:c r="P15" s="45" t="n">
        <x:f>Dep_Tax!P12</x:f>
        <x:v>325.01225</x:v>
      </x:c>
      <x:c r="Q15" s="45" t="n">
        <x:f>Dep_Tax!Q12</x:f>
        <x:v>325.01225</x:v>
      </x:c>
      <x:c r="R15" s="45" t="n">
        <x:f>Dep_Tax!R12</x:f>
        <x:v>325.01225</x:v>
      </x:c>
      <x:c r="S15" s="45" t="n">
        <x:f>Dep_Tax!S12</x:f>
        <x:v>325.01225</x:v>
      </x:c>
      <x:c r="T15" s="45" t="n">
        <x:f>Dep_Tax!T12</x:f>
        <x:v>325.01225</x:v>
      </x:c>
      <x:c r="U15" s="45" t="n">
        <x:f>Dep_Tax!U12</x:f>
        <x:v>325.01225</x:v>
      </x:c>
      <x:c r="V15" s="45" t="n">
        <x:f>Dep_Tax!V12</x:f>
        <x:v>325.01225</x:v>
      </x:c>
      <x:c r="W15" s="45" t="n">
        <x:f>Dep_Tax!W12</x:f>
        <x:v>325.01225</x:v>
      </x:c>
      <x:c r="X15" s="45" t="n">
        <x:f>Dep_Tax!X12</x:f>
        <x:v>325.01225</x:v>
      </x:c>
      <x:c r="Y15" s="45" t="n">
        <x:f>Dep_Tax!Y12</x:f>
        <x:v>0</x:v>
      </x:c>
      <x:c r="Z15" s="45" t="n">
        <x:f>Dep_Tax!Z12</x:f>
        <x:v>0</x:v>
      </x:c>
      <x:c r="AA15" s="45" t="n">
        <x:f>Dep_Tax!AA12</x:f>
        <x:v>0</x:v>
      </x:c>
      <x:c r="AB15" s="45" t="n">
        <x:f>Dep_Tax!AB12</x:f>
        <x:v>0</x:v>
      </x:c>
      <x:c r="AC15" s="45" t="n">
        <x:f>Dep_Tax!AC12</x:f>
        <x:v>0</x:v>
      </x:c>
      <x:c r="AD15" s="45" t="n">
        <x:f>Dep_Tax!AD12</x:f>
        <x:v>0</x:v>
      </x:c>
      <x:c r="AE15" s="45" t="n">
        <x:f>Dep_Tax!AE12</x:f>
        <x:v>0</x:v>
      </x:c>
      <x:c r="AF15" s="45" t="n">
        <x:f>Dep_Tax!AF12</x:f>
        <x:v>0</x:v>
      </x:c>
    </x:row>
    <x:row r="16" ht="15" customHeight="1">
      <x:c r="A16" s="72" t="s">
        <x:v>584</x:v>
      </x:c>
      <x:c r="B16" s="72" t="s">
        <x:v>43</x:v>
      </x:c>
      <x:c r="C16" s="45" t="n">
        <x:f t="shared" ref="C16:AF16" si="1">C14-C15</x:f>
        <x:v>0</x:v>
      </x:c>
      <x:c r="D16" s="45">
        <x:f t="shared" si="1"/>
        <x:v>0</x:v>
      </x:c>
      <x:c r="E16" s="45">
        <x:f t="shared" si="1"/>
        <x:v>407.66024600000003</x:v>
      </x:c>
      <x:c r="F16" s="45">
        <x:f t="shared" si="1"/>
        <x:v>420.56955202816016</x:v>
      </x:c>
      <x:c r="G16" s="45">
        <x:f t="shared" si="1"/>
        <x:v>433.7057193525859</x:v>
      </x:c>
      <x:c r="H16" s="45">
        <x:f t="shared" si="1"/>
        <x:v>447.07272260535819</x:v>
      </x:c>
      <x:c r="I16" s="45">
        <x:f t="shared" si="1"/>
        <x:v>460.67460580701447</x:v>
      </x:c>
      <x:c r="J16" s="45">
        <x:f t="shared" si="1"/>
        <x:v>474.51548357284582</x:v>
      </x:c>
      <x:c r="K16" s="45">
        <x:f t="shared" si="1"/>
        <x:v>488.59954234006216</x:v>
      </x:c>
      <x:c r="L16" s="45">
        <x:f t="shared" si="1"/>
        <x:v>502.93104161618248</x:v>
      </x:c>
      <x:c r="M16" s="45">
        <x:f t="shared" si="1"/>
        <x:v>517.51431524901614</x:v>
      </x:c>
      <x:c r="N16" s="45">
        <x:f t="shared" si="1"/>
        <x:v>532.35377271860352</x:v>
      </x:c>
      <x:c r="O16" s="45">
        <x:f t="shared" si="1"/>
        <x:v>547.45390045149895</x:v>
      </x:c>
      <x:c r="P16" s="45">
        <x:f t="shared" si="1"/>
        <x:v>562.81926315777423</x:v>
      </x:c>
      <x:c r="Q16" s="45">
        <x:f t="shared" si="1"/>
        <x:v>578.4545051911382</x:v>
      </x:c>
      <x:c r="R16" s="45">
        <x:f t="shared" si="1"/>
        <x:v>594.36435193256159</x:v>
      </x:c>
      <x:c r="S16" s="45">
        <x:f t="shared" si="1"/>
        <x:v>610.55361119782572</x:v>
      </x:c>
      <x:c r="T16" s="45">
        <x:f t="shared" si="1"/>
        <x:v>627.02717466938429</x:v>
      </x:c>
      <x:c r="U16" s="45">
        <x:f t="shared" si="1"/>
        <x:v>643.79001935298129</x:v>
      </x:c>
      <x:c r="V16" s="45">
        <x:f t="shared" si="1"/>
        <x:v>660.84720905942675</x:v>
      </x:c>
      <x:c r="W16" s="45">
        <x:f t="shared" si="1"/>
        <x:v>678.20389591197636</x:v>
      </x:c>
      <x:c r="X16" s="45">
        <x:f t="shared" si="1"/>
        <x:v>695.86532187975502</x:v>
      </x:c>
      <x:c r="Y16" s="45">
        <x:f t="shared" si="1"/>
        <x:v>0</x:v>
      </x:c>
      <x:c r="Z16" s="45">
        <x:f t="shared" si="1"/>
        <x:v>0</x:v>
      </x:c>
      <x:c r="AA16" s="45">
        <x:f t="shared" si="1"/>
        <x:v>0</x:v>
      </x:c>
      <x:c r="AB16" s="45">
        <x:f t="shared" si="1"/>
        <x:v>0</x:v>
      </x:c>
      <x:c r="AC16" s="45">
        <x:f t="shared" si="1"/>
        <x:v>0</x:v>
      </x:c>
      <x:c r="AD16" s="45">
        <x:f t="shared" si="1"/>
        <x:v>0</x:v>
      </x:c>
      <x:c r="AE16" s="45">
        <x:f t="shared" si="1"/>
        <x:v>0</x:v>
      </x:c>
      <x:c r="AF16" s="45">
        <x:f t="shared" si="1"/>
        <x:v>0</x:v>
      </x:c>
    </x:row>
    <x:row r="17" ht="15" customHeight="1">
      <x:c r="A17" s="72" t="s">
        <x:v>585</x:v>
      </x:c>
      <x:c r="B17" s="72" t="s">
        <x:v>586</x:v>
      </x:c>
      <x:c r="C17" s="45" t="n">
        <x:f>MAX(0,C16)*Dep_Tax!C24</x:f>
        <x:v>0</x:v>
      </x:c>
      <x:c r="D17" s="45" t="n">
        <x:f>MAX(0,D16)*Dep_Tax!D24</x:f>
        <x:v>0</x:v>
      </x:c>
      <x:c r="E17" s="45" t="n">
        <x:f>MAX(0,E16)*Dep_Tax!E24</x:f>
        <x:v>0</x:v>
      </x:c>
      <x:c r="F17" s="45" t="n">
        <x:f>MAX(0,F16)*Dep_Tax!F24</x:f>
        <x:v>0</x:v>
      </x:c>
      <x:c r="G17" s="45" t="n">
        <x:f>MAX(0,G16)*Dep_Tax!G24</x:f>
        <x:v>0</x:v>
      </x:c>
      <x:c r="H17" s="45" t="n">
        <x:f>MAX(0,H16)*Dep_Tax!H24</x:f>
        <x:v>0</x:v>
      </x:c>
      <x:c r="I17" s="45" t="n">
        <x:f>MAX(0,I16)*Dep_Tax!I24</x:f>
        <x:v>23.033730290350725</x:v>
      </x:c>
      <x:c r="J17" s="45" t="n">
        <x:f>MAX(0,J16)*Dep_Tax!J24</x:f>
        <x:v>23.725774178642293</x:v>
      </x:c>
      <x:c r="K17" s="45" t="n">
        <x:f>MAX(0,K16)*Dep_Tax!K24</x:f>
        <x:v>24.42997711700311</x:v>
      </x:c>
      <x:c r="L17" s="45" t="n">
        <x:f>MAX(0,L16)*Dep_Tax!L24</x:f>
        <x:v>25.146552080809126</x:v>
      </x:c>
      <x:c r="M17" s="45" t="n">
        <x:f>MAX(0,M16)*Dep_Tax!M24</x:f>
        <x:v>25.87571576245081</x:v>
      </x:c>
      <x:c r="N17" s="45" t="n">
        <x:f>MAX(0,N16)*Dep_Tax!N24</x:f>
        <x:v>26.61768863593018</x:v>
      </x:c>
      <x:c r="O17" s="45" t="n">
        <x:f>MAX(0,O16)*Dep_Tax!O24</x:f>
        <x:v>27.37269502257495</x:v>
      </x:c>
      <x:c r="P17" s="45" t="n">
        <x:f>MAX(0,P16)*Dep_Tax!P24</x:f>
        <x:v>28.140963157888713</x:v>
      </x:c>
      <x:c r="Q17" s="45" t="n">
        <x:f>MAX(0,Q16)*Dep_Tax!Q24</x:f>
        <x:v>28.922725259556913</x:v>
      </x:c>
      <x:c r="R17" s="45" t="n">
        <x:f>MAX(0,R16)*Dep_Tax!R24</x:f>
        <x:v>59.43643519325616</x:v>
      </x:c>
      <x:c r="S17" s="45" t="n">
        <x:f>MAX(0,S16)*Dep_Tax!S24</x:f>
        <x:v>61.055361119782575</x:v>
      </x:c>
      <x:c r="T17" s="45" t="n">
        <x:f>MAX(0,T16)*Dep_Tax!T24</x:f>
        <x:v>125.40543493387686</x:v>
      </x:c>
      <x:c r="U17" s="45" t="n">
        <x:f>MAX(0,U16)*Dep_Tax!U24</x:f>
        <x:v>128.75800387059627</x:v>
      </x:c>
      <x:c r="V17" s="45" t="n">
        <x:f>MAX(0,V16)*Dep_Tax!V24</x:f>
        <x:v>132.16944181188535</x:v>
      </x:c>
      <x:c r="W17" s="45" t="n">
        <x:f>MAX(0,W16)*Dep_Tax!W24</x:f>
        <x:v>135.64077918239528</x:v>
      </x:c>
      <x:c r="X17" s="45" t="n">
        <x:f>MAX(0,X16)*Dep_Tax!X24</x:f>
        <x:v>139.17306437595101</x:v>
      </x:c>
      <x:c r="Y17" s="45" t="n">
        <x:f>MAX(0,Y16)*Dep_Tax!Y24</x:f>
        <x:v>0</x:v>
      </x:c>
      <x:c r="Z17" s="45" t="n">
        <x:f>MAX(0,Z16)*Dep_Tax!Z24</x:f>
        <x:v>0</x:v>
      </x:c>
      <x:c r="AA17" s="45" t="n">
        <x:f>MAX(0,AA16)*Dep_Tax!AA24</x:f>
        <x:v>0</x:v>
      </x:c>
      <x:c r="AB17" s="45" t="n">
        <x:f>MAX(0,AB16)*Dep_Tax!AB24</x:f>
        <x:v>0</x:v>
      </x:c>
      <x:c r="AC17" s="45" t="n">
        <x:f>MAX(0,AC16)*Dep_Tax!AC24</x:f>
        <x:v>0</x:v>
      </x:c>
      <x:c r="AD17" s="45" t="n">
        <x:f>MAX(0,AD16)*Dep_Tax!AD24</x:f>
        <x:v>0</x:v>
      </x:c>
      <x:c r="AE17" s="45" t="n">
        <x:f>MAX(0,AE16)*Dep_Tax!AE24</x:f>
        <x:v>0</x:v>
      </x:c>
      <x:c r="AF17" s="45" t="n">
        <x:f>MAX(0,AF16)*Dep_Tax!AF24</x:f>
        <x:v>0</x:v>
      </x:c>
    </x:row>
    <x:row r="18" ht="15" customHeight="1">
      <x:c r="A18" s="72" t="s">
        <x:v>587</x:v>
      </x:c>
      <x:c r="B18" s="73" t="s">
        <x:v>19</x:v>
      </x:c>
      <x:c r="C18" s="44" t="n">
        <x:f t="shared" ref="C18:AF18" si="2">C14-C17</x:f>
        <x:v>0</x:v>
      </x:c>
      <x:c r="D18" s="44">
        <x:f t="shared" si="2"/>
        <x:v>0</x:v>
      </x:c>
      <x:c r="E18" s="44">
        <x:f t="shared" si="2"/>
        <x:v>732.67249600000002</x:v>
      </x:c>
      <x:c r="F18" s="44">
        <x:f t="shared" si="2"/>
        <x:v>745.58180202816015</x:v>
      </x:c>
      <x:c r="G18" s="44">
        <x:f t="shared" si="2"/>
        <x:v>758.7179693525859</x:v>
      </x:c>
      <x:c r="H18" s="44">
        <x:f t="shared" si="2"/>
        <x:v>772.08497260535819</x:v>
      </x:c>
      <x:c r="I18" s="44">
        <x:f t="shared" si="2"/>
        <x:v>762.65312551666375</x:v>
      </x:c>
      <x:c r="J18" s="44">
        <x:f t="shared" si="2"/>
        <x:v>775.80195939420355</x:v>
      </x:c>
      <x:c r="K18" s="44">
        <x:f t="shared" si="2"/>
        <x:v>789.18181522305906</x:v>
      </x:c>
      <x:c r="L18" s="44">
        <x:f t="shared" si="2"/>
        <x:v>802.79673953537338</x:v>
      </x:c>
      <x:c r="M18" s="44">
        <x:f t="shared" si="2"/>
        <x:v>816.65084948656533</x:v>
      </x:c>
      <x:c r="N18" s="44">
        <x:f t="shared" si="2"/>
        <x:v>830.7483340826733</x:v>
      </x:c>
      <x:c r="O18" s="44">
        <x:f t="shared" si="2"/>
        <x:v>845.09345542892402</x:v>
      </x:c>
      <x:c r="P18" s="44">
        <x:f t="shared" si="2"/>
        <x:v>859.69054999988555</x:v>
      </x:c>
      <x:c r="Q18" s="44">
        <x:f t="shared" si="2"/>
        <x:v>874.54402993158124</x:v>
      </x:c>
      <x:c r="R18" s="44">
        <x:f t="shared" si="2"/>
        <x:v>859.94016673930537</x:v>
      </x:c>
      <x:c r="S18" s="44">
        <x:f t="shared" si="2"/>
        <x:v>874.51050007804315</x:v>
      </x:c>
      <x:c r="T18" s="44">
        <x:f t="shared" si="2"/>
        <x:v>826.63398973550738</x:v>
      </x:c>
      <x:c r="U18" s="44">
        <x:f t="shared" si="2"/>
        <x:v>840.04426548238507</x:v>
      </x:c>
      <x:c r="V18" s="44">
        <x:f t="shared" si="2"/>
        <x:v>853.69001724754139</x:v>
      </x:c>
      <x:c r="W18" s="44">
        <x:f t="shared" si="2"/>
        <x:v>867.57536672958111</x:v>
      </x:c>
      <x:c r="X18" s="44">
        <x:f t="shared" si="2"/>
        <x:v>881.70450750380405</x:v>
      </x:c>
      <x:c r="Y18" s="44">
        <x:f t="shared" si="2"/>
        <x:v>0</x:v>
      </x:c>
      <x:c r="Z18" s="44">
        <x:f t="shared" si="2"/>
        <x:v>0</x:v>
      </x:c>
      <x:c r="AA18" s="44">
        <x:f t="shared" si="2"/>
        <x:v>0</x:v>
      </x:c>
      <x:c r="AB18" s="44">
        <x:f t="shared" si="2"/>
        <x:v>0</x:v>
      </x:c>
      <x:c r="AC18" s="44">
        <x:f t="shared" si="2"/>
        <x:v>0</x:v>
      </x:c>
      <x:c r="AD18" s="44">
        <x:f t="shared" si="2"/>
        <x:v>0</x:v>
      </x:c>
      <x:c r="AE18" s="44">
        <x:f t="shared" si="2"/>
        <x:v>0</x:v>
      </x:c>
      <x:c r="AF18" s="44">
        <x:f t="shared" si="2"/>
        <x:v>0</x:v>
      </x:c>
    </x:row>
    <x:row r="19" ht="15" customHeight="1">
      <x:c r="A19" s="70"/>
      <x:c r="B19" s="70"/>
      <x:c r="C19" s="65"/>
      <x:c r="D19" s="65"/>
      <x:c r="E19" s="65"/>
      <x:c r="F19" s="65"/>
      <x:c r="G19" s="65"/>
      <x:c r="H19" s="65"/>
      <x:c r="I19" s="65"/>
      <x:c r="J19" s="65"/>
      <x:c r="K19" s="65"/>
      <x:c r="L19" s="65"/>
      <x:c r="M19" s="65"/>
      <x:c r="N19" s="65"/>
      <x:c r="O19" s="65"/>
      <x:c r="P19" s="65"/>
      <x:c r="Q19" s="65"/>
      <x:c r="R19" s="65"/>
      <x:c r="S19" s="65"/>
      <x:c r="T19" s="65"/>
      <x:c r="U19" s="65"/>
      <x:c r="V19" s="65"/>
      <x:c r="W19" s="65"/>
      <x:c r="X19" s="65"/>
      <x:c r="Y19" s="65"/>
      <x:c r="Z19" s="65"/>
      <x:c r="AA19" s="65"/>
      <x:c r="AB19" s="65"/>
      <x:c r="AC19" s="65"/>
      <x:c r="AD19" s="65"/>
      <x:c r="AE19" s="65"/>
      <x:c r="AF19" s="65"/>
    </x:row>
    <x:row r="20" ht="15" customHeight="1">
      <x:c r="A20" s="136" t="s">
        <x:v>588</x:v>
      </x:c>
      <x:c r="B20" s="136"/>
      <x:c r="C20" s="137"/>
      <x:c r="D20" s="137"/>
      <x:c r="E20" s="137"/>
      <x:c r="F20" s="137"/>
      <x:c r="G20" s="137"/>
      <x:c r="H20" s="137"/>
      <x:c r="I20" s="137"/>
      <x:c r="J20" s="137"/>
      <x:c r="K20" s="137"/>
      <x:c r="L20" s="137"/>
      <x:c r="M20" s="137"/>
      <x:c r="N20" s="137"/>
      <x:c r="O20" s="137"/>
      <x:c r="P20" s="137"/>
      <x:c r="Q20" s="137"/>
      <x:c r="R20" s="137"/>
      <x:c r="S20" s="137"/>
      <x:c r="T20" s="137"/>
      <x:c r="U20" s="137"/>
      <x:c r="V20" s="137"/>
      <x:c r="W20" s="137"/>
      <x:c r="X20" s="137"/>
      <x:c r="Y20" s="137"/>
      <x:c r="Z20" s="137"/>
      <x:c r="AA20" s="137"/>
      <x:c r="AB20" s="137"/>
      <x:c r="AC20" s="137"/>
      <x:c r="AD20" s="137"/>
      <x:c r="AE20" s="137"/>
      <x:c r="AF20" s="137"/>
    </x:row>
    <x:row r="21" ht="15" customHeight="1">
      <x:c r="A21" s="72" t="s">
        <x:v>589</x:v>
      </x:c>
      <x:c r="B21" s="72" t="s">
        <x:v>454</x:v>
      </x:c>
      <x:c r="C21" s="45" t="n">
        <x:f>CAPEX!C15</x:f>
        <x:v>2690.6</x:v>
      </x:c>
      <x:c r="D21" s="45" t="n">
        <x:f>CAPEX!D15</x:f>
        <x:v>4035.9</x:v>
      </x:c>
      <x:c r="E21" s="45" t="n">
        <x:f>CAPEX!E15</x:f>
        <x:v>0</x:v>
      </x:c>
      <x:c r="F21" s="45" t="n">
        <x:f>CAPEX!F15</x:f>
        <x:v>0</x:v>
      </x:c>
      <x:c r="G21" s="45" t="n">
        <x:f>CAPEX!G15</x:f>
        <x:v>0</x:v>
      </x:c>
      <x:c r="H21" s="45" t="n">
        <x:f>CAPEX!H15</x:f>
        <x:v>0</x:v>
      </x:c>
      <x:c r="I21" s="45" t="n">
        <x:f>CAPEX!I15</x:f>
        <x:v>0</x:v>
      </x:c>
      <x:c r="J21" s="45" t="n">
        <x:f>CAPEX!J15</x:f>
        <x:v>0</x:v>
      </x:c>
      <x:c r="K21" s="45" t="n">
        <x:f>CAPEX!K15</x:f>
        <x:v>0</x:v>
      </x:c>
      <x:c r="L21" s="45" t="n">
        <x:f>CAPEX!L15</x:f>
        <x:v>0</x:v>
      </x:c>
      <x:c r="M21" s="45" t="n">
        <x:f>CAPEX!M15</x:f>
        <x:v>0</x:v>
      </x:c>
      <x:c r="N21" s="45" t="n">
        <x:f>CAPEX!N15</x:f>
        <x:v>0</x:v>
      </x:c>
      <x:c r="O21" s="45" t="n">
        <x:f>CAPEX!O15</x:f>
        <x:v>0</x:v>
      </x:c>
      <x:c r="P21" s="45" t="n">
        <x:f>CAPEX!P15</x:f>
        <x:v>0</x:v>
      </x:c>
      <x:c r="Q21" s="45" t="n">
        <x:f>CAPEX!Q15</x:f>
        <x:v>0</x:v>
      </x:c>
      <x:c r="R21" s="45" t="n">
        <x:f>CAPEX!R15</x:f>
        <x:v>0</x:v>
      </x:c>
      <x:c r="S21" s="45" t="n">
        <x:f>CAPEX!S15</x:f>
        <x:v>0</x:v>
      </x:c>
      <x:c r="T21" s="45" t="n">
        <x:f>CAPEX!T15</x:f>
        <x:v>0</x:v>
      </x:c>
      <x:c r="U21" s="45" t="n">
        <x:f>CAPEX!U15</x:f>
        <x:v>0</x:v>
      </x:c>
      <x:c r="V21" s="45" t="n">
        <x:f>CAPEX!V15</x:f>
        <x:v>0</x:v>
      </x:c>
      <x:c r="W21" s="45" t="n">
        <x:f>CAPEX!W15</x:f>
        <x:v>0</x:v>
      </x:c>
      <x:c r="X21" s="45" t="n">
        <x:f>CAPEX!X15</x:f>
        <x:v>0</x:v>
      </x:c>
      <x:c r="Y21" s="45" t="n">
        <x:f>CAPEX!Y15</x:f>
        <x:v>0</x:v>
      </x:c>
      <x:c r="Z21" s="45" t="n">
        <x:f>CAPEX!Z15</x:f>
        <x:v>0</x:v>
      </x:c>
      <x:c r="AA21" s="45" t="n">
        <x:f>CAPEX!AA15</x:f>
        <x:v>0</x:v>
      </x:c>
      <x:c r="AB21" s="45" t="n">
        <x:f>CAPEX!AB15</x:f>
        <x:v>0</x:v>
      </x:c>
      <x:c r="AC21" s="45" t="n">
        <x:f>CAPEX!AC15</x:f>
        <x:v>0</x:v>
      </x:c>
      <x:c r="AD21" s="45" t="n">
        <x:f>CAPEX!AD15</x:f>
        <x:v>0</x:v>
      </x:c>
      <x:c r="AE21" s="45" t="n">
        <x:f>CAPEX!AE15</x:f>
        <x:v>0</x:v>
      </x:c>
      <x:c r="AF21" s="45" t="n">
        <x:f>CAPEX!AF15</x:f>
        <x:v>0</x:v>
      </x:c>
    </x:row>
    <x:row r="22" ht="15" customHeight="1">
      <x:c r="A22" s="72" t="s">
        <x:v>590</x:v>
      </x:c>
      <x:c r="B22" s="72" t="s">
        <x:v>456</x:v>
      </x:c>
      <x:c r="C22" s="45" t="n">
        <x:f>CAPEX!C17</x:f>
        <x:v>0</x:v>
      </x:c>
      <x:c r="D22" s="45" t="n">
        <x:f>CAPEX!D17</x:f>
        <x:v>244.60000000000002</x:v>
      </x:c>
      <x:c r="E22" s="45" t="n">
        <x:f>CAPEX!E17</x:f>
        <x:v>366.90000000000003</x:v>
      </x:c>
      <x:c r="F22" s="45" t="n">
        <x:f>CAPEX!F17</x:f>
        <x:v>0</x:v>
      </x:c>
      <x:c r="G22" s="45" t="n">
        <x:f>CAPEX!G17</x:f>
        <x:v>0</x:v>
      </x:c>
      <x:c r="H22" s="45" t="n">
        <x:f>CAPEX!H17</x:f>
        <x:v>0</x:v>
      </x:c>
      <x:c r="I22" s="45" t="n">
        <x:f>CAPEX!I17</x:f>
        <x:v>0</x:v>
      </x:c>
      <x:c r="J22" s="45" t="n">
        <x:f>CAPEX!J17</x:f>
        <x:v>0</x:v>
      </x:c>
      <x:c r="K22" s="45" t="n">
        <x:f>CAPEX!K17</x:f>
        <x:v>0</x:v>
      </x:c>
      <x:c r="L22" s="45" t="n">
        <x:f>CAPEX!L17</x:f>
        <x:v>0</x:v>
      </x:c>
      <x:c r="M22" s="45" t="n">
        <x:f>CAPEX!M17</x:f>
        <x:v>0</x:v>
      </x:c>
      <x:c r="N22" s="45" t="n">
        <x:f>CAPEX!N17</x:f>
        <x:v>0</x:v>
      </x:c>
      <x:c r="O22" s="45" t="n">
        <x:f>CAPEX!O17</x:f>
        <x:v>0</x:v>
      </x:c>
      <x:c r="P22" s="45" t="n">
        <x:f>CAPEX!P17</x:f>
        <x:v>0</x:v>
      </x:c>
      <x:c r="Q22" s="45" t="n">
        <x:f>CAPEX!Q17</x:f>
        <x:v>0</x:v>
      </x:c>
      <x:c r="R22" s="45" t="n">
        <x:f>CAPEX!R17</x:f>
        <x:v>0</x:v>
      </x:c>
      <x:c r="S22" s="45" t="n">
        <x:f>CAPEX!S17</x:f>
        <x:v>0</x:v>
      </x:c>
      <x:c r="T22" s="45" t="n">
        <x:f>CAPEX!T17</x:f>
        <x:v>0</x:v>
      </x:c>
      <x:c r="U22" s="45" t="n">
        <x:f>CAPEX!U17</x:f>
        <x:v>0</x:v>
      </x:c>
      <x:c r="V22" s="45" t="n">
        <x:f>CAPEX!V17</x:f>
        <x:v>0</x:v>
      </x:c>
      <x:c r="W22" s="45" t="n">
        <x:f>CAPEX!W17</x:f>
        <x:v>0</x:v>
      </x:c>
      <x:c r="X22" s="45" t="n">
        <x:f>CAPEX!X17</x:f>
        <x:v>0</x:v>
      </x:c>
      <x:c r="Y22" s="45" t="n">
        <x:f>CAPEX!Y17</x:f>
        <x:v>0</x:v>
      </x:c>
      <x:c r="Z22" s="45" t="n">
        <x:f>CAPEX!Z17</x:f>
        <x:v>0</x:v>
      </x:c>
      <x:c r="AA22" s="45" t="n">
        <x:f>CAPEX!AA17</x:f>
        <x:v>0</x:v>
      </x:c>
      <x:c r="AB22" s="45" t="n">
        <x:f>CAPEX!AB17</x:f>
        <x:v>0</x:v>
      </x:c>
      <x:c r="AC22" s="45" t="n">
        <x:f>CAPEX!AC17</x:f>
        <x:v>0</x:v>
      </x:c>
      <x:c r="AD22" s="45" t="n">
        <x:f>CAPEX!AD17</x:f>
        <x:v>0</x:v>
      </x:c>
      <x:c r="AE22" s="45" t="n">
        <x:f>CAPEX!AE17</x:f>
        <x:v>0</x:v>
      </x:c>
      <x:c r="AF22" s="45" t="n">
        <x:f>CAPEX!AF17</x:f>
        <x:v>0</x:v>
      </x:c>
    </x:row>
    <x:row r="23" ht="15" customHeight="1">
      <x:c r="A23" s="72" t="s">
        <x:v>591</x:v>
      </x:c>
      <x:c r="B23" s="72" t="s">
        <x:v>592</x:v>
      </x:c>
      <x:c r="C23" s="45" t="n">
        <x:f>IF(C$6=Input!$D$18,Input!$D$28,0)</x:f>
        <x:v>0</x:v>
      </x:c>
      <x:c r="D23" s="45" t="n">
        <x:f>IF(D$6=Input!$D$18,Input!$D$28,0)</x:f>
        <x:v>0</x:v>
      </x:c>
      <x:c r="E23" s="45" t="n">
        <x:f>IF(E$6=Input!$D$18,Input!$D$28,0)</x:f>
        <x:v>0</x:v>
      </x:c>
      <x:c r="F23" s="45" t="n">
        <x:f>IF(F$6=Input!$D$18,Input!$D$28,0)</x:f>
        <x:v>0</x:v>
      </x:c>
      <x:c r="G23" s="45" t="n">
        <x:f>IF(G$6=Input!$D$18,Input!$D$28,0)</x:f>
        <x:v>0</x:v>
      </x:c>
      <x:c r="H23" s="45" t="n">
        <x:f>IF(H$6=Input!$D$18,Input!$D$28,0)</x:f>
        <x:v>0</x:v>
      </x:c>
      <x:c r="I23" s="45" t="n">
        <x:f>IF(I$6=Input!$D$18,Input!$D$28,0)</x:f>
        <x:v>0</x:v>
      </x:c>
      <x:c r="J23" s="45" t="n">
        <x:f>IF(J$6=Input!$D$18,Input!$D$28,0)</x:f>
        <x:v>0</x:v>
      </x:c>
      <x:c r="K23" s="45" t="n">
        <x:f>IF(K$6=Input!$D$18,Input!$D$28,0)</x:f>
        <x:v>0</x:v>
      </x:c>
      <x:c r="L23" s="45" t="n">
        <x:f>IF(L$6=Input!$D$18,Input!$D$28,0)</x:f>
        <x:v>0</x:v>
      </x:c>
      <x:c r="M23" s="45" t="n">
        <x:f>IF(M$6=Input!$D$18,Input!$D$28,0)</x:f>
        <x:v>0</x:v>
      </x:c>
      <x:c r="N23" s="45" t="n">
        <x:f>IF(N$6=Input!$D$18,Input!$D$28,0)</x:f>
        <x:v>0</x:v>
      </x:c>
      <x:c r="O23" s="45" t="n">
        <x:f>IF(O$6=Input!$D$18,Input!$D$28,0)</x:f>
        <x:v>0</x:v>
      </x:c>
      <x:c r="P23" s="45" t="n">
        <x:f>IF(P$6=Input!$D$18,Input!$D$28,0)</x:f>
        <x:v>0</x:v>
      </x:c>
      <x:c r="Q23" s="45" t="n">
        <x:f>IF(Q$6=Input!$D$18,Input!$D$28,0)</x:f>
        <x:v>0</x:v>
      </x:c>
      <x:c r="R23" s="45" t="n">
        <x:f>IF(R$6=Input!$D$18,Input!$D$28,0)</x:f>
        <x:v>0</x:v>
      </x:c>
      <x:c r="S23" s="45" t="n">
        <x:f>IF(S$6=Input!$D$18,Input!$D$28,0)</x:f>
        <x:v>0</x:v>
      </x:c>
      <x:c r="T23" s="45" t="n">
        <x:f>IF(T$6=Input!$D$18,Input!$D$28,0)</x:f>
        <x:v>0</x:v>
      </x:c>
      <x:c r="U23" s="45" t="n">
        <x:f>IF(U$6=Input!$D$18,Input!$D$28,0)</x:f>
        <x:v>0</x:v>
      </x:c>
      <x:c r="V23" s="45" t="n">
        <x:f>IF(V$6=Input!$D$18,Input!$D$28,0)</x:f>
        <x:v>0</x:v>
      </x:c>
      <x:c r="W23" s="45" t="n">
        <x:f>IF(W$6=Input!$D$18,Input!$D$28,0)</x:f>
        <x:v>0</x:v>
      </x:c>
      <x:c r="X23" s="45" t="n">
        <x:f>IF(X$6=Input!$D$18,Input!$D$28,0)</x:f>
        <x:v>0</x:v>
      </x:c>
      <x:c r="Y23" s="45" t="n">
        <x:f>IF(Y$6=Input!$D$18,Input!$D$28,0)</x:f>
        <x:v>0</x:v>
      </x:c>
      <x:c r="Z23" s="45" t="n">
        <x:f>IF(Z$6=Input!$D$18,Input!$D$28,0)</x:f>
        <x:v>0</x:v>
      </x:c>
      <x:c r="AA23" s="45" t="n">
        <x:f>IF(AA$6=Input!$D$18,Input!$D$28,0)</x:f>
        <x:v>0</x:v>
      </x:c>
      <x:c r="AB23" s="45" t="n">
        <x:f>IF(AB$6=Input!$D$18,Input!$D$28,0)</x:f>
        <x:v>0</x:v>
      </x:c>
      <x:c r="AC23" s="45" t="n">
        <x:f>IF(AC$6=Input!$D$18,Input!$D$28,0)</x:f>
        <x:v>0</x:v>
      </x:c>
      <x:c r="AD23" s="45" t="n">
        <x:f>IF(AD$6=Input!$D$18,Input!$D$28,0)</x:f>
        <x:v>0</x:v>
      </x:c>
      <x:c r="AE23" s="45" t="n">
        <x:f>IF(AE$6=Input!$D$18,Input!$D$28,0)</x:f>
        <x:v>0</x:v>
      </x:c>
      <x:c r="AF23" s="45" t="n">
        <x:f>IF(AF$6=Input!$D$18,Input!$D$28,0)</x:f>
        <x:v>0</x:v>
      </x:c>
    </x:row>
    <x:row r="24" ht="15" customHeight="1">
      <x:c r="A24" s="72" t="s">
        <x:v>593</x:v>
      </x:c>
      <x:c r="B24" s="73" t="s">
        <x:v>594</x:v>
      </x:c>
      <x:c r="C24" s="44" t="n">
        <x:f t="shared" ref="C24:AF24" si="3">C18-C21+C22+C23</x:f>
        <x:v>-2690.6</x:v>
      </x:c>
      <x:c r="D24" s="44">
        <x:f t="shared" si="3"/>
        <x:v>-3791.3</x:v>
      </x:c>
      <x:c r="E24" s="44">
        <x:f t="shared" si="3"/>
        <x:v>1099.572496</x:v>
      </x:c>
      <x:c r="F24" s="44">
        <x:f t="shared" si="3"/>
        <x:v>745.58180202816015</x:v>
      </x:c>
      <x:c r="G24" s="44">
        <x:f t="shared" si="3"/>
        <x:v>758.7179693525859</x:v>
      </x:c>
      <x:c r="H24" s="44">
        <x:f t="shared" si="3"/>
        <x:v>772.08497260535819</x:v>
      </x:c>
      <x:c r="I24" s="44">
        <x:f t="shared" si="3"/>
        <x:v>762.65312551666375</x:v>
      </x:c>
      <x:c r="J24" s="44">
        <x:f t="shared" si="3"/>
        <x:v>775.80195939420355</x:v>
      </x:c>
      <x:c r="K24" s="44">
        <x:f t="shared" si="3"/>
        <x:v>789.18181522305906</x:v>
      </x:c>
      <x:c r="L24" s="44">
        <x:f t="shared" si="3"/>
        <x:v>802.79673953537338</x:v>
      </x:c>
      <x:c r="M24" s="44">
        <x:f t="shared" si="3"/>
        <x:v>816.65084948656533</x:v>
      </x:c>
      <x:c r="N24" s="44">
        <x:f t="shared" si="3"/>
        <x:v>830.7483340826733</x:v>
      </x:c>
      <x:c r="O24" s="44">
        <x:f t="shared" si="3"/>
        <x:v>845.09345542892402</x:v>
      </x:c>
      <x:c r="P24" s="44">
        <x:f t="shared" si="3"/>
        <x:v>859.69054999988555</x:v>
      </x:c>
      <x:c r="Q24" s="44">
        <x:f t="shared" si="3"/>
        <x:v>874.54402993158124</x:v>
      </x:c>
      <x:c r="R24" s="44">
        <x:f t="shared" si="3"/>
        <x:v>859.94016673930537</x:v>
      </x:c>
      <x:c r="S24" s="44">
        <x:f t="shared" si="3"/>
        <x:v>874.51050007804315</x:v>
      </x:c>
      <x:c r="T24" s="44">
        <x:f t="shared" si="3"/>
        <x:v>826.63398973550738</x:v>
      </x:c>
      <x:c r="U24" s="44">
        <x:f t="shared" si="3"/>
        <x:v>840.04426548238507</x:v>
      </x:c>
      <x:c r="V24" s="44">
        <x:f t="shared" si="3"/>
        <x:v>853.69001724754139</x:v>
      </x:c>
      <x:c r="W24" s="44">
        <x:f t="shared" si="3"/>
        <x:v>867.57536672958111</x:v>
      </x:c>
      <x:c r="X24" s="44">
        <x:f t="shared" si="3"/>
        <x:v>881.70450750380405</x:v>
      </x:c>
      <x:c r="Y24" s="44">
        <x:f t="shared" si="3"/>
        <x:v>0</x:v>
      </x:c>
      <x:c r="Z24" s="44">
        <x:f t="shared" si="3"/>
        <x:v>0</x:v>
      </x:c>
      <x:c r="AA24" s="44">
        <x:f t="shared" si="3"/>
        <x:v>0</x:v>
      </x:c>
      <x:c r="AB24" s="44">
        <x:f t="shared" si="3"/>
        <x:v>0</x:v>
      </x:c>
      <x:c r="AC24" s="44">
        <x:f t="shared" si="3"/>
        <x:v>0</x:v>
      </x:c>
      <x:c r="AD24" s="44">
        <x:f t="shared" si="3"/>
        <x:v>0</x:v>
      </x:c>
      <x:c r="AE24" s="44">
        <x:f t="shared" si="3"/>
        <x:v>0</x:v>
      </x:c>
      <x:c r="AF24" s="44">
        <x:f t="shared" si="3"/>
        <x:v>0</x:v>
      </x:c>
    </x:row>
    <x:row r="25" ht="15" customHeight="1">
      <x:c r="A25" s="72" t="s">
        <x:v>595</x:v>
      </x:c>
      <x:c r="B25" s="72" t="s">
        <x:v>596</x:v>
      </x:c>
      <x:c r="C25" s="53" t="n">
        <x:f>IF(C$6="",0,1/(1+Input!$D$74)^C$7)</x:f>
        <x:v>1</x:v>
      </x:c>
      <x:c r="D25" s="53" t="n">
        <x:f>IF(D$6="",0,1/(1+Input!$D$74)^D$7)</x:f>
        <x:v>0.9090909090909091</x:v>
      </x:c>
      <x:c r="E25" s="53" t="n">
        <x:f>IF(E$6="",0,1/(1+Input!$D$74)^E$7)</x:f>
        <x:v>0.8264462809917354</x:v>
      </x:c>
      <x:c r="F25" s="53" t="n">
        <x:f>IF(F$6="",0,1/(1+Input!$D$74)^F$7)</x:f>
        <x:v>0.7513148009015775</x:v>
      </x:c>
      <x:c r="G25" s="53" t="n">
        <x:f>IF(G$6="",0,1/(1+Input!$D$74)^G$7)</x:f>
        <x:v>0.6830134553650705</x:v>
      </x:c>
      <x:c r="H25" s="53" t="n">
        <x:f>IF(H$6="",0,1/(1+Input!$D$74)^H$7)</x:f>
        <x:v>0.6209213230591549</x:v>
      </x:c>
      <x:c r="I25" s="53" t="n">
        <x:f>IF(I$6="",0,1/(1+Input!$D$74)^I$7)</x:f>
        <x:v>0.5644739300537772</x:v>
      </x:c>
      <x:c r="J25" s="53" t="n">
        <x:f>IF(J$6="",0,1/(1+Input!$D$74)^J$7)</x:f>
        <x:v>0.5131581182307065</x:v>
      </x:c>
      <x:c r="K25" s="53" t="n">
        <x:f>IF(K$6="",0,1/(1+Input!$D$74)^K$7)</x:f>
        <x:v>0.4665073802097331</x:v>
      </x:c>
      <x:c r="L25" s="53" t="n">
        <x:f>IF(L$6="",0,1/(1+Input!$D$74)^L$7)</x:f>
        <x:v>0.42409761837248455</x:v>
      </x:c>
      <x:c r="M25" s="53" t="n">
        <x:f>IF(M$6="",0,1/(1+Input!$D$74)^M$7)</x:f>
        <x:v>0.3855432894295314</x:v>
      </x:c>
      <x:c r="N25" s="53" t="n">
        <x:f>IF(N$6="",0,1/(1+Input!$D$74)^N$7)</x:f>
        <x:v>0.3504938994813922</x:v>
      </x:c>
      <x:c r="O25" s="53" t="n">
        <x:f>IF(O$6="",0,1/(1+Input!$D$74)^O$7)</x:f>
        <x:v>0.3186308177103565</x:v>
      </x:c>
      <x:c r="P25" s="53" t="n">
        <x:f>IF(P$6="",0,1/(1+Input!$D$74)^P$7)</x:f>
        <x:v>0.2896643797366877</x:v>
      </x:c>
      <x:c r="Q25" s="53" t="n">
        <x:f>IF(Q$6="",0,1/(1+Input!$D$74)^Q$7)</x:f>
        <x:v>0.26333125430607973</x:v>
      </x:c>
      <x:c r="R25" s="53" t="n">
        <x:f>IF(R$6="",0,1/(1+Input!$D$74)^R$7)</x:f>
        <x:v>0.23939204936916333</x:v>
      </x:c>
      <x:c r="S25" s="53" t="n">
        <x:f>IF(S$6="",0,1/(1+Input!$D$74)^S$7)</x:f>
        <x:v>0.2176291357901485</x:v>
      </x:c>
      <x:c r="T25" s="53" t="n">
        <x:f>IF(T$6="",0,1/(1+Input!$D$74)^T$7)</x:f>
        <x:v>0.19784466890013497</x:v>
      </x:c>
      <x:c r="U25" s="53" t="n">
        <x:f>IF(U$6="",0,1/(1+Input!$D$74)^U$7)</x:f>
        <x:v>0.17985878990921358</x:v>
      </x:c>
      <x:c r="V25" s="53" t="n">
        <x:f>IF(V$6="",0,1/(1+Input!$D$74)^V$7)</x:f>
        <x:v>0.16350799082655781</x:v>
      </x:c>
      <x:c r="W25" s="53" t="n">
        <x:f>IF(W$6="",0,1/(1+Input!$D$74)^W$7)</x:f>
        <x:v>0.14864362802414344</x:v>
      </x:c>
      <x:c r="X25" s="53" t="n">
        <x:f>IF(X$6="",0,1/(1+Input!$D$74)^X$7)</x:f>
        <x:v>0.13513057093103947</x:v>
      </x:c>
      <x:c r="Y25" s="53" t="n">
        <x:f>IF(Y$6="",0,1/(1+Input!$D$74)^Y$7)</x:f>
        <x:v>0.12284597357367225</x:v>
      </x:c>
      <x:c r="Z25" s="53" t="n">
        <x:f>IF(Z$6="",0,1/(1+Input!$D$74)^Z$7)</x:f>
        <x:v>0.11167815779424749</x:v>
      </x:c>
      <x:c r="AA25" s="53" t="n">
        <x:f>IF(AA$6="",0,1/(1+Input!$D$74)^AA$7)</x:f>
        <x:v>0.10152559799477044</x:v>
      </x:c>
      <x:c r="AB25" s="53" t="n">
        <x:f>IF(AB$6="",0,1/(1+Input!$D$74)^AB$7)</x:f>
        <x:v>0.09229599817706402</x:v>
      </x:c>
      <x:c r="AC25" s="53" t="n">
        <x:f>IF(AC$6="",0,1/(1+Input!$D$74)^AC$7)</x:f>
        <x:v>0.08390545288824001</x:v>
      </x:c>
      <x:c r="AD25" s="53" t="n">
        <x:f>IF(AD$6="",0,1/(1+Input!$D$74)^AD$7)</x:f>
        <x:v>0.07627768444385455</x:v>
      </x:c>
      <x:c r="AE25" s="53" t="n">
        <x:f>IF(AE$6="",0,1/(1+Input!$D$74)^AE$7)</x:f>
        <x:v>0.06934334949441322</x:v>
      </x:c>
      <x:c r="AF25" s="53" t="n">
        <x:f>IF(AF$6="",0,1/(1+Input!$D$74)^AF$7)</x:f>
        <x:v>0.06303940863128475</x:v>
      </x:c>
    </x:row>
    <x:row r="26" ht="15" customHeight="1">
      <x:c r="A26" s="72" t="s">
        <x:v>597</x:v>
      </x:c>
      <x:c r="B26" s="73" t="s">
        <x:v>598</x:v>
      </x:c>
      <x:c r="C26" s="44" t="n">
        <x:f t="shared" ref="C26:AF26" si="4">C24*C25</x:f>
        <x:v>-2690.6</x:v>
      </x:c>
      <x:c r="D26" s="44">
        <x:f t="shared" si="4"/>
        <x:v>-3446.6363636363635</x:v>
      </x:c>
      <x:c r="E26" s="44">
        <x:f t="shared" si="4"/>
        <x:v>908.73759999999993</x:v>
      </x:c>
      <x:c r="F26" s="44">
        <x:f t="shared" si="4"/>
        <x:v>560.1666431466266</x:v>
      </x:c>
      <x:c r="G26" s="44">
        <x:f t="shared" si="4"/>
        <x:v>518.21458189507939</x:v>
      </x:c>
      <x:c r="H26" s="44">
        <x:f t="shared" si="4"/>
        <x:v>479.40402270421038</x:v>
      </x:c>
      <x:c r="I26" s="44">
        <x:f t="shared" si="4"/>
        <x:v>430.49780702818782</x:v>
      </x:c>
      <x:c r="J26" s="44">
        <x:f t="shared" si="4"/>
        <x:v>398.10907360242442</x:v>
      </x:c>
      <x:c r="K26" s="44">
        <x:f t="shared" si="4"/>
        <x:v>368.159141128871</x:v>
      </x:c>
      <x:c r="L26" s="44">
        <x:f t="shared" si="4"/>
        <x:v>340.46418527414772</x:v>
      </x:c>
      <x:c r="M26" s="44">
        <x:f t="shared" si="4"/>
        <x:v>314.85425482647162</x:v>
      </x:c>
      <x:c r="N26" s="44">
        <x:f t="shared" si="4"/>
        <x:v>291.1722231003065</x:v>
      </x:c>
      <x:c r="O26" s="44">
        <x:f t="shared" si="4"/>
        <x:v>269.27281874498885</x:v>
      </x:c>
      <x:c r="P26" s="44">
        <x:f t="shared" si="4"/>
        <x:v>249.02172993120882</x:v>
      </x:c>
      <x:c r="Q26" s="44">
        <x:f t="shared" si="4"/>
        <x:v>230.29477634777703</x:v>
      </x:c>
      <x:c r="R26" s="44">
        <x:f t="shared" si="4"/>
        <x:v>205.86283885058239</x:v>
      </x:c>
      <x:c r="S26" s="44">
        <x:f t="shared" si="4"/>
        <x:v>190.31896437139514</x:v>
      </x:c>
      <x:c r="T26" s="44">
        <x:f t="shared" si="4"/>
        <x:v>163.54512800081906</x:v>
      </x:c>
      <x:c r="U26" s="44">
        <x:f t="shared" si="4"/>
        <x:v>151.08934505983598</x:v>
      </x:c>
      <x:c r="V26" s="44">
        <x:f t="shared" si="4"/>
        <x:v>139.58513950883497</x:v>
      </x:c>
      <x:c r="W26" s="44">
        <x:f t="shared" si="4"/>
        <x:v>128.95955009506173</x:v>
      </x:c>
      <x:c r="X26" s="44">
        <x:f t="shared" si="4"/>
        <x:v>119.14523349146006</x:v>
      </x:c>
      <x:c r="Y26" s="44">
        <x:f t="shared" si="4"/>
        <x:v>0</x:v>
      </x:c>
      <x:c r="Z26" s="44">
        <x:f t="shared" si="4"/>
        <x:v>0</x:v>
      </x:c>
      <x:c r="AA26" s="44">
        <x:f t="shared" si="4"/>
        <x:v>0</x:v>
      </x:c>
      <x:c r="AB26" s="44">
        <x:f t="shared" si="4"/>
        <x:v>0</x:v>
      </x:c>
      <x:c r="AC26" s="44">
        <x:f t="shared" si="4"/>
        <x:v>0</x:v>
      </x:c>
      <x:c r="AD26" s="44">
        <x:f t="shared" si="4"/>
        <x:v>0</x:v>
      </x:c>
      <x:c r="AE26" s="44">
        <x:f t="shared" si="4"/>
        <x:v>0</x:v>
      </x:c>
      <x:c r="AF26" s="44">
        <x:f t="shared" si="4"/>
        <x:v>0</x:v>
      </x:c>
    </x:row>
    <x:row r="27" ht="15" customHeight="1">
      <x:c r="A27" s="72" t="s">
        <x:v>599</x:v>
      </x:c>
      <x:c r="B27" s="73" t="s">
        <x:v>600</x:v>
      </x:c>
      <x:c r="C27" s="44" t="n">
        <x:f>C24</x:f>
        <x:v>-2690.6</x:v>
      </x:c>
      <x:c r="D27" s="44" t="n">
        <x:f t="shared" ref="D27:AF27" si="5">C27+D24</x:f>
        <x:v>-6481.9</x:v>
      </x:c>
      <x:c r="E27" s="44">
        <x:f t="shared" si="5"/>
        <x:v>-5382.3275039999999</x:v>
      </x:c>
      <x:c r="F27" s="44">
        <x:f t="shared" si="5"/>
        <x:v>-4636.7457019718395</x:v>
      </x:c>
      <x:c r="G27" s="44">
        <x:f t="shared" si="5"/>
        <x:v>-3878.0277326192536</x:v>
      </x:c>
      <x:c r="H27" s="44">
        <x:f t="shared" si="5"/>
        <x:v>-3105.9427600138952</x:v>
      </x:c>
      <x:c r="I27" s="44">
        <x:f t="shared" si="5"/>
        <x:v>-2343.2896344972314</x:v>
      </x:c>
      <x:c r="J27" s="44">
        <x:f t="shared" si="5"/>
        <x:v>-1567.4876751030279</x:v>
      </x:c>
      <x:c r="K27" s="44">
        <x:f t="shared" si="5"/>
        <x:v>-778.30585987996881</x:v>
      </x:c>
      <x:c r="L27" s="44">
        <x:f t="shared" si="5"/>
        <x:v>24.490879655404569</x:v>
      </x:c>
      <x:c r="M27" s="44">
        <x:f t="shared" si="5"/>
        <x:v>841.1417291419699</x:v>
      </x:c>
      <x:c r="N27" s="44">
        <x:f t="shared" si="5"/>
        <x:v>1671.8900632246432</x:v>
      </x:c>
      <x:c r="O27" s="44">
        <x:f t="shared" si="5"/>
        <x:v>2516.9835186535674</x:v>
      </x:c>
      <x:c r="P27" s="44">
        <x:f t="shared" si="5"/>
        <x:v>3376.6740686534531</x:v>
      </x:c>
      <x:c r="Q27" s="44">
        <x:f t="shared" si="5"/>
        <x:v>4251.2180985850346</x:v>
      </x:c>
      <x:c r="R27" s="44">
        <x:f t="shared" si="5"/>
        <x:v>5111.1582653243404</x:v>
      </x:c>
      <x:c r="S27" s="44">
        <x:f t="shared" si="5"/>
        <x:v>5985.6687654023835</x:v>
      </x:c>
      <x:c r="T27" s="44">
        <x:f t="shared" si="5"/>
        <x:v>6812.3027551378909</x:v>
      </x:c>
      <x:c r="U27" s="44">
        <x:f t="shared" si="5"/>
        <x:v>7652.3470206202765</x:v>
      </x:c>
      <x:c r="V27" s="44">
        <x:f t="shared" si="5"/>
        <x:v>8506.0370378678181</x:v>
      </x:c>
      <x:c r="W27" s="44">
        <x:f t="shared" si="5"/>
        <x:v>9373.6124045973993</x:v>
      </x:c>
      <x:c r="X27" s="44">
        <x:f t="shared" si="5"/>
        <x:v>10255.316912101203</x:v>
      </x:c>
      <x:c r="Y27" s="44">
        <x:f t="shared" si="5"/>
        <x:v>10255.316912101203</x:v>
      </x:c>
      <x:c r="Z27" s="44">
        <x:f t="shared" si="5"/>
        <x:v>10255.316912101203</x:v>
      </x:c>
      <x:c r="AA27" s="44">
        <x:f t="shared" si="5"/>
        <x:v>10255.316912101203</x:v>
      </x:c>
      <x:c r="AB27" s="44">
        <x:f t="shared" si="5"/>
        <x:v>10255.316912101203</x:v>
      </x:c>
      <x:c r="AC27" s="44">
        <x:f t="shared" si="5"/>
        <x:v>10255.316912101203</x:v>
      </x:c>
      <x:c r="AD27" s="44">
        <x:f t="shared" si="5"/>
        <x:v>10255.316912101203</x:v>
      </x:c>
      <x:c r="AE27" s="44">
        <x:f t="shared" si="5"/>
        <x:v>10255.316912101203</x:v>
      </x:c>
      <x:c r="AF27" s="44">
        <x:f t="shared" si="5"/>
        <x:v>10255.316912101203</x:v>
      </x:c>
    </x:row>
    <x:row r="28" ht="15" customHeight="1">
      <x:c r="A28" s="72" t="s">
        <x:v>601</x:v>
      </x:c>
      <x:c r="B28" s="72" t="s">
        <x:v>602</x:v>
      </x:c>
      <x:c r="C28" s="48" t="str">
        <x:f t="shared" ref="C28:AF28" si="6">IF(C27&gt;=0,C$6,"")</x:f>
      </x:c>
      <x:c r="D28" s="48" t="str">
        <x:f t="shared" si="6"/>
      </x:c>
      <x:c r="E28" s="48" t="str">
        <x:f t="shared" si="6"/>
      </x:c>
      <x:c r="F28" s="48" t="str">
        <x:f t="shared" si="6"/>
      </x:c>
      <x:c r="G28" s="48" t="str">
        <x:f t="shared" si="6"/>
      </x:c>
      <x:c r="H28" s="48" t="str">
        <x:f t="shared" si="6"/>
      </x:c>
      <x:c r="I28" s="48" t="str">
        <x:f t="shared" si="6"/>
      </x:c>
      <x:c r="J28" s="48" t="str">
        <x:f t="shared" si="6"/>
      </x:c>
      <x:c r="K28" s="48" t="str">
        <x:f t="shared" si="6"/>
      </x:c>
      <x:c r="L28" s="48">
        <x:f t="shared" si="6"/>
        <x:v>2034</x:v>
      </x:c>
      <x:c r="M28" s="48">
        <x:f t="shared" si="6"/>
        <x:v>2035</x:v>
      </x:c>
      <x:c r="N28" s="48">
        <x:f t="shared" si="6"/>
        <x:v>2036</x:v>
      </x:c>
      <x:c r="O28" s="48">
        <x:f t="shared" si="6"/>
        <x:v>2037</x:v>
      </x:c>
      <x:c r="P28" s="48">
        <x:f t="shared" si="6"/>
        <x:v>2038</x:v>
      </x:c>
      <x:c r="Q28" s="48">
        <x:f t="shared" si="6"/>
        <x:v>2039</x:v>
      </x:c>
      <x:c r="R28" s="48">
        <x:f t="shared" si="6"/>
        <x:v>2040</x:v>
      </x:c>
      <x:c r="S28" s="48">
        <x:f t="shared" si="6"/>
        <x:v>2041</x:v>
      </x:c>
      <x:c r="T28" s="48">
        <x:f t="shared" si="6"/>
        <x:v>2042</x:v>
      </x:c>
      <x:c r="U28" s="48">
        <x:f t="shared" si="6"/>
        <x:v>2043</x:v>
      </x:c>
      <x:c r="V28" s="48">
        <x:f t="shared" si="6"/>
        <x:v>2044</x:v>
      </x:c>
      <x:c r="W28" s="48">
        <x:f t="shared" si="6"/>
        <x:v>2045</x:v>
      </x:c>
      <x:c r="X28" s="48">
        <x:f t="shared" si="6"/>
        <x:v>2046</x:v>
      </x:c>
      <x:c r="Y28" s="48">
        <x:f t="shared" si="6"/>
        <x:v>2047</x:v>
      </x:c>
      <x:c r="Z28" s="48">
        <x:f t="shared" si="6"/>
        <x:v>2048</x:v>
      </x:c>
      <x:c r="AA28" s="48">
        <x:f t="shared" si="6"/>
        <x:v>2049</x:v>
      </x:c>
      <x:c r="AB28" s="48">
        <x:f t="shared" si="6"/>
        <x:v>2050</x:v>
      </x:c>
      <x:c r="AC28" s="48">
        <x:f t="shared" si="6"/>
        <x:v>2051</x:v>
      </x:c>
      <x:c r="AD28" s="48">
        <x:f t="shared" si="6"/>
        <x:v>2052</x:v>
      </x:c>
      <x:c r="AE28" s="48">
        <x:f t="shared" si="6"/>
        <x:v>2053</x:v>
      </x:c>
      <x:c r="AF28" s="48">
        <x:f t="shared" si="6"/>
        <x:v>2054</x:v>
      </x:c>
    </x:row>
    <x:row r="29" ht="15" customHeight="1">
      <x:c r="A29" s="72" t="s">
        <x:v>603</x:v>
      </x:c>
      <x:c r="B29" s="72" t="s">
        <x:v>604</x:v>
      </x:c>
      <x:c r="C29" s="45" t="n">
        <x:f t="shared" ref="C29:AF29" si="7">(C21-C22+C13-C23)*C25</x:f>
        <x:v>2690.6</x:v>
      </x:c>
      <x:c r="D29" s="45">
        <x:f t="shared" si="7"/>
        <x:v>3446.6363636363635</x:v>
      </x:c>
      <x:c r="E29" s="45">
        <x:f t="shared" si="7"/>
        <x:v>-202.14876033057851</x:v>
      </x:c>
      <x:c r="F29" s="45">
        <x:f t="shared" si="7"/>
        <x:v>93.723516153268193</x:v>
      </x:c>
      <x:c r="G29" s="45">
        <x:f t="shared" si="7"/>
        <x:v>86.907260433030515</x:v>
      </x:c>
      <x:c r="H29" s="45">
        <x:f t="shared" si="7"/>
        <x:v>80.586732401537361</x:v>
      </x:c>
      <x:c r="I29" s="45">
        <x:f t="shared" si="7"/>
        <x:v>74.725879135971027</x:v>
      </x:c>
      <x:c r="J29" s="45">
        <x:f t="shared" si="7"/>
        <x:v>69.291269744264028</x:v>
      </x:c>
      <x:c r="K29" s="45">
        <x:f t="shared" si="7"/>
        <x:v>64.251904671953909</x:v>
      </x:c>
      <x:c r="L29" s="45">
        <x:f t="shared" si="7"/>
        <x:v>59.579038877629976</x:v>
      </x:c>
      <x:c r="M29" s="45">
        <x:f t="shared" si="7"/>
        <x:v>55.246017868347792</x:v>
      </x:c>
      <x:c r="N29" s="45">
        <x:f t="shared" si="7"/>
        <x:v>51.228125659740677</x:v>
      </x:c>
      <x:c r="O29" s="45">
        <x:f t="shared" si="7"/>
        <x:v>47.502443793577726</x:v>
      </x:c>
      <x:c r="P29" s="45">
        <x:f t="shared" si="7"/>
        <x:v>44.047720608590247</x:v>
      </x:c>
      <x:c r="Q29" s="45">
        <x:f t="shared" si="7"/>
        <x:v>40.844250018874583</x:v>
      </x:c>
      <x:c r="R29" s="45">
        <x:f t="shared" si="7"/>
        <x:v>37.873759108410979</x:v>
      </x:c>
      <x:c r="S29" s="45">
        <x:f t="shared" si="7"/>
        <x:v>35.119303900526539</x:v>
      </x:c>
      <x:c r="T29" s="45">
        <x:f t="shared" si="7"/>
        <x:v>32.565172707760965</x:v>
      </x:c>
      <x:c r="U29" s="45">
        <x:f t="shared" si="7"/>
        <x:v>30.1967965108329</x:v>
      </x:c>
      <x:c r="V29" s="45">
        <x:f t="shared" si="7"/>
        <x:v>28.000665855499591</x:v>
      </x:c>
      <x:c r="W29" s="45">
        <x:f t="shared" si="7"/>
        <x:v>25.96425379328144</x:v>
      </x:c>
      <x:c r="X29" s="45">
        <x:f t="shared" si="7"/>
        <x:v>24.075944426497333</x:v>
      </x:c>
      <x:c r="Y29" s="45">
        <x:f t="shared" si="7"/>
        <x:v>0</x:v>
      </x:c>
      <x:c r="Z29" s="45">
        <x:f t="shared" si="7"/>
        <x:v>0</x:v>
      </x:c>
      <x:c r="AA29" s="45">
        <x:f t="shared" si="7"/>
        <x:v>0</x:v>
      </x:c>
      <x:c r="AB29" s="45">
        <x:f t="shared" si="7"/>
        <x:v>0</x:v>
      </x:c>
      <x:c r="AC29" s="45">
        <x:f t="shared" si="7"/>
        <x:v>0</x:v>
      </x:c>
      <x:c r="AD29" s="45">
        <x:f t="shared" si="7"/>
        <x:v>0</x:v>
      </x:c>
      <x:c r="AE29" s="45">
        <x:f t="shared" si="7"/>
        <x:v>0</x:v>
      </x:c>
      <x:c r="AF29" s="45">
        <x:f t="shared" si="7"/>
        <x:v>0</x:v>
      </x:c>
    </x:row>
    <x:row r="30" ht="15" customHeight="1">
      <x:c r="A30" s="72" t="s">
        <x:v>605</x:v>
      </x:c>
      <x:c r="B30" s="72" t="s">
        <x:v>606</x:v>
      </x:c>
      <x:c r="C30" s="52" t="n">
        <x:f t="shared" ref="C30:AF30" si="8">C11*C25</x:f>
        <x:v>0</x:v>
      </x:c>
      <x:c r="D30" s="52">
        <x:f t="shared" si="8"/>
        <x:v>0</x:v>
      </x:c>
      <x:c r="E30" s="52">
        <x:f t="shared" si="8"/>
        <x:v>390942.14876033051</x:v>
      </x:c>
      <x:c r="F30" s="52">
        <x:f t="shared" si="8"/>
        <x:v>354691.14951164526</x:v>
      </x:c>
      <x:c r="G30" s="52">
        <x:f t="shared" si="8"/>
        <x:v>321801.60655692912</x:v>
      </x:c>
      <x:c r="H30" s="52">
        <x:f t="shared" si="8"/>
        <x:v>291961.82122165017</x:v>
      </x:c>
      <x:c r="I30" s="52">
        <x:f t="shared" si="8"/>
        <x:v>264888.99779927899</x:v>
      </x:c>
      <x:c r="J30" s="52">
        <x:f t="shared" si="8"/>
        <x:v>240326.56345789123</x:v>
      </x:c>
      <x:c r="K30" s="52">
        <x:f t="shared" si="8"/>
        <x:v>218041.73666452317</x:v>
      </x:c>
      <x:c r="L30" s="52">
        <x:f t="shared" si="8"/>
        <x:v>197823.32108290371</x:v>
      </x:c>
      <x:c r="M30" s="52">
        <x:f t="shared" si="8"/>
        <x:v>179479.70403703445</x:v>
      </x:c>
      <x:c r="N30" s="52">
        <x:f t="shared" si="8"/>
        <x:v>162837.04057178216</x:v>
      </x:c>
      <x:c r="O30" s="52">
        <x:f t="shared" si="8"/>
        <x:v>147737.60590058056</x:v>
      </x:c>
      <x:c r="P30" s="52">
        <x:f t="shared" si="8"/>
        <x:v>134038.30062616308</x:v>
      </x:c>
      <x:c r="Q30" s="52">
        <x:f t="shared" si="8"/>
        <x:v>121609.29456810065</x:v>
      </x:c>
      <x:c r="R30" s="52">
        <x:f t="shared" si="8"/>
        <x:v>110332.79634451312</x:v>
      </x:c>
      <x:c r="S30" s="52">
        <x:f t="shared" si="8"/>
        <x:v>100101.93704711282</x:v>
      </x:c>
      <x:c r="T30" s="52">
        <x:f t="shared" si="8"/>
        <x:v>90819.757430016907</x:v>
      </x:c>
      <x:c r="U30" s="52">
        <x:f t="shared" si="8"/>
        <x:v>82398.289013778965</x:v>
      </x:c>
      <x:c r="V30" s="52">
        <x:f t="shared" si="8"/>
        <x:v>74757.720396137622</x:v>
      </x:c>
      <x:c r="W30" s="52">
        <x:f t="shared" si="8"/>
        <x:v>67825.640868495786</x:v>
      </x:c>
      <x:c r="X30" s="52">
        <x:f t="shared" si="8"/>
        <x:v>61536.354169780716</x:v>
      </x:c>
      <x:c r="Y30" s="52">
        <x:f t="shared" si="8"/>
        <x:v>0</x:v>
      </x:c>
      <x:c r="Z30" s="52">
        <x:f t="shared" si="8"/>
        <x:v>0</x:v>
      </x:c>
      <x:c r="AA30" s="52">
        <x:f t="shared" si="8"/>
        <x:v>0</x:v>
      </x:c>
      <x:c r="AB30" s="52">
        <x:f t="shared" si="8"/>
        <x:v>0</x:v>
      </x:c>
      <x:c r="AC30" s="52">
        <x:f t="shared" si="8"/>
        <x:v>0</x:v>
      </x:c>
      <x:c r="AD30" s="52">
        <x:f t="shared" si="8"/>
        <x:v>0</x:v>
      </x:c>
      <x:c r="AE30" s="52">
        <x:f t="shared" si="8"/>
        <x:v>0</x:v>
      </x:c>
      <x:c r="AF30" s="52">
        <x:f t="shared" si="8"/>
        <x:v>0</x:v>
      </x:c>
    </x:row>
    <x:row r="31" ht="15" customHeight="1">
      <x:c r="A31" s="72" t="s">
        <x:v>607</x:v>
      </x:c>
      <x:c r="B31" s="72" t="s">
        <x:v>608</x:v>
      </x:c>
      <x:c r="C31" s="52" t="n">
        <x:f>C11*1000*(1+Input!$D$46)^MAX(0,C$8-1)*C25</x:f>
        <x:v>0</x:v>
      </x:c>
      <x:c r="D31" s="52" t="n">
        <x:f>D11*1000*(1+Input!$D$46)^MAX(0,D$8-1)*D25</x:f>
        <x:v>0</x:v>
      </x:c>
      <x:c r="E31" s="52" t="n">
        <x:f>E11*1000*(1+Input!$D$46)^MAX(0,E$8-1)*E25</x:f>
        <x:v>390942148.76033056</x:v>
      </x:c>
      <x:c r="F31" s="52" t="n">
        <x:f>F11*1000*(1+Input!$D$46)^MAX(0,F$8-1)*F25</x:f>
        <x:v>361784972.5018782</x:v>
      </x:c>
      <x:c r="G31" s="52" t="n">
        <x:f>G11*1000*(1+Input!$D$46)^MAX(0,G$8-1)*G25</x:f>
        <x:v>334802391.46182907</x:v>
      </x:c>
      <x:c r="H31" s="52" t="n">
        <x:f>H11*1000*(1+Input!$D$46)^MAX(0,H$8-1)*H25</x:f>
        <x:v>309832220.374985</x:v>
      </x:c>
      <x:c r="I31" s="52" t="n">
        <x:f>I11*1000*(1+Input!$D$46)^MAX(0,I$8-1)*I25</x:f>
        <x:v>286724370.04810876</x:v>
      </x:c>
      <x:c r="J31" s="52" t="n">
        <x:f>J11*1000*(1+Input!$D$46)^MAX(0,J$8-1)*J25</x:f>
        <x:v>265339945.21288434</x:v>
      </x:c>
      <x:c r="K31" s="52" t="n">
        <x:f>K11*1000*(1+Input!$D$46)^MAX(0,K$8-1)*K25</x:f>
        <x:v>245550409.6626434</x:v>
      </x:c>
      <x:c r="L31" s="52" t="n">
        <x:f>L11*1000*(1+Input!$D$46)^MAX(0,L$8-1)*L25</x:f>
        <x:v>227236813.6547131</x:v>
      </x:c>
      <x:c r="M31" s="52" t="n">
        <x:f>M11*1000*(1+Input!$D$46)^MAX(0,M$8-1)*M25</x:f>
        <x:v>210289078.9345016</x:v>
      </x:c>
      <x:c r="N31" s="52" t="n">
        <x:f>N11*1000*(1+Input!$D$46)^MAX(0,N$8-1)*N25</x:f>
        <x:v>194605337.0837866</x:v>
      </x:c>
      <x:c r="O31" s="52" t="n">
        <x:f>O11*1000*(1+Input!$D$46)^MAX(0,O$8-1)*O25</x:f>
        <x:v>180091317.21619216</x:v>
      </x:c>
      <x:c r="P31" s="52" t="n">
        <x:f>P11*1000*(1+Input!$D$46)^MAX(0,P$8-1)*P25</x:f>
        <x:v>166659779.33944994</x:v>
      </x:c>
      <x:c r="Q31" s="52" t="n">
        <x:f>Q11*1000*(1+Input!$D$46)^MAX(0,Q$8-1)*Q25</x:f>
        <x:v>154229989.97853318</x:v>
      </x:c>
      <x:c r="R31" s="52" t="n">
        <x:f>R11*1000*(1+Input!$D$46)^MAX(0,R$8-1)*R25</x:f>
        <x:v>142727236.90777054</x:v>
      </x:c>
      <x:c r="S31" s="52" t="n">
        <x:f>S11*1000*(1+Input!$D$46)^MAX(0,S$8-1)*S25</x:f>
        <x:v>132082380.0751219</x:v>
      </x:c>
      <x:c r="T31" s="52" t="n">
        <x:f>T11*1000*(1+Input!$D$46)^MAX(0,T$8-1)*T25</x:f>
        <x:v>122231436.01933736</x:v>
      </x:c>
      <x:c r="U31" s="52" t="n">
        <x:f>U11*1000*(1+Input!$D$46)^MAX(0,U$8-1)*U25</x:f>
        <x:v>113115193.28204058</x:v>
      </x:c>
      <x:c r="V31" s="52" t="n">
        <x:f>V11*1000*(1+Input!$D$46)^MAX(0,V$8-1)*V25</x:f>
        <x:v>104678856.50307822</x:v>
      </x:c>
      <x:c r="W31" s="52" t="n">
        <x:f>W11*1000*(1+Input!$D$46)^MAX(0,W$8-1)*W25</x:f>
        <x:v>96871717.05988498</x:v>
      </x:c>
      <x:c r="X31" s="52" t="n">
        <x:f>X11*1000*(1+Input!$D$46)^MAX(0,X$8-1)*X25</x:f>
        <x:v>89646848.27116409</x:v>
      </x:c>
      <x:c r="Y31" s="52" t="n">
        <x:f>Y11*1000*(1+Input!$D$46)^MAX(0,Y$8-1)*Y25</x:f>
        <x:v>0</x:v>
      </x:c>
      <x:c r="Z31" s="52" t="n">
        <x:f>Z11*1000*(1+Input!$D$46)^MAX(0,Z$8-1)*Z25</x:f>
        <x:v>0</x:v>
      </x:c>
      <x:c r="AA31" s="52" t="n">
        <x:f>AA11*1000*(1+Input!$D$46)^MAX(0,AA$8-1)*AA25</x:f>
        <x:v>0</x:v>
      </x:c>
      <x:c r="AB31" s="52" t="n">
        <x:f>AB11*1000*(1+Input!$D$46)^MAX(0,AB$8-1)*AB25</x:f>
        <x:v>0</x:v>
      </x:c>
      <x:c r="AC31" s="52" t="n">
        <x:f>AC11*1000*(1+Input!$D$46)^MAX(0,AC$8-1)*AC25</x:f>
        <x:v>0</x:v>
      </x:c>
      <x:c r="AD31" s="52" t="n">
        <x:f>AD11*1000*(1+Input!$D$46)^MAX(0,AD$8-1)*AD25</x:f>
        <x:v>0</x:v>
      </x:c>
      <x:c r="AE31" s="52" t="n">
        <x:f>AE11*1000*(1+Input!$D$46)^MAX(0,AE$8-1)*AE25</x:f>
        <x:v>0</x:v>
      </x:c>
      <x:c r="AF31" s="52" t="n">
        <x:f>AF11*1000*(1+Input!$D$46)^MAX(0,AF$8-1)*AF25</x:f>
        <x:v>0</x:v>
      </x:c>
    </x:row>
    <x:row r="32" ht="15" customHeight="1">
      <x:c r="A32" s="70"/>
      <x:c r="B32" s="70"/>
      <x:c r="C32" s="65"/>
      <x:c r="D32" s="65"/>
      <x:c r="E32" s="65"/>
      <x:c r="F32" s="65"/>
      <x:c r="G32" s="65"/>
      <x:c r="H32" s="65"/>
      <x:c r="I32" s="65"/>
      <x:c r="J32" s="65"/>
      <x:c r="K32" s="65"/>
      <x:c r="L32" s="65"/>
      <x:c r="M32" s="65"/>
      <x:c r="N32" s="65"/>
      <x:c r="O32" s="65"/>
      <x:c r="P32" s="65"/>
      <x:c r="Q32" s="65"/>
      <x:c r="R32" s="65"/>
      <x:c r="S32" s="65"/>
      <x:c r="T32" s="65"/>
      <x:c r="U32" s="65"/>
      <x:c r="V32" s="65"/>
      <x:c r="W32" s="65"/>
      <x:c r="X32" s="65"/>
      <x:c r="Y32" s="65"/>
      <x:c r="Z32" s="65"/>
      <x:c r="AA32" s="65"/>
      <x:c r="AB32" s="65"/>
      <x:c r="AC32" s="65"/>
      <x:c r="AD32" s="65"/>
      <x:c r="AE32" s="65"/>
      <x:c r="AF32" s="65"/>
    </x:row>
    <x:row r="33" ht="15" customHeight="1">
      <x:c r="A33" s="136" t="s">
        <x:v>609</x:v>
      </x:c>
      <x:c r="B33" s="136"/>
      <x:c r="C33" s="137"/>
      <x:c r="D33" s="137"/>
      <x:c r="E33" s="137"/>
      <x:c r="F33" s="137"/>
      <x:c r="G33" s="137"/>
      <x:c r="H33" s="137"/>
      <x:c r="I33" s="137"/>
      <x:c r="J33" s="137"/>
      <x:c r="K33" s="137"/>
      <x:c r="L33" s="137"/>
      <x:c r="M33" s="137"/>
      <x:c r="N33" s="137"/>
      <x:c r="O33" s="137"/>
      <x:c r="P33" s="137"/>
      <x:c r="Q33" s="137"/>
      <x:c r="R33" s="137"/>
      <x:c r="S33" s="137"/>
      <x:c r="T33" s="137"/>
      <x:c r="U33" s="137"/>
      <x:c r="V33" s="137"/>
      <x:c r="W33" s="137"/>
      <x:c r="X33" s="137"/>
      <x:c r="Y33" s="137"/>
      <x:c r="Z33" s="137"/>
      <x:c r="AA33" s="137"/>
      <x:c r="AB33" s="137"/>
      <x:c r="AC33" s="137"/>
      <x:c r="AD33" s="137"/>
      <x:c r="AE33" s="137"/>
      <x:c r="AF33" s="137"/>
    </x:row>
    <x:row r="34" ht="15" customHeight="1">
      <x:c r="A34" s="70" t="s">
        <x:v>520</x:v>
      </x:c>
      <x:c r="B34" s="70" t="s">
        <x:v>130</x:v>
      </x:c>
      <x:c r="C34" s="76" t="n">
        <x:f>IF(COUNTIF(C24:AF24,"&lt;0")*COUNTIF(C24:AF24,"&gt;0")=0,0,IRR(C24:AF24))</x:f>
        <x:v>0.10716004078868951</x:v>
      </x:c>
      <x:c r="D34" s="65"/>
      <x:c r="E34" s="65"/>
      <x:c r="F34" s="65"/>
      <x:c r="G34" s="65"/>
      <x:c r="H34" s="65"/>
      <x:c r="I34" s="65"/>
      <x:c r="J34" s="65"/>
      <x:c r="K34" s="65"/>
      <x:c r="L34" s="65"/>
      <x:c r="M34" s="65"/>
      <x:c r="N34" s="65"/>
      <x:c r="O34" s="65"/>
      <x:c r="P34" s="65"/>
      <x:c r="Q34" s="65"/>
      <x:c r="R34" s="65"/>
      <x:c r="S34" s="65"/>
      <x:c r="T34" s="65"/>
      <x:c r="U34" s="65"/>
      <x:c r="V34" s="65"/>
      <x:c r="W34" s="65"/>
      <x:c r="X34" s="65"/>
      <x:c r="Y34" s="65"/>
      <x:c r="Z34" s="65"/>
      <x:c r="AA34" s="65"/>
      <x:c r="AB34" s="65"/>
      <x:c r="AC34" s="65"/>
      <x:c r="AD34" s="65"/>
      <x:c r="AE34" s="65"/>
      <x:c r="AF34" s="65"/>
    </x:row>
    <x:row r="35" ht="15" customHeight="1">
      <x:c r="A35" s="70" t="s">
        <x:v>521</x:v>
      </x:c>
      <x:c r="B35" s="70" t="s">
        <x:v>134</x:v>
      </x:c>
      <x:c r="C35" s="68" t="n">
        <x:f>SUM(C26:AF26)</x:f>
        <x:v>319.6386934719256</x:v>
      </x:c>
      <x:c r="D35" s="65"/>
      <x:c r="E35" s="65"/>
      <x:c r="F35" s="65"/>
      <x:c r="G35" s="65"/>
      <x:c r="H35" s="65"/>
      <x:c r="I35" s="65"/>
      <x:c r="J35" s="65"/>
      <x:c r="K35" s="65"/>
      <x:c r="L35" s="65"/>
      <x:c r="M35" s="65"/>
      <x:c r="N35" s="65"/>
      <x:c r="O35" s="65"/>
      <x:c r="P35" s="65"/>
      <x:c r="Q35" s="65"/>
      <x:c r="R35" s="65"/>
      <x:c r="S35" s="65"/>
      <x:c r="T35" s="65"/>
      <x:c r="U35" s="65"/>
      <x:c r="V35" s="65"/>
      <x:c r="W35" s="65"/>
      <x:c r="X35" s="65"/>
      <x:c r="Y35" s="65"/>
      <x:c r="Z35" s="65"/>
      <x:c r="AA35" s="65"/>
      <x:c r="AB35" s="65"/>
      <x:c r="AC35" s="65"/>
      <x:c r="AD35" s="65"/>
      <x:c r="AE35" s="65"/>
      <x:c r="AF35" s="65"/>
    </x:row>
    <x:row r="36" ht="15" customHeight="1">
      <x:c r="A36" s="70" t="s">
        <x:v>522</x:v>
      </x:c>
      <x:c r="B36" s="70" t="s">
        <x:v>610</x:v>
      </x:c>
      <x:c r="C36" s="77" t="n">
        <x:f>IF(COUNT(C28:AF28)=0,0,MIN(C28:AF28))</x:f>
        <x:v>2034</x:v>
      </x:c>
      <x:c r="D36" s="65"/>
      <x:c r="E36" s="65"/>
      <x:c r="F36" s="65"/>
      <x:c r="G36" s="65"/>
      <x:c r="H36" s="65"/>
      <x:c r="I36" s="65"/>
      <x:c r="J36" s="65"/>
      <x:c r="K36" s="65"/>
      <x:c r="L36" s="65"/>
      <x:c r="M36" s="65"/>
      <x:c r="N36" s="65"/>
      <x:c r="O36" s="65"/>
      <x:c r="P36" s="65"/>
      <x:c r="Q36" s="65"/>
      <x:c r="R36" s="65"/>
      <x:c r="S36" s="65"/>
      <x:c r="T36" s="65"/>
      <x:c r="U36" s="65"/>
      <x:c r="V36" s="65"/>
      <x:c r="W36" s="65"/>
      <x:c r="X36" s="65"/>
      <x:c r="Y36" s="65"/>
      <x:c r="Z36" s="65"/>
      <x:c r="AA36" s="65"/>
      <x:c r="AB36" s="65"/>
      <x:c r="AC36" s="65"/>
      <x:c r="AD36" s="65"/>
      <x:c r="AE36" s="65"/>
      <x:c r="AF36" s="65"/>
    </x:row>
    <x:row r="37" ht="15" customHeight="1">
      <x:c r="A37" s="70" t="s">
        <x:v>524</x:v>
      </x:c>
      <x:c r="B37" s="70" t="s">
        <x:v>611</x:v>
      </x:c>
      <x:c r="C37" s="77" t="n">
        <x:f>IF(C36=0,0,C36-Input!$D$14)</x:f>
        <x:v>9</x:v>
      </x:c>
      <x:c r="D37" s="65"/>
      <x:c r="E37" s="65"/>
      <x:c r="F37" s="65"/>
      <x:c r="G37" s="65"/>
      <x:c r="H37" s="65"/>
      <x:c r="I37" s="65"/>
      <x:c r="J37" s="65"/>
      <x:c r="K37" s="65"/>
      <x:c r="L37" s="65"/>
      <x:c r="M37" s="65"/>
      <x:c r="N37" s="65"/>
      <x:c r="O37" s="65"/>
      <x:c r="P37" s="65"/>
      <x:c r="Q37" s="65"/>
      <x:c r="R37" s="65"/>
      <x:c r="S37" s="65"/>
      <x:c r="T37" s="65"/>
      <x:c r="U37" s="65"/>
      <x:c r="V37" s="65"/>
      <x:c r="W37" s="65"/>
      <x:c r="X37" s="65"/>
      <x:c r="Y37" s="65"/>
      <x:c r="Z37" s="65"/>
      <x:c r="AA37" s="65"/>
      <x:c r="AB37" s="65"/>
      <x:c r="AC37" s="65"/>
      <x:c r="AD37" s="65"/>
      <x:c r="AE37" s="65"/>
      <x:c r="AF37" s="65"/>
    </x:row>
    <x:row r="38" ht="15" customHeight="1">
      <x:c r="A38" s="70" t="s">
        <x:v>525</x:v>
      </x:c>
      <x:c r="B38" s="70" t="s">
        <x:v>87</x:v>
      </x:c>
      <x:c r="C38" s="68" t="n">
        <x:f>IF(SUM(C30:AF30)=0,0,SUM(C29:AF29)/SUM(C30:AF30)*1000000)</x:f>
        <x:v>1913.920845794192</x:v>
      </x:c>
      <x:c r="D38" s="65"/>
      <x:c r="E38" s="65"/>
      <x:c r="F38" s="65"/>
      <x:c r="G38" s="65"/>
      <x:c r="H38" s="65"/>
      <x:c r="I38" s="65"/>
      <x:c r="J38" s="65"/>
      <x:c r="K38" s="65"/>
      <x:c r="L38" s="65"/>
      <x:c r="M38" s="65"/>
      <x:c r="N38" s="65"/>
      <x:c r="O38" s="65"/>
      <x:c r="P38" s="65"/>
      <x:c r="Q38" s="65"/>
      <x:c r="R38" s="65"/>
      <x:c r="S38" s="65"/>
      <x:c r="T38" s="65"/>
      <x:c r="U38" s="65"/>
      <x:c r="V38" s="65"/>
      <x:c r="W38" s="65"/>
      <x:c r="X38" s="65"/>
      <x:c r="Y38" s="65"/>
      <x:c r="Z38" s="65"/>
      <x:c r="AA38" s="65"/>
      <x:c r="AB38" s="65"/>
      <x:c r="AC38" s="65"/>
      <x:c r="AD38" s="65"/>
      <x:c r="AE38" s="65"/>
      <x:c r="AF38" s="65"/>
    </x:row>
    <x:row r="39" ht="15" customHeight="1">
      <x:c r="A39" s="70" t="s">
        <x:v>527</x:v>
      </x:c>
      <x:c r="B39" s="70" t="s">
        <x:v>612</x:v>
      </x:c>
      <x:c r="C39" s="68" t="n">
        <x:f>IF(SUM(C31:AF31)=0,0,SUM(C29:AF29)*1000000000/SUM(C31:AF31))</x:f>
        <x:v>1675.0003797224717</x:v>
      </x:c>
      <x:c r="D39" s="65"/>
      <x:c r="E39" s="65"/>
      <x:c r="F39" s="65"/>
      <x:c r="G39" s="65"/>
      <x:c r="H39" s="65"/>
      <x:c r="I39" s="65"/>
      <x:c r="J39" s="65"/>
      <x:c r="K39" s="65"/>
      <x:c r="L39" s="65"/>
      <x:c r="M39" s="65"/>
      <x:c r="N39" s="65"/>
      <x:c r="O39" s="65"/>
      <x:c r="P39" s="65"/>
      <x:c r="Q39" s="65"/>
      <x:c r="R39" s="65"/>
      <x:c r="S39" s="65"/>
      <x:c r="T39" s="65"/>
      <x:c r="U39" s="65"/>
      <x:c r="V39" s="65"/>
      <x:c r="W39" s="65"/>
      <x:c r="X39" s="65"/>
      <x:c r="Y39" s="65"/>
      <x:c r="Z39" s="65"/>
      <x:c r="AA39" s="65"/>
      <x:c r="AB39" s="65"/>
      <x:c r="AC39" s="65"/>
      <x:c r="AD39" s="65"/>
      <x:c r="AE39" s="65"/>
      <x:c r="AF39" s="65"/>
    </x:row>
    <x:row r="40" ht="15" customHeight="1">
      <x:c r="A40" s="70"/>
      <x:c r="B40" s="70"/>
      <x:c r="C40" s="65"/>
      <x:c r="D40" s="65"/>
      <x:c r="E40" s="65"/>
      <x:c r="F40" s="65"/>
      <x:c r="G40" s="65"/>
      <x:c r="H40" s="65"/>
      <x:c r="I40" s="65"/>
      <x:c r="J40" s="65"/>
      <x:c r="K40" s="65"/>
      <x:c r="L40" s="65"/>
      <x:c r="M40" s="65"/>
      <x:c r="N40" s="65"/>
      <x:c r="O40" s="65"/>
      <x:c r="P40" s="65"/>
      <x:c r="Q40" s="65"/>
      <x:c r="R40" s="65"/>
      <x:c r="S40" s="65"/>
      <x:c r="T40" s="65"/>
      <x:c r="U40" s="65"/>
      <x:c r="V40" s="65"/>
      <x:c r="W40" s="65"/>
      <x:c r="X40" s="65"/>
      <x:c r="Y40" s="65"/>
      <x:c r="Z40" s="65"/>
      <x:c r="AA40" s="65"/>
      <x:c r="AB40" s="65"/>
      <x:c r="AC40" s="65"/>
      <x:c r="AD40" s="65"/>
      <x:c r="AE40" s="65"/>
      <x:c r="AF40" s="65"/>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c r="AA41" s="41"/>
      <x:c r="AB41" s="41"/>
      <x:c r="AC41" s="41"/>
      <x:c r="AD41" s="41"/>
      <x:c r="AE41" s="41"/>
      <x:c r="AF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c r="AA42" s="41"/>
      <x:c r="AB42" s="41"/>
      <x:c r="AC42" s="41"/>
      <x:c r="AD42" s="41"/>
      <x:c r="AE42" s="41"/>
      <x:c r="AF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c r="AA43" s="41"/>
      <x:c r="AB43" s="41"/>
      <x:c r="AC43" s="41"/>
      <x:c r="AD43" s="41"/>
      <x:c r="AE43" s="41"/>
      <x:c r="AF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c r="AA44" s="41"/>
      <x:c r="AB44" s="41"/>
      <x:c r="AC44" s="41"/>
      <x:c r="AD44" s="41"/>
      <x:c r="AE44" s="41"/>
      <x:c r="AF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c r="AA45" s="41"/>
      <x:c r="AB45" s="41"/>
      <x:c r="AC45" s="41"/>
      <x:c r="AD45" s="41"/>
      <x:c r="AE45" s="41"/>
      <x:c r="AF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c r="AA46" s="41"/>
      <x:c r="AB46" s="41"/>
      <x:c r="AC46" s="41"/>
      <x:c r="AD46" s="41"/>
      <x:c r="AE46" s="41"/>
      <x:c r="AF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c r="AA47" s="41"/>
      <x:c r="AB47" s="41"/>
      <x:c r="AC47" s="41"/>
      <x:c r="AD47" s="41"/>
      <x:c r="AE47" s="41"/>
      <x:c r="AF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c r="AA48" s="41"/>
      <x:c r="AB48" s="41"/>
      <x:c r="AC48" s="41"/>
      <x:c r="AD48" s="41"/>
      <x:c r="AE48" s="41"/>
      <x:c r="AF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c r="AA49" s="41"/>
      <x:c r="AB49" s="41"/>
      <x:c r="AC49" s="41"/>
      <x:c r="AD49" s="41"/>
      <x:c r="AE49" s="41"/>
      <x:c r="AF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c r="AA50" s="41"/>
      <x:c r="AB50" s="41"/>
      <x:c r="AC50" s="41"/>
      <x:c r="AD50" s="41"/>
      <x:c r="AE50" s="41"/>
      <x:c r="AF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c r="AA51" s="41"/>
      <x:c r="AB51" s="41"/>
      <x:c r="AC51" s="41"/>
      <x:c r="AD51" s="41"/>
      <x:c r="AE51" s="41"/>
      <x:c r="AF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c r="AA52" s="41"/>
      <x:c r="AB52" s="41"/>
      <x:c r="AC52" s="41"/>
      <x:c r="AD52" s="41"/>
      <x:c r="AE52" s="41"/>
      <x:c r="AF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c r="AA53" s="41"/>
      <x:c r="AB53" s="41"/>
      <x:c r="AC53" s="41"/>
      <x:c r="AD53" s="41"/>
      <x:c r="AE53" s="41"/>
      <x:c r="AF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c r="AA54" s="41"/>
      <x:c r="AB54" s="41"/>
      <x:c r="AC54" s="41"/>
      <x:c r="AD54" s="41"/>
      <x:c r="AE54" s="41"/>
      <x:c r="AF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c r="AA55" s="41"/>
      <x:c r="AB55" s="41"/>
      <x:c r="AC55" s="41"/>
      <x:c r="AD55" s="41"/>
      <x:c r="AE55" s="41"/>
      <x:c r="AF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c r="AA56" s="41"/>
      <x:c r="AB56" s="41"/>
      <x:c r="AC56" s="41"/>
      <x:c r="AD56" s="41"/>
      <x:c r="AE56" s="41"/>
      <x:c r="AF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c r="AA57" s="41"/>
      <x:c r="AB57" s="41"/>
      <x:c r="AC57" s="41"/>
      <x:c r="AD57" s="41"/>
      <x:c r="AE57" s="41"/>
      <x:c r="AF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c r="AA58" s="41"/>
      <x:c r="AB58" s="41"/>
      <x:c r="AC58" s="41"/>
      <x:c r="AD58" s="41"/>
      <x:c r="AE58" s="41"/>
      <x:c r="AF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c r="AA59" s="41"/>
      <x:c r="AB59" s="41"/>
      <x:c r="AC59" s="41"/>
      <x:c r="AD59" s="41"/>
      <x:c r="AE59" s="41"/>
      <x:c r="AF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c r="AA60" s="41"/>
      <x:c r="AB60" s="41"/>
      <x:c r="AC60" s="41"/>
      <x:c r="AD60" s="41"/>
      <x:c r="AE60" s="41"/>
      <x:c r="AF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c r="AA61" s="41"/>
      <x:c r="AB61" s="41"/>
      <x:c r="AC61" s="41"/>
      <x:c r="AD61" s="41"/>
      <x:c r="AE61" s="41"/>
      <x:c r="AF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c r="AA62" s="41"/>
      <x:c r="AB62" s="41"/>
      <x:c r="AC62" s="41"/>
      <x:c r="AD62" s="41"/>
      <x:c r="AE62" s="41"/>
      <x:c r="AF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c r="AA63" s="41"/>
      <x:c r="AB63" s="41"/>
      <x:c r="AC63" s="41"/>
      <x:c r="AD63" s="41"/>
      <x:c r="AE63" s="41"/>
      <x:c r="AF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c r="AA64" s="41"/>
      <x:c r="AB64" s="41"/>
      <x:c r="AC64" s="41"/>
      <x:c r="AD64" s="41"/>
      <x:c r="AE64" s="41"/>
      <x:c r="AF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c r="AA65" s="41"/>
      <x:c r="AB65" s="41"/>
      <x:c r="AC65" s="41"/>
      <x:c r="AD65" s="41"/>
      <x:c r="AE65" s="41"/>
      <x:c r="AF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c r="AA66" s="41"/>
      <x:c r="AB66" s="41"/>
      <x:c r="AC66" s="41"/>
      <x:c r="AD66" s="41"/>
      <x:c r="AE66" s="41"/>
      <x:c r="AF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c r="AA67" s="41"/>
      <x:c r="AB67" s="41"/>
      <x:c r="AC67" s="41"/>
      <x:c r="AD67" s="41"/>
      <x:c r="AE67" s="41"/>
      <x:c r="AF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c r="AA68" s="41"/>
      <x:c r="AB68" s="41"/>
      <x:c r="AC68" s="41"/>
      <x:c r="AD68" s="41"/>
      <x:c r="AE68" s="41"/>
      <x:c r="AF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c r="AA69" s="41"/>
      <x:c r="AB69" s="41"/>
      <x:c r="AC69" s="41"/>
      <x:c r="AD69" s="41"/>
      <x:c r="AE69" s="41"/>
      <x:c r="AF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c r="AA70" s="41"/>
      <x:c r="AB70" s="41"/>
      <x:c r="AC70" s="41"/>
      <x:c r="AD70" s="41"/>
      <x:c r="AE70" s="41"/>
      <x:c r="AF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c r="AA71" s="41"/>
      <x:c r="AB71" s="41"/>
      <x:c r="AC71" s="41"/>
      <x:c r="AD71" s="41"/>
      <x:c r="AE71" s="41"/>
      <x:c r="AF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c r="AA72" s="41"/>
      <x:c r="AB72" s="41"/>
      <x:c r="AC72" s="41"/>
      <x:c r="AD72" s="41"/>
      <x:c r="AE72" s="41"/>
      <x:c r="AF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c r="AA73" s="41"/>
      <x:c r="AB73" s="41"/>
      <x:c r="AC73" s="41"/>
      <x:c r="AD73" s="41"/>
      <x:c r="AE73" s="41"/>
      <x:c r="AF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c r="AA74" s="41"/>
      <x:c r="AB74" s="41"/>
      <x:c r="AC74" s="41"/>
      <x:c r="AD74" s="41"/>
      <x:c r="AE74" s="41"/>
      <x:c r="AF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c r="AA75" s="41"/>
      <x:c r="AB75" s="41"/>
      <x:c r="AC75" s="41"/>
      <x:c r="AD75" s="41"/>
      <x:c r="AE75" s="41"/>
      <x:c r="AF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c r="AA76" s="41"/>
      <x:c r="AB76" s="41"/>
      <x:c r="AC76" s="41"/>
      <x:c r="AD76" s="41"/>
      <x:c r="AE76" s="41"/>
      <x:c r="AF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c r="AA77" s="41"/>
      <x:c r="AB77" s="41"/>
      <x:c r="AC77" s="41"/>
      <x:c r="AD77" s="41"/>
      <x:c r="AE77" s="41"/>
      <x:c r="AF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c r="AA78" s="41"/>
      <x:c r="AB78" s="41"/>
      <x:c r="AC78" s="41"/>
      <x:c r="AD78" s="41"/>
      <x:c r="AE78" s="41"/>
      <x:c r="AF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c r="AA79" s="41"/>
      <x:c r="AB79" s="41"/>
      <x:c r="AC79" s="41"/>
      <x:c r="AD79" s="41"/>
      <x:c r="AE79" s="41"/>
      <x:c r="AF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c r="AA80" s="41"/>
      <x:c r="AB80" s="41"/>
      <x:c r="AC80" s="41"/>
      <x:c r="AD80" s="41"/>
      <x:c r="AE80" s="41"/>
      <x:c r="AF80" s="41"/>
    </x:row>
  </x:sheetData>
  <x:mergeCells>
    <x:mergeCell ref="A33:AF33"/>
    <x:mergeCell ref="A1:AF1"/>
    <x:mergeCell ref="A2:AF2"/>
    <x:mergeCell ref="A3:AF3"/>
    <x:mergeCell ref="A10:AF10"/>
    <x:mergeCell ref="A20:AF20"/>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4"/>
  <x:cols>
    <x:col min="1" max="1" width="10" customWidth="1"/>
    <x:col min="2" max="2" width="34" customWidth="1"/>
    <x:col min="3" max="32" width="12" customWidth="1"/>
  </x:cols>
  <x:sheetData>
    <x:row r="1" ht="15" customHeight="1">
      <x:c r="A1" s="131" t="s">
        <x:v>613</x:v>
      </x:c>
      <x:c r="B1" s="131"/>
      <x:c r="C1" s="132"/>
      <x:c r="D1" s="132"/>
      <x:c r="E1" s="132"/>
      <x:c r="F1" s="132"/>
      <x:c r="G1" s="132"/>
      <x:c r="H1" s="132"/>
      <x:c r="I1" s="132"/>
      <x:c r="J1" s="132"/>
      <x:c r="K1" s="132"/>
      <x:c r="L1" s="132"/>
      <x:c r="M1" s="132"/>
      <x:c r="N1" s="132"/>
      <x:c r="O1" s="132"/>
      <x:c r="P1" s="132"/>
      <x:c r="Q1" s="132"/>
      <x:c r="R1" s="132"/>
      <x:c r="S1" s="132"/>
      <x:c r="T1" s="132"/>
      <x:c r="U1" s="132"/>
      <x:c r="V1" s="132"/>
      <x:c r="W1" s="132"/>
      <x:c r="X1" s="132"/>
      <x:c r="Y1" s="132"/>
      <x:c r="Z1" s="132"/>
      <x:c r="AA1" s="132"/>
      <x:c r="AB1" s="132"/>
      <x:c r="AC1" s="132"/>
      <x:c r="AD1" s="132"/>
      <x:c r="AE1" s="132"/>
      <x:c r="AF1" s="132"/>
    </x:row>
    <x:row r="2" ht="15" customHeight="1">
      <x:c r="A2" s="133" t="s">
        <x:v>614</x:v>
      </x:c>
      <x:c r="B2" s="133"/>
      <x:c r="C2" s="133"/>
      <x:c r="D2" s="133"/>
      <x:c r="E2" s="133"/>
      <x:c r="F2" s="133"/>
      <x:c r="G2" s="133"/>
      <x:c r="H2" s="133"/>
      <x:c r="I2" s="133"/>
      <x:c r="J2" s="133"/>
      <x:c r="K2" s="133"/>
      <x:c r="L2" s="133"/>
      <x:c r="M2" s="133"/>
      <x:c r="N2" s="133"/>
      <x:c r="O2" s="133"/>
      <x:c r="P2" s="133"/>
      <x:c r="Q2" s="133"/>
      <x:c r="R2" s="133"/>
      <x:c r="S2" s="133"/>
      <x:c r="T2" s="133"/>
      <x:c r="U2" s="133"/>
      <x:c r="V2" s="133"/>
      <x:c r="W2" s="133"/>
      <x:c r="X2" s="133"/>
      <x:c r="Y2" s="133"/>
      <x:c r="Z2" s="133"/>
      <x:c r="AA2" s="133"/>
      <x:c r="AB2" s="133"/>
      <x:c r="AC2" s="133"/>
      <x:c r="AD2" s="133"/>
      <x:c r="AE2" s="133"/>
      <x:c r="AF2" s="133"/>
    </x:row>
    <x:row r="3" ht="15" customHeight="1">
      <x:c r="A3" s="134" t="s">
        <x:v>447</x:v>
      </x:c>
      <x:c r="B3" s="134"/>
      <x:c r="C3" s="135"/>
      <x:c r="D3" s="135"/>
      <x:c r="E3" s="135"/>
      <x:c r="F3" s="135"/>
      <x:c r="G3" s="135"/>
      <x:c r="H3" s="135"/>
      <x:c r="I3" s="135"/>
      <x:c r="J3" s="135"/>
      <x:c r="K3" s="135"/>
      <x:c r="L3" s="135"/>
      <x:c r="M3" s="135"/>
      <x:c r="N3" s="135"/>
      <x:c r="O3" s="135"/>
      <x:c r="P3" s="135"/>
      <x:c r="Q3" s="135"/>
      <x:c r="R3" s="135"/>
      <x:c r="S3" s="135"/>
      <x:c r="T3" s="135"/>
      <x:c r="U3" s="135"/>
      <x:c r="V3" s="135"/>
      <x:c r="W3" s="135"/>
      <x:c r="X3" s="135"/>
      <x:c r="Y3" s="135"/>
      <x:c r="Z3" s="135"/>
      <x:c r="AA3" s="135"/>
      <x:c r="AB3" s="135"/>
      <x:c r="AC3" s="135"/>
      <x:c r="AD3" s="135"/>
      <x:c r="AE3" s="135"/>
      <x:c r="AF3" s="135"/>
    </x:row>
    <x:row r="4" ht="15" customHeight="1">
      <x:c r="A4" s="70"/>
      <x:c r="B4" s="70"/>
      <x:c r="C4" s="65"/>
      <x:c r="D4" s="65"/>
      <x:c r="E4" s="65"/>
      <x:c r="F4" s="65"/>
      <x:c r="G4" s="65"/>
      <x:c r="H4" s="65"/>
      <x:c r="I4" s="65"/>
      <x:c r="J4" s="65"/>
      <x:c r="K4" s="65"/>
      <x:c r="L4" s="65"/>
      <x:c r="M4" s="65"/>
      <x:c r="N4" s="65"/>
      <x:c r="O4" s="65"/>
      <x:c r="P4" s="65"/>
      <x:c r="Q4" s="65"/>
      <x:c r="R4" s="65"/>
      <x:c r="S4" s="65"/>
      <x:c r="T4" s="65"/>
      <x:c r="U4" s="65"/>
      <x:c r="V4" s="65"/>
      <x:c r="W4" s="65"/>
      <x:c r="X4" s="65"/>
      <x:c r="Y4" s="65"/>
      <x:c r="Z4" s="65"/>
      <x:c r="AA4" s="65"/>
      <x:c r="AB4" s="65"/>
      <x:c r="AC4" s="65"/>
      <x:c r="AD4" s="65"/>
      <x:c r="AE4" s="65"/>
      <x:c r="AF4" s="65"/>
    </x:row>
    <x:row r="5" ht="15" customHeight="1">
      <x:c r="A5" s="70"/>
      <x:c r="B5" s="70"/>
      <x:c r="C5" s="65"/>
      <x:c r="D5" s="65"/>
      <x:c r="E5" s="65"/>
      <x:c r="F5" s="65"/>
      <x:c r="G5" s="65"/>
      <x:c r="H5" s="65"/>
      <x:c r="I5" s="65"/>
      <x:c r="J5" s="65"/>
      <x:c r="K5" s="65"/>
      <x:c r="L5" s="65"/>
      <x:c r="M5" s="65"/>
      <x:c r="N5" s="65"/>
      <x:c r="O5" s="65"/>
      <x:c r="P5" s="65"/>
      <x:c r="Q5" s="65"/>
      <x:c r="R5" s="65"/>
      <x:c r="S5" s="65"/>
      <x:c r="T5" s="65"/>
      <x:c r="U5" s="65"/>
      <x:c r="V5" s="65"/>
      <x:c r="W5" s="65"/>
      <x:c r="X5" s="65"/>
      <x:c r="Y5" s="65"/>
      <x:c r="Z5" s="65"/>
      <x:c r="AA5" s="65"/>
      <x:c r="AB5" s="65"/>
      <x:c r="AC5" s="65"/>
      <x:c r="AD5" s="65"/>
      <x:c r="AE5" s="65"/>
      <x:c r="AF5" s="65"/>
    </x:row>
    <x:row r="6" ht="15" customHeight="1">
      <x:c r="A6" s="71"/>
      <x:c r="B6" s="71" t="s">
        <x:v>160</x:v>
      </x:c>
      <x:c r="C6" s="42" t="n">
        <x:f>CAPEX!C6</x:f>
        <x:v>2025</x:v>
      </x:c>
      <x:c r="D6" s="42" t="n">
        <x:f>CAPEX!D6</x:f>
        <x:v>2026</x:v>
      </x:c>
      <x:c r="E6" s="42" t="n">
        <x:f>CAPEX!E6</x:f>
        <x:v>2027</x:v>
      </x:c>
      <x:c r="F6" s="42" t="n">
        <x:f>CAPEX!F6</x:f>
        <x:v>2028</x:v>
      </x:c>
      <x:c r="G6" s="42" t="n">
        <x:f>CAPEX!G6</x:f>
        <x:v>2029</x:v>
      </x:c>
      <x:c r="H6" s="42" t="n">
        <x:f>CAPEX!H6</x:f>
        <x:v>2030</x:v>
      </x:c>
      <x:c r="I6" s="42" t="n">
        <x:f>CAPEX!I6</x:f>
        <x:v>2031</x:v>
      </x:c>
      <x:c r="J6" s="42" t="n">
        <x:f>CAPEX!J6</x:f>
        <x:v>2032</x:v>
      </x:c>
      <x:c r="K6" s="42" t="n">
        <x:f>CAPEX!K6</x:f>
        <x:v>2033</x:v>
      </x:c>
      <x:c r="L6" s="42" t="n">
        <x:f>CAPEX!L6</x:f>
        <x:v>2034</x:v>
      </x:c>
      <x:c r="M6" s="42" t="n">
        <x:f>CAPEX!M6</x:f>
        <x:v>2035</x:v>
      </x:c>
      <x:c r="N6" s="42" t="n">
        <x:f>CAPEX!N6</x:f>
        <x:v>2036</x:v>
      </x:c>
      <x:c r="O6" s="42" t="n">
        <x:f>CAPEX!O6</x:f>
        <x:v>2037</x:v>
      </x:c>
      <x:c r="P6" s="42" t="n">
        <x:f>CAPEX!P6</x:f>
        <x:v>2038</x:v>
      </x:c>
      <x:c r="Q6" s="42" t="n">
        <x:f>CAPEX!Q6</x:f>
        <x:v>2039</x:v>
      </x:c>
      <x:c r="R6" s="42" t="n">
        <x:f>CAPEX!R6</x:f>
        <x:v>2040</x:v>
      </x:c>
      <x:c r="S6" s="42" t="n">
        <x:f>CAPEX!S6</x:f>
        <x:v>2041</x:v>
      </x:c>
      <x:c r="T6" s="42" t="n">
        <x:f>CAPEX!T6</x:f>
        <x:v>2042</x:v>
      </x:c>
      <x:c r="U6" s="42" t="n">
        <x:f>CAPEX!U6</x:f>
        <x:v>2043</x:v>
      </x:c>
      <x:c r="V6" s="42" t="n">
        <x:f>CAPEX!V6</x:f>
        <x:v>2044</x:v>
      </x:c>
      <x:c r="W6" s="42" t="n">
        <x:f>CAPEX!W6</x:f>
        <x:v>2045</x:v>
      </x:c>
      <x:c r="X6" s="42" t="n">
        <x:f>CAPEX!X6</x:f>
        <x:v>2046</x:v>
      </x:c>
      <x:c r="Y6" s="42" t="n">
        <x:f>CAPEX!Y6</x:f>
        <x:v>2047</x:v>
      </x:c>
      <x:c r="Z6" s="42" t="n">
        <x:f>CAPEX!Z6</x:f>
        <x:v>2048</x:v>
      </x:c>
      <x:c r="AA6" s="42" t="n">
        <x:f>CAPEX!AA6</x:f>
        <x:v>2049</x:v>
      </x:c>
      <x:c r="AB6" s="42" t="n">
        <x:f>CAPEX!AB6</x:f>
        <x:v>2050</x:v>
      </x:c>
      <x:c r="AC6" s="42" t="n">
        <x:f>CAPEX!AC6</x:f>
        <x:v>2051</x:v>
      </x:c>
      <x:c r="AD6" s="42" t="n">
        <x:f>CAPEX!AD6</x:f>
        <x:v>2052</x:v>
      </x:c>
      <x:c r="AE6" s="42" t="n">
        <x:f>CAPEX!AE6</x:f>
        <x:v>2053</x:v>
      </x:c>
      <x:c r="AF6" s="42" t="n">
        <x:f>CAPEX!AF6</x:f>
        <x:v>2054</x:v>
      </x:c>
    </x:row>
    <x:row r="7" ht="15" customHeight="1">
      <x:c r="A7" s="70"/>
      <x:c r="B7" s="70" t="s">
        <x:v>448</x:v>
      </x:c>
      <x:c r="C7" s="66" t="n">
        <x:f>CAPEX!C7</x:f>
        <x:v>0</x:v>
      </x:c>
      <x:c r="D7" s="66" t="n">
        <x:f>CAPEX!D7</x:f>
        <x:v>1</x:v>
      </x:c>
      <x:c r="E7" s="66" t="n">
        <x:f>CAPEX!E7</x:f>
        <x:v>2</x:v>
      </x:c>
      <x:c r="F7" s="66" t="n">
        <x:f>CAPEX!F7</x:f>
        <x:v>3</x:v>
      </x:c>
      <x:c r="G7" s="66" t="n">
        <x:f>CAPEX!G7</x:f>
        <x:v>4</x:v>
      </x:c>
      <x:c r="H7" s="66" t="n">
        <x:f>CAPEX!H7</x:f>
        <x:v>5</x:v>
      </x:c>
      <x:c r="I7" s="66" t="n">
        <x:f>CAPEX!I7</x:f>
        <x:v>6</x:v>
      </x:c>
      <x:c r="J7" s="66" t="n">
        <x:f>CAPEX!J7</x:f>
        <x:v>7</x:v>
      </x:c>
      <x:c r="K7" s="66" t="n">
        <x:f>CAPEX!K7</x:f>
        <x:v>8</x:v>
      </x:c>
      <x:c r="L7" s="66" t="n">
        <x:f>CAPEX!L7</x:f>
        <x:v>9</x:v>
      </x:c>
      <x:c r="M7" s="66" t="n">
        <x:f>CAPEX!M7</x:f>
        <x:v>10</x:v>
      </x:c>
      <x:c r="N7" s="66" t="n">
        <x:f>CAPEX!N7</x:f>
        <x:v>11</x:v>
      </x:c>
      <x:c r="O7" s="66" t="n">
        <x:f>CAPEX!O7</x:f>
        <x:v>12</x:v>
      </x:c>
      <x:c r="P7" s="66" t="n">
        <x:f>CAPEX!P7</x:f>
        <x:v>13</x:v>
      </x:c>
      <x:c r="Q7" s="66" t="n">
        <x:f>CAPEX!Q7</x:f>
        <x:v>14</x:v>
      </x:c>
      <x:c r="R7" s="66" t="n">
        <x:f>CAPEX!R7</x:f>
        <x:v>15</x:v>
      </x:c>
      <x:c r="S7" s="66" t="n">
        <x:f>CAPEX!S7</x:f>
        <x:v>16</x:v>
      </x:c>
      <x:c r="T7" s="66" t="n">
        <x:f>CAPEX!T7</x:f>
        <x:v>17</x:v>
      </x:c>
      <x:c r="U7" s="66" t="n">
        <x:f>CAPEX!U7</x:f>
        <x:v>18</x:v>
      </x:c>
      <x:c r="V7" s="66" t="n">
        <x:f>CAPEX!V7</x:f>
        <x:v>19</x:v>
      </x:c>
      <x:c r="W7" s="66" t="n">
        <x:f>CAPEX!W7</x:f>
        <x:v>20</x:v>
      </x:c>
      <x:c r="X7" s="66" t="n">
        <x:f>CAPEX!X7</x:f>
        <x:v>21</x:v>
      </x:c>
      <x:c r="Y7" s="66" t="n">
        <x:f>CAPEX!Y7</x:f>
        <x:v>22</x:v>
      </x:c>
      <x:c r="Z7" s="66" t="n">
        <x:f>CAPEX!Z7</x:f>
        <x:v>23</x:v>
      </x:c>
      <x:c r="AA7" s="66" t="n">
        <x:f>CAPEX!AA7</x:f>
        <x:v>24</x:v>
      </x:c>
      <x:c r="AB7" s="66" t="n">
        <x:f>CAPEX!AB7</x:f>
        <x:v>25</x:v>
      </x:c>
      <x:c r="AC7" s="66" t="n">
        <x:f>CAPEX!AC7</x:f>
        <x:v>26</x:v>
      </x:c>
      <x:c r="AD7" s="66" t="n">
        <x:f>CAPEX!AD7</x:f>
        <x:v>27</x:v>
      </x:c>
      <x:c r="AE7" s="66" t="n">
        <x:f>CAPEX!AE7</x:f>
        <x:v>28</x:v>
      </x:c>
      <x:c r="AF7" s="66" t="n">
        <x:f>CAPEX!AF7</x:f>
        <x:v>29</x:v>
      </x:c>
    </x:row>
    <x:row r="8" ht="15" customHeight="1">
      <x:c r="A8" s="70"/>
      <x:c r="B8" s="70" t="s">
        <x:v>450</x:v>
      </x:c>
      <x:c r="C8" s="66" t="n">
        <x:f>CAPEX!C9</x:f>
        <x:v>0</x:v>
      </x:c>
      <x:c r="D8" s="66" t="n">
        <x:f>CAPEX!D9</x:f>
        <x:v>0</x:v>
      </x:c>
      <x:c r="E8" s="66" t="n">
        <x:f>CAPEX!E9</x:f>
        <x:v>1</x:v>
      </x:c>
      <x:c r="F8" s="66" t="n">
        <x:f>CAPEX!F9</x:f>
        <x:v>2</x:v>
      </x:c>
      <x:c r="G8" s="66" t="n">
        <x:f>CAPEX!G9</x:f>
        <x:v>3</x:v>
      </x:c>
      <x:c r="H8" s="66" t="n">
        <x:f>CAPEX!H9</x:f>
        <x:v>4</x:v>
      </x:c>
      <x:c r="I8" s="66" t="n">
        <x:f>CAPEX!I9</x:f>
        <x:v>5</x:v>
      </x:c>
      <x:c r="J8" s="66" t="n">
        <x:f>CAPEX!J9</x:f>
        <x:v>6</x:v>
      </x:c>
      <x:c r="K8" s="66" t="n">
        <x:f>CAPEX!K9</x:f>
        <x:v>7</x:v>
      </x:c>
      <x:c r="L8" s="66" t="n">
        <x:f>CAPEX!L9</x:f>
        <x:v>8</x:v>
      </x:c>
      <x:c r="M8" s="66" t="n">
        <x:f>CAPEX!M9</x:f>
        <x:v>9</x:v>
      </x:c>
      <x:c r="N8" s="66" t="n">
        <x:f>CAPEX!N9</x:f>
        <x:v>10</x:v>
      </x:c>
      <x:c r="O8" s="66" t="n">
        <x:f>CAPEX!O9</x:f>
        <x:v>11</x:v>
      </x:c>
      <x:c r="P8" s="66" t="n">
        <x:f>CAPEX!P9</x:f>
        <x:v>12</x:v>
      </x:c>
      <x:c r="Q8" s="66" t="n">
        <x:f>CAPEX!Q9</x:f>
        <x:v>13</x:v>
      </x:c>
      <x:c r="R8" s="66" t="n">
        <x:f>CAPEX!R9</x:f>
        <x:v>14</x:v>
      </x:c>
      <x:c r="S8" s="66" t="n">
        <x:f>CAPEX!S9</x:f>
        <x:v>15</x:v>
      </x:c>
      <x:c r="T8" s="66" t="n">
        <x:f>CAPEX!T9</x:f>
        <x:v>16</x:v>
      </x:c>
      <x:c r="U8" s="66" t="n">
        <x:f>CAPEX!U9</x:f>
        <x:v>17</x:v>
      </x:c>
      <x:c r="V8" s="66" t="n">
        <x:f>CAPEX!V9</x:f>
        <x:v>18</x:v>
      </x:c>
      <x:c r="W8" s="66" t="n">
        <x:f>CAPEX!W9</x:f>
        <x:v>19</x:v>
      </x:c>
      <x:c r="X8" s="66" t="n">
        <x:f>CAPEX!X9</x:f>
        <x:v>20</x:v>
      </x:c>
      <x:c r="Y8" s="66" t="n">
        <x:f>CAPEX!Y9</x:f>
        <x:v>0</x:v>
      </x:c>
      <x:c r="Z8" s="66" t="n">
        <x:f>CAPEX!Z9</x:f>
        <x:v>0</x:v>
      </x:c>
      <x:c r="AA8" s="66" t="n">
        <x:f>CAPEX!AA9</x:f>
        <x:v>0</x:v>
      </x:c>
      <x:c r="AB8" s="66" t="n">
        <x:f>CAPEX!AB9</x:f>
        <x:v>0</x:v>
      </x:c>
      <x:c r="AC8" s="66" t="n">
        <x:f>CAPEX!AC9</x:f>
        <x:v>0</x:v>
      </x:c>
      <x:c r="AD8" s="66" t="n">
        <x:f>CAPEX!AD9</x:f>
        <x:v>0</x:v>
      </x:c>
      <x:c r="AE8" s="66" t="n">
        <x:f>CAPEX!AE9</x:f>
        <x:v>0</x:v>
      </x:c>
      <x:c r="AF8" s="66" t="n">
        <x:f>CAPEX!AF9</x:f>
        <x:v>0</x:v>
      </x:c>
    </x:row>
    <x:row r="9" ht="15" customHeight="1">
      <x:c r="A9" s="70"/>
      <x:c r="B9" s="70"/>
      <x:c r="C9" s="65"/>
      <x:c r="D9" s="65"/>
      <x:c r="E9" s="65"/>
      <x:c r="F9" s="65"/>
      <x:c r="G9" s="65"/>
      <x:c r="H9" s="65"/>
      <x:c r="I9" s="65"/>
      <x:c r="J9" s="65"/>
      <x:c r="K9" s="65"/>
      <x:c r="L9" s="65"/>
      <x:c r="M9" s="65"/>
      <x:c r="N9" s="65"/>
      <x:c r="O9" s="65"/>
      <x:c r="P9" s="65"/>
      <x:c r="Q9" s="65"/>
      <x:c r="R9" s="65"/>
      <x:c r="S9" s="65"/>
      <x:c r="T9" s="65"/>
      <x:c r="U9" s="65"/>
      <x:c r="V9" s="65"/>
      <x:c r="W9" s="65"/>
      <x:c r="X9" s="65"/>
      <x:c r="Y9" s="65"/>
      <x:c r="Z9" s="65"/>
      <x:c r="AA9" s="65"/>
      <x:c r="AB9" s="65"/>
      <x:c r="AC9" s="65"/>
      <x:c r="AD9" s="65"/>
      <x:c r="AE9" s="65"/>
      <x:c r="AF9" s="65"/>
    </x:row>
    <x:row r="10" ht="15" customHeight="1">
      <x:c r="A10" s="136" t="s">
        <x:v>615</x:v>
      </x:c>
      <x:c r="B10" s="136"/>
      <x:c r="C10" s="137"/>
      <x:c r="D10" s="137"/>
      <x:c r="E10" s="137"/>
      <x:c r="F10" s="137"/>
      <x:c r="G10" s="137"/>
      <x:c r="H10" s="137"/>
      <x:c r="I10" s="137"/>
      <x:c r="J10" s="137"/>
      <x:c r="K10" s="137"/>
      <x:c r="L10" s="137"/>
      <x:c r="M10" s="137"/>
      <x:c r="N10" s="137"/>
      <x:c r="O10" s="137"/>
      <x:c r="P10" s="137"/>
      <x:c r="Q10" s="137"/>
      <x:c r="R10" s="137"/>
      <x:c r="S10" s="137"/>
      <x:c r="T10" s="137"/>
      <x:c r="U10" s="137"/>
      <x:c r="V10" s="137"/>
      <x:c r="W10" s="137"/>
      <x:c r="X10" s="137"/>
      <x:c r="Y10" s="137"/>
      <x:c r="Z10" s="137"/>
      <x:c r="AA10" s="137"/>
      <x:c r="AB10" s="137"/>
      <x:c r="AC10" s="137"/>
      <x:c r="AD10" s="137"/>
      <x:c r="AE10" s="137"/>
      <x:c r="AF10" s="137"/>
    </x:row>
    <x:row r="11" ht="15" customHeight="1">
      <x:c r="A11" s="72" t="s">
        <x:v>616</x:v>
      </x:c>
      <x:c r="B11" s="72" t="s">
        <x:v>47</x:v>
      </x:c>
      <x:c r="C11" s="45" t="n">
        <x:f>Energy_Revenue!C20</x:f>
        <x:v>0</x:v>
      </x:c>
      <x:c r="D11" s="45" t="n">
        <x:f>Energy_Revenue!D20</x:f>
        <x:v>0</x:v>
      </x:c>
      <x:c r="E11" s="45" t="n">
        <x:f>Energy_Revenue!E20</x:f>
        <x:v>732.672496</x:v>
      </x:c>
      <x:c r="F11" s="45" t="n">
        <x:f>Energy_Revenue!F20</x:f>
        <x:v>745.5818020281602</x:v>
      </x:c>
      <x:c r="G11" s="45" t="n">
        <x:f>Energy_Revenue!G20</x:f>
        <x:v>758.7179693525859</x:v>
      </x:c>
      <x:c r="H11" s="45" t="n">
        <x:f>Energy_Revenue!H20</x:f>
        <x:v>772.0849726053582</x:v>
      </x:c>
      <x:c r="I11" s="45" t="n">
        <x:f>Energy_Revenue!I20</x:f>
        <x:v>785.6868558070145</x:v>
      </x:c>
      <x:c r="J11" s="45" t="n">
        <x:f>Energy_Revenue!J20</x:f>
        <x:v>799.5277335728458</x:v>
      </x:c>
      <x:c r="K11" s="45" t="n">
        <x:f>Energy_Revenue!K20</x:f>
        <x:v>813.6117923400622</x:v>
      </x:c>
      <x:c r="L11" s="45" t="n">
        <x:f>Energy_Revenue!L20</x:f>
        <x:v>827.9432916161825</x:v>
      </x:c>
      <x:c r="M11" s="45" t="n">
        <x:f>Energy_Revenue!M20</x:f>
        <x:v>842.5265652490161</x:v>
      </x:c>
      <x:c r="N11" s="45" t="n">
        <x:f>Energy_Revenue!N20</x:f>
        <x:v>857.3660227186035</x:v>
      </x:c>
      <x:c r="O11" s="45" t="n">
        <x:f>Energy_Revenue!O20</x:f>
        <x:v>872.466150451499</x:v>
      </x:c>
      <x:c r="P11" s="45" t="n">
        <x:f>Energy_Revenue!P20</x:f>
        <x:v>887.8315131577742</x:v>
      </x:c>
      <x:c r="Q11" s="45" t="n">
        <x:f>Energy_Revenue!Q20</x:f>
        <x:v>903.4667551911382</x:v>
      </x:c>
      <x:c r="R11" s="45" t="n">
        <x:f>Energy_Revenue!R20</x:f>
        <x:v>919.3766019325616</x:v>
      </x:c>
      <x:c r="S11" s="45" t="n">
        <x:f>Energy_Revenue!S20</x:f>
        <x:v>935.5658611978257</x:v>
      </x:c>
      <x:c r="T11" s="45" t="n">
        <x:f>Energy_Revenue!T20</x:f>
        <x:v>952.0394246693843</x:v>
      </x:c>
      <x:c r="U11" s="45" t="n">
        <x:f>Energy_Revenue!U20</x:f>
        <x:v>968.8022693529813</x:v>
      </x:c>
      <x:c r="V11" s="45" t="n">
        <x:f>Energy_Revenue!V20</x:f>
        <x:v>985.8594590594267</x:v>
      </x:c>
      <x:c r="W11" s="45" t="n">
        <x:f>Energy_Revenue!W20</x:f>
        <x:v>1003.2161459119764</x:v>
      </x:c>
      <x:c r="X11" s="45" t="n">
        <x:f>Energy_Revenue!X20</x:f>
        <x:v>1020.877571879755</x:v>
      </x:c>
      <x:c r="Y11" s="45" t="n">
        <x:f>Energy_Revenue!Y20</x:f>
        <x:v>0</x:v>
      </x:c>
      <x:c r="Z11" s="45" t="n">
        <x:f>Energy_Revenue!Z20</x:f>
        <x:v>0</x:v>
      </x:c>
      <x:c r="AA11" s="45" t="n">
        <x:f>Energy_Revenue!AA20</x:f>
        <x:v>0</x:v>
      </x:c>
      <x:c r="AB11" s="45" t="n">
        <x:f>Energy_Revenue!AB20</x:f>
        <x:v>0</x:v>
      </x:c>
      <x:c r="AC11" s="45" t="n">
        <x:f>Energy_Revenue!AC20</x:f>
        <x:v>0</x:v>
      </x:c>
      <x:c r="AD11" s="45" t="n">
        <x:f>Energy_Revenue!AD20</x:f>
        <x:v>0</x:v>
      </x:c>
      <x:c r="AE11" s="45" t="n">
        <x:f>Energy_Revenue!AE20</x:f>
        <x:v>0</x:v>
      </x:c>
      <x:c r="AF11" s="45" t="n">
        <x:f>Energy_Revenue!AF20</x:f>
        <x:v>0</x:v>
      </x:c>
    </x:row>
    <x:row r="12" ht="15" customHeight="1">
      <x:c r="A12" s="72" t="s">
        <x:v>617</x:v>
      </x:c>
      <x:c r="B12" s="72" t="s">
        <x:v>454</x:v>
      </x:c>
      <x:c r="C12" s="45" t="n">
        <x:f>CAPEX!C15</x:f>
        <x:v>2690.6</x:v>
      </x:c>
      <x:c r="D12" s="45" t="n">
        <x:f>CAPEX!D15</x:f>
        <x:v>4035.9</x:v>
      </x:c>
      <x:c r="E12" s="45" t="n">
        <x:f>CAPEX!E15</x:f>
        <x:v>0</x:v>
      </x:c>
      <x:c r="F12" s="45" t="n">
        <x:f>CAPEX!F15</x:f>
        <x:v>0</x:v>
      </x:c>
      <x:c r="G12" s="45" t="n">
        <x:f>CAPEX!G15</x:f>
        <x:v>0</x:v>
      </x:c>
      <x:c r="H12" s="45" t="n">
        <x:f>CAPEX!H15</x:f>
        <x:v>0</x:v>
      </x:c>
      <x:c r="I12" s="45" t="n">
        <x:f>CAPEX!I15</x:f>
        <x:v>0</x:v>
      </x:c>
      <x:c r="J12" s="45" t="n">
        <x:f>CAPEX!J15</x:f>
        <x:v>0</x:v>
      </x:c>
      <x:c r="K12" s="45" t="n">
        <x:f>CAPEX!K15</x:f>
        <x:v>0</x:v>
      </x:c>
      <x:c r="L12" s="45" t="n">
        <x:f>CAPEX!L15</x:f>
        <x:v>0</x:v>
      </x:c>
      <x:c r="M12" s="45" t="n">
        <x:f>CAPEX!M15</x:f>
        <x:v>0</x:v>
      </x:c>
      <x:c r="N12" s="45" t="n">
        <x:f>CAPEX!N15</x:f>
        <x:v>0</x:v>
      </x:c>
      <x:c r="O12" s="45" t="n">
        <x:f>CAPEX!O15</x:f>
        <x:v>0</x:v>
      </x:c>
      <x:c r="P12" s="45" t="n">
        <x:f>CAPEX!P15</x:f>
        <x:v>0</x:v>
      </x:c>
      <x:c r="Q12" s="45" t="n">
        <x:f>CAPEX!Q15</x:f>
        <x:v>0</x:v>
      </x:c>
      <x:c r="R12" s="45" t="n">
        <x:f>CAPEX!R15</x:f>
        <x:v>0</x:v>
      </x:c>
      <x:c r="S12" s="45" t="n">
        <x:f>CAPEX!S15</x:f>
        <x:v>0</x:v>
      </x:c>
      <x:c r="T12" s="45" t="n">
        <x:f>CAPEX!T15</x:f>
        <x:v>0</x:v>
      </x:c>
      <x:c r="U12" s="45" t="n">
        <x:f>CAPEX!U15</x:f>
        <x:v>0</x:v>
      </x:c>
      <x:c r="V12" s="45" t="n">
        <x:f>CAPEX!V15</x:f>
        <x:v>0</x:v>
      </x:c>
      <x:c r="W12" s="45" t="n">
        <x:f>CAPEX!W15</x:f>
        <x:v>0</x:v>
      </x:c>
      <x:c r="X12" s="45" t="n">
        <x:f>CAPEX!X15</x:f>
        <x:v>0</x:v>
      </x:c>
      <x:c r="Y12" s="45" t="n">
        <x:f>CAPEX!Y15</x:f>
        <x:v>0</x:v>
      </x:c>
      <x:c r="Z12" s="45" t="n">
        <x:f>CAPEX!Z15</x:f>
        <x:v>0</x:v>
      </x:c>
      <x:c r="AA12" s="45" t="n">
        <x:f>CAPEX!AA15</x:f>
        <x:v>0</x:v>
      </x:c>
      <x:c r="AB12" s="45" t="n">
        <x:f>CAPEX!AB15</x:f>
        <x:v>0</x:v>
      </x:c>
      <x:c r="AC12" s="45" t="n">
        <x:f>CAPEX!AC15</x:f>
        <x:v>0</x:v>
      </x:c>
      <x:c r="AD12" s="45" t="n">
        <x:f>CAPEX!AD15</x:f>
        <x:v>0</x:v>
      </x:c>
      <x:c r="AE12" s="45" t="n">
        <x:f>CAPEX!AE15</x:f>
        <x:v>0</x:v>
      </x:c>
      <x:c r="AF12" s="45" t="n">
        <x:f>CAPEX!AF15</x:f>
        <x:v>0</x:v>
      </x:c>
    </x:row>
    <x:row r="13" ht="15" customHeight="1">
      <x:c r="A13" s="72" t="s">
        <x:v>618</x:v>
      </x:c>
      <x:c r="B13" s="72" t="s">
        <x:v>456</x:v>
      </x:c>
      <x:c r="C13" s="45" t="n">
        <x:f>CAPEX!C17</x:f>
        <x:v>0</x:v>
      </x:c>
      <x:c r="D13" s="45" t="n">
        <x:f>CAPEX!D17</x:f>
        <x:v>244.60000000000002</x:v>
      </x:c>
      <x:c r="E13" s="45" t="n">
        <x:f>CAPEX!E17</x:f>
        <x:v>366.90000000000003</x:v>
      </x:c>
      <x:c r="F13" s="45" t="n">
        <x:f>CAPEX!F17</x:f>
        <x:v>0</x:v>
      </x:c>
      <x:c r="G13" s="45" t="n">
        <x:f>CAPEX!G17</x:f>
        <x:v>0</x:v>
      </x:c>
      <x:c r="H13" s="45" t="n">
        <x:f>CAPEX!H17</x:f>
        <x:v>0</x:v>
      </x:c>
      <x:c r="I13" s="45" t="n">
        <x:f>CAPEX!I17</x:f>
        <x:v>0</x:v>
      </x:c>
      <x:c r="J13" s="45" t="n">
        <x:f>CAPEX!J17</x:f>
        <x:v>0</x:v>
      </x:c>
      <x:c r="K13" s="45" t="n">
        <x:f>CAPEX!K17</x:f>
        <x:v>0</x:v>
      </x:c>
      <x:c r="L13" s="45" t="n">
        <x:f>CAPEX!L17</x:f>
        <x:v>0</x:v>
      </x:c>
      <x:c r="M13" s="45" t="n">
        <x:f>CAPEX!M17</x:f>
        <x:v>0</x:v>
      </x:c>
      <x:c r="N13" s="45" t="n">
        <x:f>CAPEX!N17</x:f>
        <x:v>0</x:v>
      </x:c>
      <x:c r="O13" s="45" t="n">
        <x:f>CAPEX!O17</x:f>
        <x:v>0</x:v>
      </x:c>
      <x:c r="P13" s="45" t="n">
        <x:f>CAPEX!P17</x:f>
        <x:v>0</x:v>
      </x:c>
      <x:c r="Q13" s="45" t="n">
        <x:f>CAPEX!Q17</x:f>
        <x:v>0</x:v>
      </x:c>
      <x:c r="R13" s="45" t="n">
        <x:f>CAPEX!R17</x:f>
        <x:v>0</x:v>
      </x:c>
      <x:c r="S13" s="45" t="n">
        <x:f>CAPEX!S17</x:f>
        <x:v>0</x:v>
      </x:c>
      <x:c r="T13" s="45" t="n">
        <x:f>CAPEX!T17</x:f>
        <x:v>0</x:v>
      </x:c>
      <x:c r="U13" s="45" t="n">
        <x:f>CAPEX!U17</x:f>
        <x:v>0</x:v>
      </x:c>
      <x:c r="V13" s="45" t="n">
        <x:f>CAPEX!V17</x:f>
        <x:v>0</x:v>
      </x:c>
      <x:c r="W13" s="45" t="n">
        <x:f>CAPEX!W17</x:f>
        <x:v>0</x:v>
      </x:c>
      <x:c r="X13" s="45" t="n">
        <x:f>CAPEX!X17</x:f>
        <x:v>0</x:v>
      </x:c>
      <x:c r="Y13" s="45" t="n">
        <x:f>CAPEX!Y17</x:f>
        <x:v>0</x:v>
      </x:c>
      <x:c r="Z13" s="45" t="n">
        <x:f>CAPEX!Z17</x:f>
        <x:v>0</x:v>
      </x:c>
      <x:c r="AA13" s="45" t="n">
        <x:f>CAPEX!AA17</x:f>
        <x:v>0</x:v>
      </x:c>
      <x:c r="AB13" s="45" t="n">
        <x:f>CAPEX!AB17</x:f>
        <x:v>0</x:v>
      </x:c>
      <x:c r="AC13" s="45" t="n">
        <x:f>CAPEX!AC17</x:f>
        <x:v>0</x:v>
      </x:c>
      <x:c r="AD13" s="45" t="n">
        <x:f>CAPEX!AD17</x:f>
        <x:v>0</x:v>
      </x:c>
      <x:c r="AE13" s="45" t="n">
        <x:f>CAPEX!AE17</x:f>
        <x:v>0</x:v>
      </x:c>
      <x:c r="AF13" s="45" t="n">
        <x:f>CAPEX!AF17</x:f>
        <x:v>0</x:v>
      </x:c>
    </x:row>
    <x:row r="14" ht="15" customHeight="1">
      <x:c r="A14" s="72" t="s">
        <x:v>619</x:v>
      </x:c>
      <x:c r="B14" s="72" t="s">
        <x:v>459</x:v>
      </x:c>
      <x:c r="C14" s="45" t="n">
        <x:f>Debt!C12</x:f>
        <x:v>1712.1999999999998</x:v>
      </x:c>
      <x:c r="D14" s="45" t="n">
        <x:f>Debt!D12</x:f>
        <x:v>2568.2999999999997</x:v>
      </x:c>
      <x:c r="E14" s="45" t="n">
        <x:f>Debt!E12</x:f>
        <x:v>0</x:v>
      </x:c>
      <x:c r="F14" s="45" t="n">
        <x:f>Debt!F12</x:f>
        <x:v>0</x:v>
      </x:c>
      <x:c r="G14" s="45" t="n">
        <x:f>Debt!G12</x:f>
        <x:v>0</x:v>
      </x:c>
      <x:c r="H14" s="45" t="n">
        <x:f>Debt!H12</x:f>
        <x:v>0</x:v>
      </x:c>
      <x:c r="I14" s="45" t="n">
        <x:f>Debt!I12</x:f>
        <x:v>0</x:v>
      </x:c>
      <x:c r="J14" s="45" t="n">
        <x:f>Debt!J12</x:f>
        <x:v>0</x:v>
      </x:c>
      <x:c r="K14" s="45" t="n">
        <x:f>Debt!K12</x:f>
        <x:v>0</x:v>
      </x:c>
      <x:c r="L14" s="45" t="n">
        <x:f>Debt!L12</x:f>
        <x:v>0</x:v>
      </x:c>
      <x:c r="M14" s="45" t="n">
        <x:f>Debt!M12</x:f>
        <x:v>0</x:v>
      </x:c>
      <x:c r="N14" s="45" t="n">
        <x:f>Debt!N12</x:f>
        <x:v>0</x:v>
      </x:c>
      <x:c r="O14" s="45" t="n">
        <x:f>Debt!O12</x:f>
        <x:v>0</x:v>
      </x:c>
      <x:c r="P14" s="45" t="n">
        <x:f>Debt!P12</x:f>
        <x:v>0</x:v>
      </x:c>
      <x:c r="Q14" s="45" t="n">
        <x:f>Debt!Q12</x:f>
        <x:v>0</x:v>
      </x:c>
      <x:c r="R14" s="45" t="n">
        <x:f>Debt!R12</x:f>
        <x:v>0</x:v>
      </x:c>
      <x:c r="S14" s="45" t="n">
        <x:f>Debt!S12</x:f>
        <x:v>0</x:v>
      </x:c>
      <x:c r="T14" s="45" t="n">
        <x:f>Debt!T12</x:f>
        <x:v>0</x:v>
      </x:c>
      <x:c r="U14" s="45" t="n">
        <x:f>Debt!U12</x:f>
        <x:v>0</x:v>
      </x:c>
      <x:c r="V14" s="45" t="n">
        <x:f>Debt!V12</x:f>
        <x:v>0</x:v>
      </x:c>
      <x:c r="W14" s="45" t="n">
        <x:f>Debt!W12</x:f>
        <x:v>0</x:v>
      </x:c>
      <x:c r="X14" s="45" t="n">
        <x:f>Debt!X12</x:f>
        <x:v>0</x:v>
      </x:c>
      <x:c r="Y14" s="45" t="n">
        <x:f>Debt!Y12</x:f>
        <x:v>0</x:v>
      </x:c>
      <x:c r="Z14" s="45" t="n">
        <x:f>Debt!Z12</x:f>
        <x:v>0</x:v>
      </x:c>
      <x:c r="AA14" s="45" t="n">
        <x:f>Debt!AA12</x:f>
        <x:v>0</x:v>
      </x:c>
      <x:c r="AB14" s="45" t="n">
        <x:f>Debt!AB12</x:f>
        <x:v>0</x:v>
      </x:c>
      <x:c r="AC14" s="45" t="n">
        <x:f>Debt!AC12</x:f>
        <x:v>0</x:v>
      </x:c>
      <x:c r="AD14" s="45" t="n">
        <x:f>Debt!AD12</x:f>
        <x:v>0</x:v>
      </x:c>
      <x:c r="AE14" s="45" t="n">
        <x:f>Debt!AE12</x:f>
        <x:v>0</x:v>
      </x:c>
      <x:c r="AF14" s="45" t="n">
        <x:f>Debt!AF12</x:f>
        <x:v>0</x:v>
      </x:c>
    </x:row>
    <x:row r="15" ht="15" customHeight="1">
      <x:c r="A15" s="72" t="s">
        <x:v>620</x:v>
      </x:c>
      <x:c r="B15" s="72" t="s">
        <x:v>346</x:v>
      </x:c>
      <x:c r="C15" s="45" t="n">
        <x:f>Debt!C19</x:f>
        <x:v>42.805</x:v>
      </x:c>
      <x:c r="D15" s="45" t="n">
        <x:f>Debt!D19</x:f>
        <x:v>0</x:v>
      </x:c>
      <x:c r="E15" s="45" t="n">
        <x:f>Debt!E19</x:f>
        <x:v>0</x:v>
      </x:c>
      <x:c r="F15" s="45" t="n">
        <x:f>Debt!F19</x:f>
        <x:v>0</x:v>
      </x:c>
      <x:c r="G15" s="45" t="n">
        <x:f>Debt!G19</x:f>
        <x:v>0</x:v>
      </x:c>
      <x:c r="H15" s="45" t="n">
        <x:f>Debt!H19</x:f>
        <x:v>0</x:v>
      </x:c>
      <x:c r="I15" s="45" t="n">
        <x:f>Debt!I19</x:f>
        <x:v>0</x:v>
      </x:c>
      <x:c r="J15" s="45" t="n">
        <x:f>Debt!J19</x:f>
        <x:v>0</x:v>
      </x:c>
      <x:c r="K15" s="45" t="n">
        <x:f>Debt!K19</x:f>
        <x:v>0</x:v>
      </x:c>
      <x:c r="L15" s="45" t="n">
        <x:f>Debt!L19</x:f>
        <x:v>0</x:v>
      </x:c>
      <x:c r="M15" s="45" t="n">
        <x:f>Debt!M19</x:f>
        <x:v>0</x:v>
      </x:c>
      <x:c r="N15" s="45" t="n">
        <x:f>Debt!N19</x:f>
        <x:v>0</x:v>
      </x:c>
      <x:c r="O15" s="45" t="n">
        <x:f>Debt!O19</x:f>
        <x:v>0</x:v>
      </x:c>
      <x:c r="P15" s="45" t="n">
        <x:f>Debt!P19</x:f>
        <x:v>0</x:v>
      </x:c>
      <x:c r="Q15" s="45" t="n">
        <x:f>Debt!Q19</x:f>
        <x:v>0</x:v>
      </x:c>
      <x:c r="R15" s="45" t="n">
        <x:f>Debt!R19</x:f>
        <x:v>0</x:v>
      </x:c>
      <x:c r="S15" s="45" t="n">
        <x:f>Debt!S19</x:f>
        <x:v>0</x:v>
      </x:c>
      <x:c r="T15" s="45" t="n">
        <x:f>Debt!T19</x:f>
        <x:v>0</x:v>
      </x:c>
      <x:c r="U15" s="45" t="n">
        <x:f>Debt!U19</x:f>
        <x:v>0</x:v>
      </x:c>
      <x:c r="V15" s="45" t="n">
        <x:f>Debt!V19</x:f>
        <x:v>0</x:v>
      </x:c>
      <x:c r="W15" s="45" t="n">
        <x:f>Debt!W19</x:f>
        <x:v>0</x:v>
      </x:c>
      <x:c r="X15" s="45" t="n">
        <x:f>Debt!X19</x:f>
        <x:v>0</x:v>
      </x:c>
      <x:c r="Y15" s="45" t="n">
        <x:f>Debt!Y19</x:f>
        <x:v>0</x:v>
      </x:c>
      <x:c r="Z15" s="45" t="n">
        <x:f>Debt!Z19</x:f>
        <x:v>0</x:v>
      </x:c>
      <x:c r="AA15" s="45" t="n">
        <x:f>Debt!AA19</x:f>
        <x:v>0</x:v>
      </x:c>
      <x:c r="AB15" s="45" t="n">
        <x:f>Debt!AB19</x:f>
        <x:v>0</x:v>
      </x:c>
      <x:c r="AC15" s="45" t="n">
        <x:f>Debt!AC19</x:f>
        <x:v>0</x:v>
      </x:c>
      <x:c r="AD15" s="45" t="n">
        <x:f>Debt!AD19</x:f>
        <x:v>0</x:v>
      </x:c>
      <x:c r="AE15" s="45" t="n">
        <x:f>Debt!AE19</x:f>
        <x:v>0</x:v>
      </x:c>
      <x:c r="AF15" s="45" t="n">
        <x:f>Debt!AF19</x:f>
        <x:v>0</x:v>
      </x:c>
    </x:row>
    <x:row r="16" ht="15" customHeight="1">
      <x:c r="A16" s="72" t="s">
        <x:v>621</x:v>
      </x:c>
      <x:c r="B16" s="72" t="s">
        <x:v>506</x:v>
      </x:c>
      <x:c r="C16" s="45" t="n">
        <x:f>Debt!C16</x:f>
        <x:v>85.61</x:v>
      </x:c>
      <x:c r="D16" s="45" t="n">
        <x:f>Debt!D16</x:f>
        <x:v>299.63499999999993</x:v>
      </x:c>
      <x:c r="E16" s="45" t="n">
        <x:f>Debt!E16</x:f>
        <x:v>428.05</x:v>
      </x:c>
      <x:c r="F16" s="45" t="n">
        <x:f>Debt!F16</x:f>
        <x:v>392.37916666666666</x:v>
      </x:c>
      <x:c r="G16" s="45" t="n">
        <x:f>Debt!G16</x:f>
        <x:v>356.7083333333333</x:v>
      </x:c>
      <x:c r="H16" s="45" t="n">
        <x:f>Debt!H16</x:f>
        <x:v>321.03749999999997</x:v>
      </x:c>
      <x:c r="I16" s="45" t="n">
        <x:f>Debt!I16</x:f>
        <x:v>285.3666666666666</x:v>
      </x:c>
      <x:c r="J16" s="45" t="n">
        <x:f>Debt!J16</x:f>
        <x:v>249.69583333333327</x:v>
      </x:c>
      <x:c r="K16" s="45" t="n">
        <x:f>Debt!K16</x:f>
        <x:v>214.02499999999992</x:v>
      </x:c>
      <x:c r="L16" s="45" t="n">
        <x:f>Debt!L16</x:f>
        <x:v>178.3541666666666</x:v>
      </x:c>
      <x:c r="M16" s="45" t="n">
        <x:f>Debt!M16</x:f>
        <x:v>142.68333333333325</x:v>
      </x:c>
      <x:c r="N16" s="45" t="n">
        <x:f>Debt!N16</x:f>
        <x:v>107.01249999999993</x:v>
      </x:c>
      <x:c r="O16" s="45" t="n">
        <x:f>Debt!O16</x:f>
        <x:v>71.34166666666661</x:v>
      </x:c>
      <x:c r="P16" s="45" t="n">
        <x:f>Debt!P16</x:f>
        <x:v>35.67083333333328</x:v>
      </x:c>
      <x:c r="Q16" s="45" t="n">
        <x:f>Debt!Q16</x:f>
        <x:v>0</x:v>
      </x:c>
      <x:c r="R16" s="45" t="n">
        <x:f>Debt!R16</x:f>
        <x:v>0</x:v>
      </x:c>
      <x:c r="S16" s="45" t="n">
        <x:f>Debt!S16</x:f>
        <x:v>0</x:v>
      </x:c>
      <x:c r="T16" s="45" t="n">
        <x:f>Debt!T16</x:f>
        <x:v>0</x:v>
      </x:c>
      <x:c r="U16" s="45" t="n">
        <x:f>Debt!U16</x:f>
        <x:v>0</x:v>
      </x:c>
      <x:c r="V16" s="45" t="n">
        <x:f>Debt!V16</x:f>
        <x:v>0</x:v>
      </x:c>
      <x:c r="W16" s="45" t="n">
        <x:f>Debt!W16</x:f>
        <x:v>0</x:v>
      </x:c>
      <x:c r="X16" s="45" t="n">
        <x:f>Debt!X16</x:f>
        <x:v>0</x:v>
      </x:c>
      <x:c r="Y16" s="45" t="n">
        <x:f>Debt!Y16</x:f>
        <x:v>0</x:v>
      </x:c>
      <x:c r="Z16" s="45" t="n">
        <x:f>Debt!Z16</x:f>
        <x:v>0</x:v>
      </x:c>
      <x:c r="AA16" s="45" t="n">
        <x:f>Debt!AA16</x:f>
        <x:v>0</x:v>
      </x:c>
      <x:c r="AB16" s="45" t="n">
        <x:f>Debt!AB16</x:f>
        <x:v>0</x:v>
      </x:c>
      <x:c r="AC16" s="45" t="n">
        <x:f>Debt!AC16</x:f>
        <x:v>0</x:v>
      </x:c>
      <x:c r="AD16" s="45" t="n">
        <x:f>Debt!AD16</x:f>
        <x:v>0</x:v>
      </x:c>
      <x:c r="AE16" s="45" t="n">
        <x:f>Debt!AE16</x:f>
        <x:v>0</x:v>
      </x:c>
      <x:c r="AF16" s="45" t="n">
        <x:f>Debt!AF16</x:f>
        <x:v>0</x:v>
      </x:c>
    </x:row>
    <x:row r="17" ht="15" customHeight="1">
      <x:c r="A17" s="72" t="s">
        <x:v>622</x:v>
      </x:c>
      <x:c r="B17" s="72" t="s">
        <x:v>504</x:v>
      </x:c>
      <x:c r="C17" s="45" t="n">
        <x:f>Debt!C15</x:f>
        <x:v>0</x:v>
      </x:c>
      <x:c r="D17" s="45" t="n">
        <x:f>Debt!D15</x:f>
        <x:v>0</x:v>
      </x:c>
      <x:c r="E17" s="45" t="n">
        <x:f>Debt!E15</x:f>
        <x:v>356.7083333333333</x:v>
      </x:c>
      <x:c r="F17" s="45" t="n">
        <x:f>Debt!F15</x:f>
        <x:v>356.7083333333333</x:v>
      </x:c>
      <x:c r="G17" s="45" t="n">
        <x:f>Debt!G15</x:f>
        <x:v>356.7083333333333</x:v>
      </x:c>
      <x:c r="H17" s="45" t="n">
        <x:f>Debt!H15</x:f>
        <x:v>356.7083333333333</x:v>
      </x:c>
      <x:c r="I17" s="45" t="n">
        <x:f>Debt!I15</x:f>
        <x:v>356.7083333333333</x:v>
      </x:c>
      <x:c r="J17" s="45" t="n">
        <x:f>Debt!J15</x:f>
        <x:v>356.7083333333333</x:v>
      </x:c>
      <x:c r="K17" s="45" t="n">
        <x:f>Debt!K15</x:f>
        <x:v>356.7083333333333</x:v>
      </x:c>
      <x:c r="L17" s="45" t="n">
        <x:f>Debt!L15</x:f>
        <x:v>356.7083333333333</x:v>
      </x:c>
      <x:c r="M17" s="45" t="n">
        <x:f>Debt!M15</x:f>
        <x:v>356.7083333333333</x:v>
      </x:c>
      <x:c r="N17" s="45" t="n">
        <x:f>Debt!N15</x:f>
        <x:v>356.7083333333333</x:v>
      </x:c>
      <x:c r="O17" s="45" t="n">
        <x:f>Debt!O15</x:f>
        <x:v>356.7083333333333</x:v>
      </x:c>
      <x:c r="P17" s="45" t="n">
        <x:f>Debt!P15</x:f>
        <x:v>356.70833333333275</x:v>
      </x:c>
      <x:c r="Q17" s="45" t="n">
        <x:f>Debt!Q15</x:f>
        <x:v>0</x:v>
      </x:c>
      <x:c r="R17" s="45" t="n">
        <x:f>Debt!R15</x:f>
        <x:v>0</x:v>
      </x:c>
      <x:c r="S17" s="45" t="n">
        <x:f>Debt!S15</x:f>
        <x:v>0</x:v>
      </x:c>
      <x:c r="T17" s="45" t="n">
        <x:f>Debt!T15</x:f>
        <x:v>0</x:v>
      </x:c>
      <x:c r="U17" s="45" t="n">
        <x:f>Debt!U15</x:f>
        <x:v>0</x:v>
      </x:c>
      <x:c r="V17" s="45" t="n">
        <x:f>Debt!V15</x:f>
        <x:v>0</x:v>
      </x:c>
      <x:c r="W17" s="45" t="n">
        <x:f>Debt!W15</x:f>
        <x:v>0</x:v>
      </x:c>
      <x:c r="X17" s="45" t="n">
        <x:f>Debt!X15</x:f>
        <x:v>0</x:v>
      </x:c>
      <x:c r="Y17" s="45" t="n">
        <x:f>Debt!Y15</x:f>
        <x:v>0</x:v>
      </x:c>
      <x:c r="Z17" s="45" t="n">
        <x:f>Debt!Z15</x:f>
        <x:v>0</x:v>
      </x:c>
      <x:c r="AA17" s="45" t="n">
        <x:f>Debt!AA15</x:f>
        <x:v>0</x:v>
      </x:c>
      <x:c r="AB17" s="45" t="n">
        <x:f>Debt!AB15</x:f>
        <x:v>0</x:v>
      </x:c>
      <x:c r="AC17" s="45" t="n">
        <x:f>Debt!AC15</x:f>
        <x:v>0</x:v>
      </x:c>
      <x:c r="AD17" s="45" t="n">
        <x:f>Debt!AD15</x:f>
        <x:v>0</x:v>
      </x:c>
      <x:c r="AE17" s="45" t="n">
        <x:f>Debt!AE15</x:f>
        <x:v>0</x:v>
      </x:c>
      <x:c r="AF17" s="45" t="n">
        <x:f>Debt!AF15</x:f>
        <x:v>0</x:v>
      </x:c>
    </x:row>
    <x:row r="18" ht="15" customHeight="1">
      <x:c r="A18" s="72" t="s">
        <x:v>623</x:v>
      </x:c>
      <x:c r="B18" s="72" t="s">
        <x:v>566</x:v>
      </x:c>
      <x:c r="C18" s="45" t="n">
        <x:f>Dep_Tax!C25</x:f>
        <x:v>0</x:v>
      </x:c>
      <x:c r="D18" s="45" t="n">
        <x:f>Dep_Tax!D25</x:f>
        <x:v>0</x:v>
      </x:c>
      <x:c r="E18" s="45" t="n">
        <x:f>Dep_Tax!E25</x:f>
        <x:v>0</x:v>
      </x:c>
      <x:c r="F18" s="45" t="n">
        <x:f>Dep_Tax!F25</x:f>
        <x:v>0</x:v>
      </x:c>
      <x:c r="G18" s="45" t="n">
        <x:f>Dep_Tax!G25</x:f>
        <x:v>0</x:v>
      </x:c>
      <x:c r="H18" s="45" t="n">
        <x:f>Dep_Tax!H25</x:f>
        <x:v>0</x:v>
      </x:c>
      <x:c r="I18" s="45" t="n">
        <x:f>Dep_Tax!I25</x:f>
        <x:v>8.765396957017392</x:v>
      </x:c>
      <x:c r="J18" s="45" t="n">
        <x:f>Dep_Tax!J25</x:f>
        <x:v>11.240982511975629</x:v>
      </x:c>
      <x:c r="K18" s="45" t="n">
        <x:f>Dep_Tax!K25</x:f>
        <x:v>13.728727117003112</x:v>
      </x:c>
      <x:c r="L18" s="45" t="n">
        <x:f>Dep_Tax!L25</x:f>
        <x:v>16.228843747475793</x:v>
      </x:c>
      <x:c r="M18" s="45" t="n">
        <x:f>Dep_Tax!M25</x:f>
        <x:v>18.741549095784144</x:v>
      </x:c>
      <x:c r="N18" s="45" t="n">
        <x:f>Dep_Tax!N25</x:f>
        <x:v>21.26706363593018</x:v>
      </x:c>
      <x:c r="O18" s="45" t="n">
        <x:f>Dep_Tax!O25</x:f>
        <x:v>23.80561168924162</x:v>
      </x:c>
      <x:c r="P18" s="45" t="n">
        <x:f>Dep_Tax!P25</x:f>
        <x:v>26.357421491222052</x:v>
      </x:c>
      <x:c r="Q18" s="45" t="n">
        <x:f>Dep_Tax!Q25</x:f>
        <x:v>28.922725259556913</x:v>
      </x:c>
      <x:c r="R18" s="45" t="n">
        <x:f>Dep_Tax!R25</x:f>
        <x:v>59.43643519325616</x:v>
      </x:c>
      <x:c r="S18" s="45" t="n">
        <x:f>Dep_Tax!S25</x:f>
        <x:v>61.055361119782575</x:v>
      </x:c>
      <x:c r="T18" s="45" t="n">
        <x:f>Dep_Tax!T25</x:f>
        <x:v>125.40543493387686</x:v>
      </x:c>
      <x:c r="U18" s="45" t="n">
        <x:f>Dep_Tax!U25</x:f>
        <x:v>128.75800387059627</x:v>
      </x:c>
      <x:c r="V18" s="45" t="n">
        <x:f>Dep_Tax!V25</x:f>
        <x:v>132.16944181188535</x:v>
      </x:c>
      <x:c r="W18" s="45" t="n">
        <x:f>Dep_Tax!W25</x:f>
        <x:v>135.64077918239528</x:v>
      </x:c>
      <x:c r="X18" s="45" t="n">
        <x:f>Dep_Tax!X25</x:f>
        <x:v>139.17306437595101</x:v>
      </x:c>
      <x:c r="Y18" s="45" t="n">
        <x:f>Dep_Tax!Y25</x:f>
        <x:v>0</x:v>
      </x:c>
      <x:c r="Z18" s="45" t="n">
        <x:f>Dep_Tax!Z25</x:f>
        <x:v>0</x:v>
      </x:c>
      <x:c r="AA18" s="45" t="n">
        <x:f>Dep_Tax!AA25</x:f>
        <x:v>0</x:v>
      </x:c>
      <x:c r="AB18" s="45" t="n">
        <x:f>Dep_Tax!AB25</x:f>
        <x:v>0</x:v>
      </x:c>
      <x:c r="AC18" s="45" t="n">
        <x:f>Dep_Tax!AC25</x:f>
        <x:v>0</x:v>
      </x:c>
      <x:c r="AD18" s="45" t="n">
        <x:f>Dep_Tax!AD25</x:f>
        <x:v>0</x:v>
      </x:c>
      <x:c r="AE18" s="45" t="n">
        <x:f>Dep_Tax!AE25</x:f>
        <x:v>0</x:v>
      </x:c>
      <x:c r="AF18" s="45" t="n">
        <x:f>Dep_Tax!AF25</x:f>
        <x:v>0</x:v>
      </x:c>
    </x:row>
    <x:row r="19" ht="15" customHeight="1">
      <x:c r="A19" s="72" t="s">
        <x:v>624</x:v>
      </x:c>
      <x:c r="B19" s="72" t="s">
        <x:v>592</x:v>
      </x:c>
      <x:c r="C19" s="45" t="n">
        <x:f>IF(C$6=Input!$D$18,Input!$D$28,0)</x:f>
        <x:v>0</x:v>
      </x:c>
      <x:c r="D19" s="45" t="n">
        <x:f>IF(D$6=Input!$D$18,Input!$D$28,0)</x:f>
        <x:v>0</x:v>
      </x:c>
      <x:c r="E19" s="45" t="n">
        <x:f>IF(E$6=Input!$D$18,Input!$D$28,0)</x:f>
        <x:v>0</x:v>
      </x:c>
      <x:c r="F19" s="45" t="n">
        <x:f>IF(F$6=Input!$D$18,Input!$D$28,0)</x:f>
        <x:v>0</x:v>
      </x:c>
      <x:c r="G19" s="45" t="n">
        <x:f>IF(G$6=Input!$D$18,Input!$D$28,0)</x:f>
        <x:v>0</x:v>
      </x:c>
      <x:c r="H19" s="45" t="n">
        <x:f>IF(H$6=Input!$D$18,Input!$D$28,0)</x:f>
        <x:v>0</x:v>
      </x:c>
      <x:c r="I19" s="45" t="n">
        <x:f>IF(I$6=Input!$D$18,Input!$D$28,0)</x:f>
        <x:v>0</x:v>
      </x:c>
      <x:c r="J19" s="45" t="n">
        <x:f>IF(J$6=Input!$D$18,Input!$D$28,0)</x:f>
        <x:v>0</x:v>
      </x:c>
      <x:c r="K19" s="45" t="n">
        <x:f>IF(K$6=Input!$D$18,Input!$D$28,0)</x:f>
        <x:v>0</x:v>
      </x:c>
      <x:c r="L19" s="45" t="n">
        <x:f>IF(L$6=Input!$D$18,Input!$D$28,0)</x:f>
        <x:v>0</x:v>
      </x:c>
      <x:c r="M19" s="45" t="n">
        <x:f>IF(M$6=Input!$D$18,Input!$D$28,0)</x:f>
        <x:v>0</x:v>
      </x:c>
      <x:c r="N19" s="45" t="n">
        <x:f>IF(N$6=Input!$D$18,Input!$D$28,0)</x:f>
        <x:v>0</x:v>
      </x:c>
      <x:c r="O19" s="45" t="n">
        <x:f>IF(O$6=Input!$D$18,Input!$D$28,0)</x:f>
        <x:v>0</x:v>
      </x:c>
      <x:c r="P19" s="45" t="n">
        <x:f>IF(P$6=Input!$D$18,Input!$D$28,0)</x:f>
        <x:v>0</x:v>
      </x:c>
      <x:c r="Q19" s="45" t="n">
        <x:f>IF(Q$6=Input!$D$18,Input!$D$28,0)</x:f>
        <x:v>0</x:v>
      </x:c>
      <x:c r="R19" s="45" t="n">
        <x:f>IF(R$6=Input!$D$18,Input!$D$28,0)</x:f>
        <x:v>0</x:v>
      </x:c>
      <x:c r="S19" s="45" t="n">
        <x:f>IF(S$6=Input!$D$18,Input!$D$28,0)</x:f>
        <x:v>0</x:v>
      </x:c>
      <x:c r="T19" s="45" t="n">
        <x:f>IF(T$6=Input!$D$18,Input!$D$28,0)</x:f>
        <x:v>0</x:v>
      </x:c>
      <x:c r="U19" s="45" t="n">
        <x:f>IF(U$6=Input!$D$18,Input!$D$28,0)</x:f>
        <x:v>0</x:v>
      </x:c>
      <x:c r="V19" s="45" t="n">
        <x:f>IF(V$6=Input!$D$18,Input!$D$28,0)</x:f>
        <x:v>0</x:v>
      </x:c>
      <x:c r="W19" s="45" t="n">
        <x:f>IF(W$6=Input!$D$18,Input!$D$28,0)</x:f>
        <x:v>0</x:v>
      </x:c>
      <x:c r="X19" s="45" t="n">
        <x:f>IF(X$6=Input!$D$18,Input!$D$28,0)</x:f>
        <x:v>0</x:v>
      </x:c>
      <x:c r="Y19" s="45" t="n">
        <x:f>IF(Y$6=Input!$D$18,Input!$D$28,0)</x:f>
        <x:v>0</x:v>
      </x:c>
      <x:c r="Z19" s="45" t="n">
        <x:f>IF(Z$6=Input!$D$18,Input!$D$28,0)</x:f>
        <x:v>0</x:v>
      </x:c>
      <x:c r="AA19" s="45" t="n">
        <x:f>IF(AA$6=Input!$D$18,Input!$D$28,0)</x:f>
        <x:v>0</x:v>
      </x:c>
      <x:c r="AB19" s="45" t="n">
        <x:f>IF(AB$6=Input!$D$18,Input!$D$28,0)</x:f>
        <x:v>0</x:v>
      </x:c>
      <x:c r="AC19" s="45" t="n">
        <x:f>IF(AC$6=Input!$D$18,Input!$D$28,0)</x:f>
        <x:v>0</x:v>
      </x:c>
      <x:c r="AD19" s="45" t="n">
        <x:f>IF(AD$6=Input!$D$18,Input!$D$28,0)</x:f>
        <x:v>0</x:v>
      </x:c>
      <x:c r="AE19" s="45" t="n">
        <x:f>IF(AE$6=Input!$D$18,Input!$D$28,0)</x:f>
        <x:v>0</x:v>
      </x:c>
      <x:c r="AF19" s="45" t="n">
        <x:f>IF(AF$6=Input!$D$18,Input!$D$28,0)</x:f>
        <x:v>0</x:v>
      </x:c>
    </x:row>
    <x:row r="20" ht="15" customHeight="1">
      <x:c r="A20" s="72" t="s">
        <x:v>625</x:v>
      </x:c>
      <x:c r="B20" s="73" t="s">
        <x:v>61</x:v>
      </x:c>
      <x:c r="C20" s="44" t="n">
        <x:f t="shared" ref="C20:AF20" si="0">C11-C12+C13+C14-C15-C16-C17-C18+C19</x:f>
        <x:v>-1106.815</x:v>
      </x:c>
      <x:c r="D20" s="44">
        <x:f t="shared" si="0"/>
        <x:v>-1522.6350000000004</x:v>
      </x:c>
      <x:c r="E20" s="44">
        <x:f t="shared" si="0"/>
        <x:v>314.81416266666673</x:v>
      </x:c>
      <x:c r="F20" s="44">
        <x:f t="shared" si="0"/>
        <x:v>-3.5056979718398225</x:v>
      </x:c>
      <x:c r="G20" s="44">
        <x:f t="shared" si="0"/>
        <x:v>45.301302685919268</x:v>
      </x:c>
      <x:c r="H20" s="44">
        <x:f t="shared" si="0"/>
        <x:v>94.339139272024909</x:v>
      </x:c>
      <x:c r="I20" s="44">
        <x:f t="shared" si="0"/>
        <x:v>134.84645884999713</x:v>
      </x:c>
      <x:c r="J20" s="44">
        <x:f t="shared" si="0"/>
        <x:v>181.88258439420366</x:v>
      </x:c>
      <x:c r="K20" s="44">
        <x:f t="shared" si="0"/>
        <x:v>229.14973188972576</x:v>
      </x:c>
      <x:c r="L20" s="44">
        <x:f t="shared" si="0"/>
        <x:v>276.65194786870677</x:v>
      </x:c>
      <x:c r="M20" s="44">
        <x:f t="shared" si="0"/>
        <x:v>324.3933494865654</x:v>
      </x:c>
      <x:c r="N20" s="44">
        <x:f t="shared" si="0"/>
        <x:v>372.37812574934009</x:v>
      </x:c>
      <x:c r="O20" s="44">
        <x:f t="shared" si="0"/>
        <x:v>420.61053876225742</x:v>
      </x:c>
      <x:c r="P20" s="44">
        <x:f t="shared" si="0"/>
        <x:v>469.09492499988619</x:v>
      </x:c>
      <x:c r="Q20" s="44">
        <x:f t="shared" si="0"/>
        <x:v>874.54402993158124</x:v>
      </x:c>
      <x:c r="R20" s="44">
        <x:f t="shared" si="0"/>
        <x:v>859.94016673930537</x:v>
      </x:c>
      <x:c r="S20" s="44">
        <x:f t="shared" si="0"/>
        <x:v>874.51050007804315</x:v>
      </x:c>
      <x:c r="T20" s="44">
        <x:f t="shared" si="0"/>
        <x:v>826.63398973550738</x:v>
      </x:c>
      <x:c r="U20" s="44">
        <x:f t="shared" si="0"/>
        <x:v>840.04426548238507</x:v>
      </x:c>
      <x:c r="V20" s="44">
        <x:f t="shared" si="0"/>
        <x:v>853.69001724754139</x:v>
      </x:c>
      <x:c r="W20" s="44">
        <x:f t="shared" si="0"/>
        <x:v>867.57536672958111</x:v>
      </x:c>
      <x:c r="X20" s="44">
        <x:f t="shared" si="0"/>
        <x:v>881.70450750380405</x:v>
      </x:c>
      <x:c r="Y20" s="44">
        <x:f t="shared" si="0"/>
        <x:v>0</x:v>
      </x:c>
      <x:c r="Z20" s="44">
        <x:f t="shared" si="0"/>
        <x:v>0</x:v>
      </x:c>
      <x:c r="AA20" s="44">
        <x:f t="shared" si="0"/>
        <x:v>0</x:v>
      </x:c>
      <x:c r="AB20" s="44">
        <x:f t="shared" si="0"/>
        <x:v>0</x:v>
      </x:c>
      <x:c r="AC20" s="44">
        <x:f t="shared" si="0"/>
        <x:v>0</x:v>
      </x:c>
      <x:c r="AD20" s="44">
        <x:f t="shared" si="0"/>
        <x:v>0</x:v>
      </x:c>
      <x:c r="AE20" s="44">
        <x:f t="shared" si="0"/>
        <x:v>0</x:v>
      </x:c>
      <x:c r="AF20" s="44">
        <x:f t="shared" si="0"/>
        <x:v>0</x:v>
      </x:c>
    </x:row>
    <x:row r="21" ht="15" customHeight="1">
      <x:c r="A21" s="72" t="s">
        <x:v>626</x:v>
      </x:c>
      <x:c r="B21" s="72" t="s">
        <x:v>596</x:v>
      </x:c>
      <x:c r="C21" s="53" t="n">
        <x:f>IF(C$6="",0,1/(1+Input!$D$75)^C$7)</x:f>
        <x:v>1</x:v>
      </x:c>
      <x:c r="D21" s="53" t="n">
        <x:f>IF(D$6="",0,1/(1+Input!$D$75)^D$7)</x:f>
        <x:v>0.8928571428571428</x:v>
      </x:c>
      <x:c r="E21" s="53" t="n">
        <x:f>IF(E$6="",0,1/(1+Input!$D$75)^E$7)</x:f>
        <x:v>0.7971938775510203</x:v>
      </x:c>
      <x:c r="F21" s="53" t="n">
        <x:f>IF(F$6="",0,1/(1+Input!$D$75)^F$7)</x:f>
        <x:v>0.7117802478134109</x:v>
      </x:c>
      <x:c r="G21" s="53" t="n">
        <x:f>IF(G$6="",0,1/(1+Input!$D$75)^G$7)</x:f>
        <x:v>0.6355180784048311</x:v>
      </x:c>
      <x:c r="H21" s="53" t="n">
        <x:f>IF(H$6="",0,1/(1+Input!$D$75)^H$7)</x:f>
        <x:v>0.5674268557185992</x:v>
      </x:c>
      <x:c r="I21" s="53" t="n">
        <x:f>IF(I$6="",0,1/(1+Input!$D$75)^I$7)</x:f>
        <x:v>0.5066311211773206</x:v>
      </x:c>
      <x:c r="J21" s="53" t="n">
        <x:f>IF(J$6="",0,1/(1+Input!$D$75)^J$7)</x:f>
        <x:v>0.4523492153368934</x:v>
      </x:c>
      <x:c r="K21" s="53" t="n">
        <x:f>IF(K$6="",0,1/(1+Input!$D$75)^K$7)</x:f>
        <x:v>0.40388322797936904</x:v>
      </x:c>
      <x:c r="L21" s="53" t="n">
        <x:f>IF(L$6="",0,1/(1+Input!$D$75)^L$7)</x:f>
        <x:v>0.36061002498157946</x:v>
      </x:c>
      <x:c r="M21" s="53" t="n">
        <x:f>IF(M$6="",0,1/(1+Input!$D$75)^M$7)</x:f>
        <x:v>0.32197323659069593</x:v>
      </x:c>
      <x:c r="N21" s="53" t="n">
        <x:f>IF(N$6="",0,1/(1+Input!$D$75)^N$7)</x:f>
        <x:v>0.2874761040988356</x:v>
      </x:c>
      <x:c r="O21" s="53" t="n">
        <x:f>IF(O$6="",0,1/(1+Input!$D$75)^O$7)</x:f>
        <x:v>0.25667509294538887</x:v>
      </x:c>
      <x:c r="P21" s="53" t="n">
        <x:f>IF(P$6="",0,1/(1+Input!$D$75)^P$7)</x:f>
        <x:v>0.2291741901298115</x:v>
      </x:c>
      <x:c r="Q21" s="53" t="n">
        <x:f>IF(Q$6="",0,1/(1+Input!$D$75)^Q$7)</x:f>
        <x:v>0.20461981261590312</x:v>
      </x:c>
      <x:c r="R21" s="53" t="n">
        <x:f>IF(R$6="",0,1/(1+Input!$D$75)^R$7)</x:f>
        <x:v>0.1826962612641992</x:v>
      </x:c>
      <x:c r="S21" s="53" t="n">
        <x:f>IF(S$6="",0,1/(1+Input!$D$75)^S$7)</x:f>
        <x:v>0.16312166184303498</x:v>
      </x:c>
      <x:c r="T21" s="53" t="n">
        <x:f>IF(T$6="",0,1/(1+Input!$D$75)^T$7)</x:f>
        <x:v>0.14564434093128123</x:v>
      </x:c>
      <x:c r="U21" s="53" t="n">
        <x:f>IF(U$6="",0,1/(1+Input!$D$75)^U$7)</x:f>
        <x:v>0.13003959011721536</x:v>
      </x:c>
      <x:c r="V21" s="53" t="n">
        <x:f>IF(V$6="",0,1/(1+Input!$D$75)^V$7)</x:f>
        <x:v>0.11610677689037084</x:v>
      </x:c>
      <x:c r="W21" s="53" t="n">
        <x:f>IF(W$6="",0,1/(1+Input!$D$75)^W$7)</x:f>
        <x:v>0.10366676508068824</x:v>
      </x:c>
      <x:c r="X21" s="53" t="n">
        <x:f>IF(X$6="",0,1/(1+Input!$D$75)^X$7)</x:f>
        <x:v>0.09255961167918592</x:v>
      </x:c>
      <x:c r="Y21" s="53" t="n">
        <x:f>IF(Y$6="",0,1/(1+Input!$D$75)^Y$7)</x:f>
        <x:v>0.08264251042784457</x:v>
      </x:c>
      <x:c r="Z21" s="53" t="n">
        <x:f>IF(Z$6="",0,1/(1+Input!$D$75)^Z$7)</x:f>
        <x:v>0.07378795573914693</x:v>
      </x:c>
      <x:c r="AA21" s="53" t="n">
        <x:f>IF(AA$6="",0,1/(1+Input!$D$75)^AA$7)</x:f>
        <x:v>0.06588210333852404</x:v>
      </x:c>
      <x:c r="AB21" s="53" t="n">
        <x:f>IF(AB$6="",0,1/(1+Input!$D$75)^AB$7)</x:f>
        <x:v>0.0588233065522536</x:v>
      </x:c>
      <x:c r="AC21" s="53" t="n">
        <x:f>IF(AC$6="",0,1/(1+Input!$D$75)^AC$7)</x:f>
        <x:v>0.052520809421655</x:v>
      </x:c>
      <x:c r="AD21" s="53" t="n">
        <x:f>IF(AD$6="",0,1/(1+Input!$D$75)^AD$7)</x:f>
        <x:v>0.04689357984076338</x:v>
      </x:c>
      <x:c r="AE21" s="53" t="n">
        <x:f>IF(AE$6="",0,1/(1+Input!$D$75)^AE$7)</x:f>
        <x:v>0.041869267714967295</x:v>
      </x:c>
      <x:c r="AF21" s="53" t="n">
        <x:f>IF(AF$6="",0,1/(1+Input!$D$75)^AF$7)</x:f>
        <x:v>0.03738327474550651</x:v>
      </x:c>
    </x:row>
    <x:row r="22" ht="15" customHeight="1">
      <x:c r="A22" s="72" t="s">
        <x:v>627</x:v>
      </x:c>
      <x:c r="B22" s="73" t="s">
        <x:v>628</x:v>
      </x:c>
      <x:c r="C22" s="44" t="n">
        <x:f t="shared" ref="C22:AF22" si="1">C20*C21</x:f>
        <x:v>-1106.815</x:v>
      </x:c>
      <x:c r="D22" s="44">
        <x:f t="shared" si="1"/>
        <x:v>-1359.495535714286</x:v>
      </x:c>
      <x:c r="E22" s="44">
        <x:f t="shared" si="1"/>
        <x:v>250.96792304421771</x:v>
      </x:c>
      <x:c r="F22" s="44">
        <x:f t="shared" si="1"/>
        <x:v>-2.4952865711551206</x:v>
      </x:c>
      <x:c r="G22" s="44">
        <x:f t="shared" si="1"/>
        <x:v>28.789796832191033</x:v>
      </x:c>
      <x:c r="H22" s="44">
        <x:f t="shared" si="1"/>
        <x:v>53.530561168324112</x:v>
      </x:c>
      <x:c r="I22" s="44">
        <x:f t="shared" si="1"/>
        <x:v>68.317412633965489</x:v>
      </x:c>
      <x:c r="J22" s="44">
        <x:f t="shared" si="1"/>
        <x:v>82.274444334164329</x:v>
      </x:c>
      <x:c r="K22" s="44">
        <x:f t="shared" si="1"/>
        <x:v>92.549733406229407</x:v>
      </x:c>
      <x:c r="L22" s="44">
        <x:f t="shared" si="1"/>
        <x:v>99.763465832137001</x:v>
      </x:c>
      <x:c r="M22" s="44">
        <x:f t="shared" si="1"/>
        <x:v>104.44597666268625</x:v>
      </x:c>
      <x:c r="N22" s="44">
        <x:f t="shared" si="1"/>
        <x:v>107.04981284204661</x:v>
      </x:c>
      <x:c r="O22" s="44">
        <x:f t="shared" si="1"/>
        <x:v>107.96024913061258</x:v>
      </x:c>
      <x:c r="P22" s="44">
        <x:f t="shared" si="1"/>
        <x:v>107.50444953085362</x:v>
      </x:c>
      <x:c r="Q22" s="44">
        <x:f t="shared" si="1"/>
        <x:v>178.94903552895695</x:v>
      </x:c>
      <x:c r="R22" s="44">
        <x:f t="shared" si="1"/>
        <x:v>157.10785337418321</x:v>
      </x:c>
      <x:c r="S22" s="44">
        <x:f t="shared" si="1"/>
        <x:v>142.65160607191402</x:v>
      </x:c>
      <x:c r="T22" s="44">
        <x:f t="shared" si="1"/>
        <x:v>120.39456262642351</x:v>
      </x:c>
      <x:c r="U22" s="44">
        <x:f t="shared" si="1"/>
        <x:v>109.23901196364665</x:v>
      </x:c>
      <x:c r="V22" s="44">
        <x:f t="shared" si="1"/>
        <x:v>99.119196366097171</x:v>
      </x:c>
      <x:c r="W22" s="44">
        <x:f t="shared" si="1"/>
        <x:v>89.938731732547481</x:v>
      </x:c>
      <x:c r="X22" s="44">
        <x:f t="shared" si="1"/>
        <x:v>81.610226830340011</x:v>
      </x:c>
      <x:c r="Y22" s="44">
        <x:f t="shared" si="1"/>
        <x:v>0</x:v>
      </x:c>
      <x:c r="Z22" s="44">
        <x:f t="shared" si="1"/>
        <x:v>0</x:v>
      </x:c>
      <x:c r="AA22" s="44">
        <x:f t="shared" si="1"/>
        <x:v>0</x:v>
      </x:c>
      <x:c r="AB22" s="44">
        <x:f t="shared" si="1"/>
        <x:v>0</x:v>
      </x:c>
      <x:c r="AC22" s="44">
        <x:f t="shared" si="1"/>
        <x:v>0</x:v>
      </x:c>
      <x:c r="AD22" s="44">
        <x:f t="shared" si="1"/>
        <x:v>0</x:v>
      </x:c>
      <x:c r="AE22" s="44">
        <x:f t="shared" si="1"/>
        <x:v>0</x:v>
      </x:c>
      <x:c r="AF22" s="44">
        <x:f t="shared" si="1"/>
        <x:v>0</x:v>
      </x:c>
    </x:row>
    <x:row r="23" ht="15" customHeight="1">
      <x:c r="A23" s="72" t="s">
        <x:v>629</x:v>
      </x:c>
      <x:c r="B23" s="73" t="s">
        <x:v>600</x:v>
      </x:c>
      <x:c r="C23" s="44" t="n">
        <x:f>C20</x:f>
        <x:v>-1106.815</x:v>
      </x:c>
      <x:c r="D23" s="44" t="n">
        <x:f t="shared" ref="D23:AF23" si="2">C23+D20</x:f>
        <x:v>-2629.4500000000007</x:v>
      </x:c>
      <x:c r="E23" s="44">
        <x:f t="shared" si="2"/>
        <x:v>-2314.6358373333342</x:v>
      </x:c>
      <x:c r="F23" s="44">
        <x:f t="shared" si="2"/>
        <x:v>-2318.1415353051739</x:v>
      </x:c>
      <x:c r="G23" s="44">
        <x:f t="shared" si="2"/>
        <x:v>-2272.8402326192545</x:v>
      </x:c>
      <x:c r="H23" s="44">
        <x:f t="shared" si="2"/>
        <x:v>-2178.5010933472295</x:v>
      </x:c>
      <x:c r="I23" s="44">
        <x:f t="shared" si="2"/>
        <x:v>-2043.6546344972323</x:v>
      </x:c>
      <x:c r="J23" s="44">
        <x:f t="shared" si="2"/>
        <x:v>-1861.7720501030287</x:v>
      </x:c>
      <x:c r="K23" s="44">
        <x:f t="shared" si="2"/>
        <x:v>-1632.6223182133031</x:v>
      </x:c>
      <x:c r="L23" s="44">
        <x:f t="shared" si="2"/>
        <x:v>-1355.9703703445962</x:v>
      </x:c>
      <x:c r="M23" s="44">
        <x:f t="shared" si="2"/>
        <x:v>-1031.5770208580307</x:v>
      </x:c>
      <x:c r="N23" s="44">
        <x:f t="shared" si="2"/>
        <x:v>-659.19889510869052</x:v>
      </x:c>
      <x:c r="O23" s="44">
        <x:f t="shared" si="2"/>
        <x:v>-238.5883563464331</x:v>
      </x:c>
      <x:c r="P23" s="44">
        <x:f t="shared" si="2"/>
        <x:v>230.50656865345309</x:v>
      </x:c>
      <x:c r="Q23" s="44">
        <x:f t="shared" si="2"/>
        <x:v>1105.0505985850343</x:v>
      </x:c>
      <x:c r="R23" s="44">
        <x:f t="shared" si="2"/>
        <x:v>1964.9907653243397</x:v>
      </x:c>
      <x:c r="S23" s="44">
        <x:f t="shared" si="2"/>
        <x:v>2839.5012654023831</x:v>
      </x:c>
      <x:c r="T23" s="44">
        <x:f t="shared" si="2"/>
        <x:v>3666.1352551378905</x:v>
      </x:c>
      <x:c r="U23" s="44">
        <x:f t="shared" si="2"/>
        <x:v>4506.1795206202751</x:v>
      </x:c>
      <x:c r="V23" s="44">
        <x:f t="shared" si="2"/>
        <x:v>5359.8695378678167</x:v>
      </x:c>
      <x:c r="W23" s="44">
        <x:f t="shared" si="2"/>
        <x:v>6227.4449045973979</x:v>
      </x:c>
      <x:c r="X23" s="44">
        <x:f t="shared" si="2"/>
        <x:v>7109.149412101202</x:v>
      </x:c>
      <x:c r="Y23" s="44">
        <x:f t="shared" si="2"/>
        <x:v>7109.149412101202</x:v>
      </x:c>
      <x:c r="Z23" s="44">
        <x:f t="shared" si="2"/>
        <x:v>7109.149412101202</x:v>
      </x:c>
      <x:c r="AA23" s="44">
        <x:f t="shared" si="2"/>
        <x:v>7109.149412101202</x:v>
      </x:c>
      <x:c r="AB23" s="44">
        <x:f t="shared" si="2"/>
        <x:v>7109.149412101202</x:v>
      </x:c>
      <x:c r="AC23" s="44">
        <x:f t="shared" si="2"/>
        <x:v>7109.149412101202</x:v>
      </x:c>
      <x:c r="AD23" s="44">
        <x:f t="shared" si="2"/>
        <x:v>7109.149412101202</x:v>
      </x:c>
      <x:c r="AE23" s="44">
        <x:f t="shared" si="2"/>
        <x:v>7109.149412101202</x:v>
      </x:c>
      <x:c r="AF23" s="44">
        <x:f t="shared" si="2"/>
        <x:v>7109.149412101202</x:v>
      </x:c>
    </x:row>
    <x:row r="24" ht="15" customHeight="1">
      <x:c r="A24" s="72" t="s">
        <x:v>630</x:v>
      </x:c>
      <x:c r="B24" s="72" t="s">
        <x:v>602</x:v>
      </x:c>
      <x:c r="C24" s="48" t="str">
        <x:f t="shared" ref="C24:AF24" si="3">IF(C23&gt;=0,C$6,"")</x:f>
      </x:c>
      <x:c r="D24" s="48" t="str">
        <x:f t="shared" si="3"/>
      </x:c>
      <x:c r="E24" s="48" t="str">
        <x:f t="shared" si="3"/>
      </x:c>
      <x:c r="F24" s="48" t="str">
        <x:f t="shared" si="3"/>
      </x:c>
      <x:c r="G24" s="48" t="str">
        <x:f t="shared" si="3"/>
      </x:c>
      <x:c r="H24" s="48" t="str">
        <x:f t="shared" si="3"/>
      </x:c>
      <x:c r="I24" s="48" t="str">
        <x:f t="shared" si="3"/>
      </x:c>
      <x:c r="J24" s="48" t="str">
        <x:f t="shared" si="3"/>
      </x:c>
      <x:c r="K24" s="48" t="str">
        <x:f t="shared" si="3"/>
      </x:c>
      <x:c r="L24" s="48" t="str">
        <x:f t="shared" si="3"/>
      </x:c>
      <x:c r="M24" s="48" t="str">
        <x:f t="shared" si="3"/>
      </x:c>
      <x:c r="N24" s="48" t="str">
        <x:f t="shared" si="3"/>
      </x:c>
      <x:c r="O24" s="48" t="str">
        <x:f t="shared" si="3"/>
      </x:c>
      <x:c r="P24" s="48">
        <x:f t="shared" si="3"/>
        <x:v>2038</x:v>
      </x:c>
      <x:c r="Q24" s="48">
        <x:f t="shared" si="3"/>
        <x:v>2039</x:v>
      </x:c>
      <x:c r="R24" s="48">
        <x:f t="shared" si="3"/>
        <x:v>2040</x:v>
      </x:c>
      <x:c r="S24" s="48">
        <x:f t="shared" si="3"/>
        <x:v>2041</x:v>
      </x:c>
      <x:c r="T24" s="48">
        <x:f t="shared" si="3"/>
        <x:v>2042</x:v>
      </x:c>
      <x:c r="U24" s="48">
        <x:f t="shared" si="3"/>
        <x:v>2043</x:v>
      </x:c>
      <x:c r="V24" s="48">
        <x:f t="shared" si="3"/>
        <x:v>2044</x:v>
      </x:c>
      <x:c r="W24" s="48">
        <x:f t="shared" si="3"/>
        <x:v>2045</x:v>
      </x:c>
      <x:c r="X24" s="48">
        <x:f t="shared" si="3"/>
        <x:v>2046</x:v>
      </x:c>
      <x:c r="Y24" s="48">
        <x:f t="shared" si="3"/>
        <x:v>2047</x:v>
      </x:c>
      <x:c r="Z24" s="48">
        <x:f t="shared" si="3"/>
        <x:v>2048</x:v>
      </x:c>
      <x:c r="AA24" s="48">
        <x:f t="shared" si="3"/>
        <x:v>2049</x:v>
      </x:c>
      <x:c r="AB24" s="48">
        <x:f t="shared" si="3"/>
        <x:v>2050</x:v>
      </x:c>
      <x:c r="AC24" s="48">
        <x:f t="shared" si="3"/>
        <x:v>2051</x:v>
      </x:c>
      <x:c r="AD24" s="48">
        <x:f t="shared" si="3"/>
        <x:v>2052</x:v>
      </x:c>
      <x:c r="AE24" s="48">
        <x:f t="shared" si="3"/>
        <x:v>2053</x:v>
      </x:c>
      <x:c r="AF24" s="48">
        <x:f t="shared" si="3"/>
        <x:v>2054</x:v>
      </x:c>
    </x:row>
    <x:row r="25" ht="15" customHeight="1">
      <x:c r="A25" s="70"/>
      <x:c r="B25" s="70"/>
      <x:c r="C25" s="65"/>
      <x:c r="D25" s="65"/>
      <x:c r="E25" s="65"/>
      <x:c r="F25" s="65"/>
      <x:c r="G25" s="65"/>
      <x:c r="H25" s="65"/>
      <x:c r="I25" s="65"/>
      <x:c r="J25" s="65"/>
      <x:c r="K25" s="65"/>
      <x:c r="L25" s="65"/>
      <x:c r="M25" s="65"/>
      <x:c r="N25" s="65"/>
      <x:c r="O25" s="65"/>
      <x:c r="P25" s="65"/>
      <x:c r="Q25" s="65"/>
      <x:c r="R25" s="65"/>
      <x:c r="S25" s="65"/>
      <x:c r="T25" s="65"/>
      <x:c r="U25" s="65"/>
      <x:c r="V25" s="65"/>
      <x:c r="W25" s="65"/>
      <x:c r="X25" s="65"/>
      <x:c r="Y25" s="65"/>
      <x:c r="Z25" s="65"/>
      <x:c r="AA25" s="65"/>
      <x:c r="AB25" s="65"/>
      <x:c r="AC25" s="65"/>
      <x:c r="AD25" s="65"/>
      <x:c r="AE25" s="65"/>
      <x:c r="AF25" s="65"/>
    </x:row>
    <x:row r="26" ht="15" customHeight="1">
      <x:c r="A26" s="136" t="s">
        <x:v>631</x:v>
      </x:c>
      <x:c r="B26" s="136"/>
      <x:c r="C26" s="137"/>
      <x:c r="D26" s="137"/>
      <x:c r="E26" s="137"/>
      <x:c r="F26" s="137"/>
      <x:c r="G26" s="137"/>
      <x:c r="H26" s="137"/>
      <x:c r="I26" s="137"/>
      <x:c r="J26" s="137"/>
      <x:c r="K26" s="137"/>
      <x:c r="L26" s="137"/>
      <x:c r="M26" s="137"/>
      <x:c r="N26" s="137"/>
      <x:c r="O26" s="137"/>
      <x:c r="P26" s="137"/>
      <x:c r="Q26" s="137"/>
      <x:c r="R26" s="137"/>
      <x:c r="S26" s="137"/>
      <x:c r="T26" s="137"/>
      <x:c r="U26" s="137"/>
      <x:c r="V26" s="137"/>
      <x:c r="W26" s="137"/>
      <x:c r="X26" s="137"/>
      <x:c r="Y26" s="137"/>
      <x:c r="Z26" s="137"/>
      <x:c r="AA26" s="137"/>
      <x:c r="AB26" s="137"/>
      <x:c r="AC26" s="137"/>
      <x:c r="AD26" s="137"/>
      <x:c r="AE26" s="137"/>
      <x:c r="AF26" s="137"/>
    </x:row>
    <x:row r="27" ht="15" customHeight="1">
      <x:c r="A27" s="70" t="s">
        <x:v>520</x:v>
      </x:c>
      <x:c r="B27" s="70" t="s">
        <x:v>63</x:v>
      </x:c>
      <x:c r="C27" s="76" t="n">
        <x:f>IF(COUNTIF(C20:AF20,"&lt;0")*COUNTIF(C20:AF20,"&gt;0")=0,0,IRR(C20:AF20))</x:f>
        <x:v>0.10376946291662054</x:v>
      </x:c>
      <x:c r="D27" s="65"/>
      <x:c r="E27" s="65"/>
      <x:c r="F27" s="65"/>
      <x:c r="G27" s="65"/>
      <x:c r="H27" s="65"/>
      <x:c r="I27" s="65"/>
      <x:c r="J27" s="65"/>
      <x:c r="K27" s="65"/>
      <x:c r="L27" s="65"/>
      <x:c r="M27" s="65"/>
      <x:c r="N27" s="65"/>
      <x:c r="O27" s="65"/>
      <x:c r="P27" s="65"/>
      <x:c r="Q27" s="65"/>
      <x:c r="R27" s="65"/>
      <x:c r="S27" s="65"/>
      <x:c r="T27" s="65"/>
      <x:c r="U27" s="65"/>
      <x:c r="V27" s="65"/>
      <x:c r="W27" s="65"/>
      <x:c r="X27" s="65"/>
      <x:c r="Y27" s="65"/>
      <x:c r="Z27" s="65"/>
      <x:c r="AA27" s="65"/>
      <x:c r="AB27" s="65"/>
      <x:c r="AC27" s="65"/>
      <x:c r="AD27" s="65"/>
      <x:c r="AE27" s="65"/>
      <x:c r="AF27" s="65"/>
    </x:row>
    <x:row r="28" ht="15" customHeight="1">
      <x:c r="A28" s="70" t="s">
        <x:v>521</x:v>
      </x:c>
      <x:c r="B28" s="70" t="s">
        <x:v>67</x:v>
      </x:c>
      <x:c r="C28" s="68" t="n">
        <x:f>SUM(C22:AF22)</x:f>
        <x:v>-386.64177237390413</x:v>
      </x:c>
      <x:c r="D28" s="65"/>
      <x:c r="E28" s="65"/>
      <x:c r="F28" s="65"/>
      <x:c r="G28" s="65"/>
      <x:c r="H28" s="65"/>
      <x:c r="I28" s="65"/>
      <x:c r="J28" s="65"/>
      <x:c r="K28" s="65"/>
      <x:c r="L28" s="65"/>
      <x:c r="M28" s="65"/>
      <x:c r="N28" s="65"/>
      <x:c r="O28" s="65"/>
      <x:c r="P28" s="65"/>
      <x:c r="Q28" s="65"/>
      <x:c r="R28" s="65"/>
      <x:c r="S28" s="65"/>
      <x:c r="T28" s="65"/>
      <x:c r="U28" s="65"/>
      <x:c r="V28" s="65"/>
      <x:c r="W28" s="65"/>
      <x:c r="X28" s="65"/>
      <x:c r="Y28" s="65"/>
      <x:c r="Z28" s="65"/>
      <x:c r="AA28" s="65"/>
      <x:c r="AB28" s="65"/>
      <x:c r="AC28" s="65"/>
      <x:c r="AD28" s="65"/>
      <x:c r="AE28" s="65"/>
      <x:c r="AF28" s="65"/>
    </x:row>
    <x:row r="29" ht="15" customHeight="1">
      <x:c r="A29" s="70" t="s">
        <x:v>522</x:v>
      </x:c>
      <x:c r="B29" s="70" t="s">
        <x:v>632</x:v>
      </x:c>
      <x:c r="C29" s="77" t="n">
        <x:f>IF(COUNT(C24:AF24)=0,0,MIN(C24:AF24))</x:f>
        <x:v>2038</x:v>
      </x:c>
      <x:c r="D29" s="65"/>
      <x:c r="E29" s="65"/>
      <x:c r="F29" s="65"/>
      <x:c r="G29" s="65"/>
      <x:c r="H29" s="65"/>
      <x:c r="I29" s="65"/>
      <x:c r="J29" s="65"/>
      <x:c r="K29" s="65"/>
      <x:c r="L29" s="65"/>
      <x:c r="M29" s="65"/>
      <x:c r="N29" s="65"/>
      <x:c r="O29" s="65"/>
      <x:c r="P29" s="65"/>
      <x:c r="Q29" s="65"/>
      <x:c r="R29" s="65"/>
      <x:c r="S29" s="65"/>
      <x:c r="T29" s="65"/>
      <x:c r="U29" s="65"/>
      <x:c r="V29" s="65"/>
      <x:c r="W29" s="65"/>
      <x:c r="X29" s="65"/>
      <x:c r="Y29" s="65"/>
      <x:c r="Z29" s="65"/>
      <x:c r="AA29" s="65"/>
      <x:c r="AB29" s="65"/>
      <x:c r="AC29" s="65"/>
      <x:c r="AD29" s="65"/>
      <x:c r="AE29" s="65"/>
      <x:c r="AF29" s="65"/>
    </x:row>
    <x:row r="30" ht="15" customHeight="1">
      <x:c r="A30" s="70" t="s">
        <x:v>524</x:v>
      </x:c>
      <x:c r="B30" s="70" t="s">
        <x:v>633</x:v>
      </x:c>
      <x:c r="C30" s="77" t="n">
        <x:f>IF(C29=0,0,C29-Input!$D$14)</x:f>
        <x:v>13</x:v>
      </x:c>
      <x:c r="D30" s="65"/>
      <x:c r="E30" s="65"/>
      <x:c r="F30" s="65"/>
      <x:c r="G30" s="65"/>
      <x:c r="H30" s="65"/>
      <x:c r="I30" s="65"/>
      <x:c r="J30" s="65"/>
      <x:c r="K30" s="65"/>
      <x:c r="L30" s="65"/>
      <x:c r="M30" s="65"/>
      <x:c r="N30" s="65"/>
      <x:c r="O30" s="65"/>
      <x:c r="P30" s="65"/>
      <x:c r="Q30" s="65"/>
      <x:c r="R30" s="65"/>
      <x:c r="S30" s="65"/>
      <x:c r="T30" s="65"/>
      <x:c r="U30" s="65"/>
      <x:c r="V30" s="65"/>
      <x:c r="W30" s="65"/>
      <x:c r="X30" s="65"/>
      <x:c r="Y30" s="65"/>
      <x:c r="Z30" s="65"/>
      <x:c r="AA30" s="65"/>
      <x:c r="AB30" s="65"/>
      <x:c r="AC30" s="65"/>
      <x:c r="AD30" s="65"/>
      <x:c r="AE30" s="65"/>
      <x:c r="AF30" s="65"/>
    </x:row>
    <x:row r="31" ht="15" customHeight="1">
      <x:c r="A31" s="70" t="s">
        <x:v>525</x:v>
      </x:c>
      <x:c r="B31" s="70" t="s">
        <x:v>416</x:v>
      </x:c>
      <x:c r="C31" s="68" t="n">
        <x:f>-SUMIF(C20:AF20,"&lt;0",C20:AF20)</x:f>
        <x:v>2632.9556979718404</x:v>
      </x:c>
      <x:c r="D31" s="65"/>
      <x:c r="E31" s="65"/>
      <x:c r="F31" s="65"/>
      <x:c r="G31" s="65"/>
      <x:c r="H31" s="65"/>
      <x:c r="I31" s="65"/>
      <x:c r="J31" s="65"/>
      <x:c r="K31" s="65"/>
      <x:c r="L31" s="65"/>
      <x:c r="M31" s="65"/>
      <x:c r="N31" s="65"/>
      <x:c r="O31" s="65"/>
      <x:c r="P31" s="65"/>
      <x:c r="Q31" s="65"/>
      <x:c r="R31" s="65"/>
      <x:c r="S31" s="65"/>
      <x:c r="T31" s="65"/>
      <x:c r="U31" s="65"/>
      <x:c r="V31" s="65"/>
      <x:c r="W31" s="65"/>
      <x:c r="X31" s="65"/>
      <x:c r="Y31" s="65"/>
      <x:c r="Z31" s="65"/>
      <x:c r="AA31" s="65"/>
      <x:c r="AB31" s="65"/>
      <x:c r="AC31" s="65"/>
      <x:c r="AD31" s="65"/>
      <x:c r="AE31" s="65"/>
      <x:c r="AF31" s="65"/>
    </x:row>
    <x:row r="32" ht="15" customHeight="1">
      <x:c r="A32" s="70"/>
      <x:c r="B32" s="70"/>
      <x:c r="C32" s="65"/>
      <x:c r="D32" s="65"/>
      <x:c r="E32" s="65"/>
      <x:c r="F32" s="65"/>
      <x:c r="G32" s="65"/>
      <x:c r="H32" s="65"/>
      <x:c r="I32" s="65"/>
      <x:c r="J32" s="65"/>
      <x:c r="K32" s="65"/>
      <x:c r="L32" s="65"/>
      <x:c r="M32" s="65"/>
      <x:c r="N32" s="65"/>
      <x:c r="O32" s="65"/>
      <x:c r="P32" s="65"/>
      <x:c r="Q32" s="65"/>
      <x:c r="R32" s="65"/>
      <x:c r="S32" s="65"/>
      <x:c r="T32" s="65"/>
      <x:c r="U32" s="65"/>
      <x:c r="V32" s="65"/>
      <x:c r="W32" s="65"/>
      <x:c r="X32" s="65"/>
      <x:c r="Y32" s="65"/>
      <x:c r="Z32" s="65"/>
      <x:c r="AA32" s="65"/>
      <x:c r="AB32" s="65"/>
      <x:c r="AC32" s="65"/>
      <x:c r="AD32" s="65"/>
      <x:c r="AE32" s="65"/>
      <x:c r="AF32" s="65"/>
    </x:row>
    <x:row r="33" ht="15" customHeight="1">
      <x:c r="A33" s="70"/>
      <x:c r="B33" s="70"/>
      <x:c r="C33" s="65"/>
      <x:c r="D33" s="65"/>
      <x:c r="E33" s="65"/>
      <x:c r="F33" s="65"/>
      <x:c r="G33" s="65"/>
      <x:c r="H33" s="65"/>
      <x:c r="I33" s="65"/>
      <x:c r="J33" s="65"/>
      <x:c r="K33" s="65"/>
      <x:c r="L33" s="65"/>
      <x:c r="M33" s="65"/>
      <x:c r="N33" s="65"/>
      <x:c r="O33" s="65"/>
      <x:c r="P33" s="65"/>
      <x:c r="Q33" s="65"/>
      <x:c r="R33" s="65"/>
      <x:c r="S33" s="65"/>
      <x:c r="T33" s="65"/>
      <x:c r="U33" s="65"/>
      <x:c r="V33" s="65"/>
      <x:c r="W33" s="65"/>
      <x:c r="X33" s="65"/>
      <x:c r="Y33" s="65"/>
      <x:c r="Z33" s="65"/>
      <x:c r="AA33" s="65"/>
      <x:c r="AB33" s="65"/>
      <x:c r="AC33" s="65"/>
      <x:c r="AD33" s="65"/>
      <x:c r="AE33" s="65"/>
      <x:c r="AF33" s="65"/>
    </x:row>
    <x:row r="34" ht="15" customHeight="1">
      <x:c r="A34" s="70"/>
      <x:c r="B34" s="70"/>
      <x:c r="C34" s="65"/>
      <x:c r="D34" s="65"/>
      <x:c r="E34" s="65"/>
      <x:c r="F34" s="65"/>
      <x:c r="G34" s="65"/>
      <x:c r="H34" s="65"/>
      <x:c r="I34" s="65"/>
      <x:c r="J34" s="65"/>
      <x:c r="K34" s="65"/>
      <x:c r="L34" s="65"/>
      <x:c r="M34" s="65"/>
      <x:c r="N34" s="65"/>
      <x:c r="O34" s="65"/>
      <x:c r="P34" s="65"/>
      <x:c r="Q34" s="65"/>
      <x:c r="R34" s="65"/>
      <x:c r="S34" s="65"/>
      <x:c r="T34" s="65"/>
      <x:c r="U34" s="65"/>
      <x:c r="V34" s="65"/>
      <x:c r="W34" s="65"/>
      <x:c r="X34" s="65"/>
      <x:c r="Y34" s="65"/>
      <x:c r="Z34" s="65"/>
      <x:c r="AA34" s="65"/>
      <x:c r="AB34" s="65"/>
      <x:c r="AC34" s="65"/>
      <x:c r="AD34" s="65"/>
      <x:c r="AE34" s="65"/>
      <x:c r="AF34" s="65"/>
    </x:row>
    <x:row r="35" ht="15" customHeight="1">
      <x:c r="A35" s="70"/>
      <x:c r="B35" s="70"/>
      <x:c r="C35" s="65"/>
      <x:c r="D35" s="65"/>
      <x:c r="E35" s="65"/>
      <x:c r="F35" s="65"/>
      <x:c r="G35" s="65"/>
      <x:c r="H35" s="65"/>
      <x:c r="I35" s="65"/>
      <x:c r="J35" s="65"/>
      <x:c r="K35" s="65"/>
      <x:c r="L35" s="65"/>
      <x:c r="M35" s="65"/>
      <x:c r="N35" s="65"/>
      <x:c r="O35" s="65"/>
      <x:c r="P35" s="65"/>
      <x:c r="Q35" s="65"/>
      <x:c r="R35" s="65"/>
      <x:c r="S35" s="65"/>
      <x:c r="T35" s="65"/>
      <x:c r="U35" s="65"/>
      <x:c r="V35" s="65"/>
      <x:c r="W35" s="65"/>
      <x:c r="X35" s="65"/>
      <x:c r="Y35" s="65"/>
      <x:c r="Z35" s="65"/>
      <x:c r="AA35" s="65"/>
      <x:c r="AB35" s="65"/>
      <x:c r="AC35" s="65"/>
      <x:c r="AD35" s="65"/>
      <x:c r="AE35" s="65"/>
      <x:c r="AF35" s="65"/>
    </x:row>
    <x:row r="36" ht="15" customHeight="1">
      <x:c r="A36" s="70"/>
      <x:c r="B36" s="70"/>
      <x:c r="C36" s="65"/>
      <x:c r="D36" s="65"/>
      <x:c r="E36" s="65"/>
      <x:c r="F36" s="65"/>
      <x:c r="G36" s="65"/>
      <x:c r="H36" s="65"/>
      <x:c r="I36" s="65"/>
      <x:c r="J36" s="65"/>
      <x:c r="K36" s="65"/>
      <x:c r="L36" s="65"/>
      <x:c r="M36" s="65"/>
      <x:c r="N36" s="65"/>
      <x:c r="O36" s="65"/>
      <x:c r="P36" s="65"/>
      <x:c r="Q36" s="65"/>
      <x:c r="R36" s="65"/>
      <x:c r="S36" s="65"/>
      <x:c r="T36" s="65"/>
      <x:c r="U36" s="65"/>
      <x:c r="V36" s="65"/>
      <x:c r="W36" s="65"/>
      <x:c r="X36" s="65"/>
      <x:c r="Y36" s="65"/>
      <x:c r="Z36" s="65"/>
      <x:c r="AA36" s="65"/>
      <x:c r="AB36" s="65"/>
      <x:c r="AC36" s="65"/>
      <x:c r="AD36" s="65"/>
      <x:c r="AE36" s="65"/>
      <x:c r="AF36" s="65"/>
    </x:row>
    <x:row r="37" ht="15" customHeight="1">
      <x:c r="A37" s="70"/>
      <x:c r="B37" s="70"/>
      <x:c r="C37" s="65"/>
      <x:c r="D37" s="65"/>
      <x:c r="E37" s="65"/>
      <x:c r="F37" s="65"/>
      <x:c r="G37" s="65"/>
      <x:c r="H37" s="65"/>
      <x:c r="I37" s="65"/>
      <x:c r="J37" s="65"/>
      <x:c r="K37" s="65"/>
      <x:c r="L37" s="65"/>
      <x:c r="M37" s="65"/>
      <x:c r="N37" s="65"/>
      <x:c r="O37" s="65"/>
      <x:c r="P37" s="65"/>
      <x:c r="Q37" s="65"/>
      <x:c r="R37" s="65"/>
      <x:c r="S37" s="65"/>
      <x:c r="T37" s="65"/>
      <x:c r="U37" s="65"/>
      <x:c r="V37" s="65"/>
      <x:c r="W37" s="65"/>
      <x:c r="X37" s="65"/>
      <x:c r="Y37" s="65"/>
      <x:c r="Z37" s="65"/>
      <x:c r="AA37" s="65"/>
      <x:c r="AB37" s="65"/>
      <x:c r="AC37" s="65"/>
      <x:c r="AD37" s="65"/>
      <x:c r="AE37" s="65"/>
      <x:c r="AF37" s="65"/>
    </x:row>
    <x:row r="38" ht="15" customHeight="1">
      <x:c r="A38" s="70"/>
      <x:c r="B38" s="70"/>
      <x:c r="C38" s="65"/>
      <x:c r="D38" s="65"/>
      <x:c r="E38" s="65"/>
      <x:c r="F38" s="65"/>
      <x:c r="G38" s="65"/>
      <x:c r="H38" s="65"/>
      <x:c r="I38" s="65"/>
      <x:c r="J38" s="65"/>
      <x:c r="K38" s="65"/>
      <x:c r="L38" s="65"/>
      <x:c r="M38" s="65"/>
      <x:c r="N38" s="65"/>
      <x:c r="O38" s="65"/>
      <x:c r="P38" s="65"/>
      <x:c r="Q38" s="65"/>
      <x:c r="R38" s="65"/>
      <x:c r="S38" s="65"/>
      <x:c r="T38" s="65"/>
      <x:c r="U38" s="65"/>
      <x:c r="V38" s="65"/>
      <x:c r="W38" s="65"/>
      <x:c r="X38" s="65"/>
      <x:c r="Y38" s="65"/>
      <x:c r="Z38" s="65"/>
      <x:c r="AA38" s="65"/>
      <x:c r="AB38" s="65"/>
      <x:c r="AC38" s="65"/>
      <x:c r="AD38" s="65"/>
      <x:c r="AE38" s="65"/>
      <x:c r="AF38" s="65"/>
    </x:row>
    <x:row r="39" ht="15" customHeight="1">
      <x:c r="A39" s="70"/>
      <x:c r="B39" s="70"/>
      <x:c r="C39" s="65"/>
      <x:c r="D39" s="65"/>
      <x:c r="E39" s="65"/>
      <x:c r="F39" s="65"/>
      <x:c r="G39" s="65"/>
      <x:c r="H39" s="65"/>
      <x:c r="I39" s="65"/>
      <x:c r="J39" s="65"/>
      <x:c r="K39" s="65"/>
      <x:c r="L39" s="65"/>
      <x:c r="M39" s="65"/>
      <x:c r="N39" s="65"/>
      <x:c r="O39" s="65"/>
      <x:c r="P39" s="65"/>
      <x:c r="Q39" s="65"/>
      <x:c r="R39" s="65"/>
      <x:c r="S39" s="65"/>
      <x:c r="T39" s="65"/>
      <x:c r="U39" s="65"/>
      <x:c r="V39" s="65"/>
      <x:c r="W39" s="65"/>
      <x:c r="X39" s="65"/>
      <x:c r="Y39" s="65"/>
      <x:c r="Z39" s="65"/>
      <x:c r="AA39" s="65"/>
      <x:c r="AB39" s="65"/>
      <x:c r="AC39" s="65"/>
      <x:c r="AD39" s="65"/>
      <x:c r="AE39" s="65"/>
      <x:c r="AF39" s="65"/>
    </x:row>
    <x:row r="40" ht="15" customHeight="1">
      <x:c r="A40" s="70"/>
      <x:c r="B40" s="70"/>
      <x:c r="C40" s="65"/>
      <x:c r="D40" s="65"/>
      <x:c r="E40" s="65"/>
      <x:c r="F40" s="65"/>
      <x:c r="G40" s="65"/>
      <x:c r="H40" s="65"/>
      <x:c r="I40" s="65"/>
      <x:c r="J40" s="65"/>
      <x:c r="K40" s="65"/>
      <x:c r="L40" s="65"/>
      <x:c r="M40" s="65"/>
      <x:c r="N40" s="65"/>
      <x:c r="O40" s="65"/>
      <x:c r="P40" s="65"/>
      <x:c r="Q40" s="65"/>
      <x:c r="R40" s="65"/>
      <x:c r="S40" s="65"/>
      <x:c r="T40" s="65"/>
      <x:c r="U40" s="65"/>
      <x:c r="V40" s="65"/>
      <x:c r="W40" s="65"/>
      <x:c r="X40" s="65"/>
      <x:c r="Y40" s="65"/>
      <x:c r="Z40" s="65"/>
      <x:c r="AA40" s="65"/>
      <x:c r="AB40" s="65"/>
      <x:c r="AC40" s="65"/>
      <x:c r="AD40" s="65"/>
      <x:c r="AE40" s="65"/>
      <x:c r="AF40" s="65"/>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c r="AA41" s="41"/>
      <x:c r="AB41" s="41"/>
      <x:c r="AC41" s="41"/>
      <x:c r="AD41" s="41"/>
      <x:c r="AE41" s="41"/>
      <x:c r="AF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c r="AA42" s="41"/>
      <x:c r="AB42" s="41"/>
      <x:c r="AC42" s="41"/>
      <x:c r="AD42" s="41"/>
      <x:c r="AE42" s="41"/>
      <x:c r="AF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c r="AA43" s="41"/>
      <x:c r="AB43" s="41"/>
      <x:c r="AC43" s="41"/>
      <x:c r="AD43" s="41"/>
      <x:c r="AE43" s="41"/>
      <x:c r="AF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c r="AA44" s="41"/>
      <x:c r="AB44" s="41"/>
      <x:c r="AC44" s="41"/>
      <x:c r="AD44" s="41"/>
      <x:c r="AE44" s="41"/>
      <x:c r="AF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c r="AA45" s="41"/>
      <x:c r="AB45" s="41"/>
      <x:c r="AC45" s="41"/>
      <x:c r="AD45" s="41"/>
      <x:c r="AE45" s="41"/>
      <x:c r="AF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c r="AA46" s="41"/>
      <x:c r="AB46" s="41"/>
      <x:c r="AC46" s="41"/>
      <x:c r="AD46" s="41"/>
      <x:c r="AE46" s="41"/>
      <x:c r="AF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c r="AA47" s="41"/>
      <x:c r="AB47" s="41"/>
      <x:c r="AC47" s="41"/>
      <x:c r="AD47" s="41"/>
      <x:c r="AE47" s="41"/>
      <x:c r="AF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c r="AA48" s="41"/>
      <x:c r="AB48" s="41"/>
      <x:c r="AC48" s="41"/>
      <x:c r="AD48" s="41"/>
      <x:c r="AE48" s="41"/>
      <x:c r="AF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c r="AA49" s="41"/>
      <x:c r="AB49" s="41"/>
      <x:c r="AC49" s="41"/>
      <x:c r="AD49" s="41"/>
      <x:c r="AE49" s="41"/>
      <x:c r="AF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c r="AA50" s="41"/>
      <x:c r="AB50" s="41"/>
      <x:c r="AC50" s="41"/>
      <x:c r="AD50" s="41"/>
      <x:c r="AE50" s="41"/>
      <x:c r="AF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c r="AA51" s="41"/>
      <x:c r="AB51" s="41"/>
      <x:c r="AC51" s="41"/>
      <x:c r="AD51" s="41"/>
      <x:c r="AE51" s="41"/>
      <x:c r="AF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c r="AA52" s="41"/>
      <x:c r="AB52" s="41"/>
      <x:c r="AC52" s="41"/>
      <x:c r="AD52" s="41"/>
      <x:c r="AE52" s="41"/>
      <x:c r="AF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c r="AA53" s="41"/>
      <x:c r="AB53" s="41"/>
      <x:c r="AC53" s="41"/>
      <x:c r="AD53" s="41"/>
      <x:c r="AE53" s="41"/>
      <x:c r="AF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c r="AA54" s="41"/>
      <x:c r="AB54" s="41"/>
      <x:c r="AC54" s="41"/>
      <x:c r="AD54" s="41"/>
      <x:c r="AE54" s="41"/>
      <x:c r="AF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c r="AA55" s="41"/>
      <x:c r="AB55" s="41"/>
      <x:c r="AC55" s="41"/>
      <x:c r="AD55" s="41"/>
      <x:c r="AE55" s="41"/>
      <x:c r="AF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c r="AA56" s="41"/>
      <x:c r="AB56" s="41"/>
      <x:c r="AC56" s="41"/>
      <x:c r="AD56" s="41"/>
      <x:c r="AE56" s="41"/>
      <x:c r="AF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c r="AA57" s="41"/>
      <x:c r="AB57" s="41"/>
      <x:c r="AC57" s="41"/>
      <x:c r="AD57" s="41"/>
      <x:c r="AE57" s="41"/>
      <x:c r="AF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c r="AA58" s="41"/>
      <x:c r="AB58" s="41"/>
      <x:c r="AC58" s="41"/>
      <x:c r="AD58" s="41"/>
      <x:c r="AE58" s="41"/>
      <x:c r="AF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c r="AA59" s="41"/>
      <x:c r="AB59" s="41"/>
      <x:c r="AC59" s="41"/>
      <x:c r="AD59" s="41"/>
      <x:c r="AE59" s="41"/>
      <x:c r="AF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c r="AA60" s="41"/>
      <x:c r="AB60" s="41"/>
      <x:c r="AC60" s="41"/>
      <x:c r="AD60" s="41"/>
      <x:c r="AE60" s="41"/>
      <x:c r="AF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c r="AA61" s="41"/>
      <x:c r="AB61" s="41"/>
      <x:c r="AC61" s="41"/>
      <x:c r="AD61" s="41"/>
      <x:c r="AE61" s="41"/>
      <x:c r="AF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c r="AA62" s="41"/>
      <x:c r="AB62" s="41"/>
      <x:c r="AC62" s="41"/>
      <x:c r="AD62" s="41"/>
      <x:c r="AE62" s="41"/>
      <x:c r="AF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c r="AA63" s="41"/>
      <x:c r="AB63" s="41"/>
      <x:c r="AC63" s="41"/>
      <x:c r="AD63" s="41"/>
      <x:c r="AE63" s="41"/>
      <x:c r="AF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c r="AA64" s="41"/>
      <x:c r="AB64" s="41"/>
      <x:c r="AC64" s="41"/>
      <x:c r="AD64" s="41"/>
      <x:c r="AE64" s="41"/>
      <x:c r="AF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c r="AA65" s="41"/>
      <x:c r="AB65" s="41"/>
      <x:c r="AC65" s="41"/>
      <x:c r="AD65" s="41"/>
      <x:c r="AE65" s="41"/>
      <x:c r="AF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c r="AA66" s="41"/>
      <x:c r="AB66" s="41"/>
      <x:c r="AC66" s="41"/>
      <x:c r="AD66" s="41"/>
      <x:c r="AE66" s="41"/>
      <x:c r="AF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c r="AA67" s="41"/>
      <x:c r="AB67" s="41"/>
      <x:c r="AC67" s="41"/>
      <x:c r="AD67" s="41"/>
      <x:c r="AE67" s="41"/>
      <x:c r="AF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c r="AA68" s="41"/>
      <x:c r="AB68" s="41"/>
      <x:c r="AC68" s="41"/>
      <x:c r="AD68" s="41"/>
      <x:c r="AE68" s="41"/>
      <x:c r="AF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c r="AA69" s="41"/>
      <x:c r="AB69" s="41"/>
      <x:c r="AC69" s="41"/>
      <x:c r="AD69" s="41"/>
      <x:c r="AE69" s="41"/>
      <x:c r="AF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c r="AA70" s="41"/>
      <x:c r="AB70" s="41"/>
      <x:c r="AC70" s="41"/>
      <x:c r="AD70" s="41"/>
      <x:c r="AE70" s="41"/>
      <x:c r="AF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c r="AA71" s="41"/>
      <x:c r="AB71" s="41"/>
      <x:c r="AC71" s="41"/>
      <x:c r="AD71" s="41"/>
      <x:c r="AE71" s="41"/>
      <x:c r="AF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c r="AA72" s="41"/>
      <x:c r="AB72" s="41"/>
      <x:c r="AC72" s="41"/>
      <x:c r="AD72" s="41"/>
      <x:c r="AE72" s="41"/>
      <x:c r="AF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c r="AA73" s="41"/>
      <x:c r="AB73" s="41"/>
      <x:c r="AC73" s="41"/>
      <x:c r="AD73" s="41"/>
      <x:c r="AE73" s="41"/>
      <x:c r="AF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c r="AA74" s="41"/>
      <x:c r="AB74" s="41"/>
      <x:c r="AC74" s="41"/>
      <x:c r="AD74" s="41"/>
      <x:c r="AE74" s="41"/>
      <x:c r="AF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c r="AA75" s="41"/>
      <x:c r="AB75" s="41"/>
      <x:c r="AC75" s="41"/>
      <x:c r="AD75" s="41"/>
      <x:c r="AE75" s="41"/>
      <x:c r="AF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c r="AA76" s="41"/>
      <x:c r="AB76" s="41"/>
      <x:c r="AC76" s="41"/>
      <x:c r="AD76" s="41"/>
      <x:c r="AE76" s="41"/>
      <x:c r="AF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c r="AA77" s="41"/>
      <x:c r="AB77" s="41"/>
      <x:c r="AC77" s="41"/>
      <x:c r="AD77" s="41"/>
      <x:c r="AE77" s="41"/>
      <x:c r="AF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c r="AA78" s="41"/>
      <x:c r="AB78" s="41"/>
      <x:c r="AC78" s="41"/>
      <x:c r="AD78" s="41"/>
      <x:c r="AE78" s="41"/>
      <x:c r="AF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c r="AA79" s="41"/>
      <x:c r="AB79" s="41"/>
      <x:c r="AC79" s="41"/>
      <x:c r="AD79" s="41"/>
      <x:c r="AE79" s="41"/>
      <x:c r="AF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c r="AA80" s="41"/>
      <x:c r="AB80" s="41"/>
      <x:c r="AC80" s="41"/>
      <x:c r="AD80" s="41"/>
      <x:c r="AE80" s="41"/>
      <x:c r="AF80" s="41"/>
    </x:row>
  </x:sheetData>
  <x:mergeCells>
    <x:mergeCell ref="A1:AF1"/>
    <x:mergeCell ref="A2:AF2"/>
    <x:mergeCell ref="A3:AF3"/>
    <x:mergeCell ref="A10:AF10"/>
    <x:mergeCell ref="A26:AF26"/>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4"/>
  <x:cols>
    <x:col min="1" max="1" width="5" customWidth="1"/>
    <x:col min="2" max="2" width="28" customWidth="1"/>
    <x:col min="3" max="7" width="15" customWidth="1"/>
    <x:col min="8" max="8" width="3" customWidth="1"/>
    <x:col min="9" max="32" width="12" customWidth="1"/>
  </x:cols>
  <x:sheetData>
    <x:row r="1" ht="28" customHeight="1">
      <x:c r="A1" s="141" t="s">
        <x:v>634</x:v>
      </x:c>
      <x:c r="B1" s="141"/>
      <x:c r="C1" s="141"/>
      <x:c r="D1" s="141"/>
      <x:c r="E1" s="141"/>
      <x:c r="F1" s="141"/>
      <x:c r="G1" s="141"/>
      <x:c r="H1" s="38"/>
      <x:c r="I1" s="38"/>
      <x:c r="J1" s="38"/>
      <x:c r="K1" s="38"/>
      <x:c r="L1" s="38"/>
      <x:c r="M1" s="38"/>
      <x:c r="N1" s="38"/>
      <x:c r="O1" s="38"/>
      <x:c r="P1" s="38"/>
      <x:c r="Q1" s="38"/>
      <x:c r="R1" s="38"/>
      <x:c r="S1" s="38"/>
      <x:c r="T1" s="38"/>
      <x:c r="U1" s="38"/>
      <x:c r="V1" s="38"/>
      <x:c r="W1" s="38"/>
      <x:c r="X1" s="38"/>
      <x:c r="Y1" s="38"/>
      <x:c r="Z1" s="38"/>
      <x:c r="AA1" s="38"/>
      <x:c r="AB1" s="38"/>
      <x:c r="AC1" s="38"/>
      <x:c r="AD1" s="38"/>
      <x:c r="AE1" s="38"/>
      <x:c r="AF1" s="38"/>
    </x:row>
    <x:row r="2" ht="24" customHeight="1">
      <x:c r="A2" s="142" t="s">
        <x:v>635</x:v>
      </x:c>
      <x:c r="B2" s="142"/>
      <x:c r="C2" s="142"/>
      <x:c r="D2" s="142"/>
      <x:c r="E2" s="142"/>
      <x:c r="F2" s="142"/>
      <x:c r="G2" s="142"/>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x:c r="A3" s="143" t="s">
        <x:v>447</x:v>
      </x:c>
      <x:c r="B3" s="143"/>
      <x:c r="C3" s="143"/>
      <x:c r="D3" s="143"/>
      <x:c r="E3" s="143"/>
      <x:c r="F3" s="143"/>
      <x:c r="G3" s="143"/>
      <x:c r="H3" s="40"/>
      <x:c r="I3" s="40"/>
      <x:c r="J3" s="40"/>
      <x:c r="K3" s="40"/>
      <x:c r="L3" s="40"/>
      <x:c r="M3" s="40"/>
      <x:c r="N3" s="40"/>
      <x:c r="O3" s="40"/>
      <x:c r="P3" s="40"/>
      <x:c r="Q3" s="40"/>
      <x:c r="R3" s="40"/>
      <x:c r="S3" s="40"/>
      <x:c r="T3" s="40"/>
      <x:c r="U3" s="40"/>
      <x:c r="V3" s="40"/>
      <x:c r="W3" s="40"/>
      <x:c r="X3" s="40"/>
      <x:c r="Y3" s="40"/>
      <x:c r="Z3" s="40"/>
      <x:c r="AA3" s="40"/>
      <x:c r="AB3" s="40"/>
      <x:c r="AC3" s="40"/>
      <x:c r="AD3" s="40"/>
      <x:c r="AE3" s="40"/>
      <x:c r="AF3" s="40"/>
    </x:row>
    <x:row r="4">
      <x:c r="A4" s="41"/>
      <x:c r="B4" s="41"/>
      <x:c r="C4" s="41"/>
      <x:c r="D4" s="41"/>
      <x:c r="E4" s="41"/>
      <x:c r="F4" s="41"/>
      <x:c r="G4" s="41"/>
      <x:c r="H4" s="41"/>
      <x:c r="I4" s="41"/>
      <x:c r="J4" s="41"/>
      <x:c r="K4" s="41"/>
      <x:c r="L4" s="41"/>
      <x:c r="M4" s="41"/>
      <x:c r="N4" s="41"/>
      <x:c r="O4" s="41"/>
      <x:c r="P4" s="41"/>
      <x:c r="Q4" s="41"/>
      <x:c r="R4" s="41"/>
      <x:c r="S4" s="41"/>
      <x:c r="T4" s="41"/>
      <x:c r="U4" s="41"/>
      <x:c r="V4" s="41"/>
      <x:c r="W4" s="41"/>
      <x:c r="X4" s="41"/>
      <x:c r="Y4" s="41"/>
      <x:c r="Z4" s="41"/>
      <x:c r="AA4" s="41"/>
      <x:c r="AB4" s="41"/>
      <x:c r="AC4" s="41"/>
      <x:c r="AD4" s="41"/>
      <x:c r="AE4" s="41"/>
      <x:c r="AF4" s="41"/>
    </x:row>
    <x:row r="5">
      <x:c r="A5" s="140" t="s">
        <x:v>636</x:v>
      </x:c>
      <x:c r="B5" s="140"/>
      <x:c r="C5" s="140"/>
      <x:c r="D5" s="140"/>
      <x:c r="E5" s="140"/>
      <x:c r="F5" s="140"/>
      <x:c r="G5" s="140"/>
      <x:c r="H5" s="41"/>
      <x:c r="I5" s="41"/>
      <x:c r="J5" s="41"/>
      <x:c r="K5" s="41"/>
      <x:c r="L5" s="41"/>
      <x:c r="M5" s="41"/>
      <x:c r="N5" s="41"/>
      <x:c r="O5" s="41"/>
      <x:c r="P5" s="41"/>
      <x:c r="Q5" s="41"/>
      <x:c r="R5" s="41"/>
      <x:c r="S5" s="41"/>
      <x:c r="T5" s="41"/>
      <x:c r="U5" s="41"/>
      <x:c r="V5" s="41"/>
      <x:c r="W5" s="41"/>
      <x:c r="X5" s="41"/>
      <x:c r="Y5" s="41"/>
      <x:c r="Z5" s="41"/>
      <x:c r="AA5" s="41"/>
      <x:c r="AB5" s="41"/>
      <x:c r="AC5" s="41"/>
      <x:c r="AD5" s="41"/>
      <x:c r="AE5" s="41"/>
      <x:c r="AF5" s="41"/>
    </x:row>
    <x:row r="6">
      <x:c r="A6" s="55" t="s">
        <x:v>161</x:v>
      </x:c>
      <x:c r="B6" s="55" t="s">
        <x:v>637</x:v>
      </x:c>
      <x:c r="C6" s="55" t="s">
        <x:v>638</x:v>
      </x:c>
      <x:c r="D6" s="55" t="s">
        <x:v>639</x:v>
      </x:c>
      <x:c r="E6" s="55" t="s">
        <x:v>640</x:v>
      </x:c>
      <x:c r="F6" s="55" t="s">
        <x:v>641</x:v>
      </x:c>
      <x:c r="G6" s="55" t="s">
        <x:v>642</x:v>
      </x:c>
      <x:c r="H6" s="41"/>
      <x:c r="I6" s="41"/>
      <x:c r="J6" s="41"/>
      <x:c r="K6" s="41"/>
      <x:c r="L6" s="41"/>
      <x:c r="M6" s="41"/>
      <x:c r="N6" s="41"/>
      <x:c r="O6" s="41"/>
      <x:c r="P6" s="41"/>
      <x:c r="Q6" s="41"/>
      <x:c r="R6" s="41"/>
      <x:c r="S6" s="41"/>
      <x:c r="T6" s="41"/>
      <x:c r="U6" s="41"/>
      <x:c r="V6" s="41"/>
      <x:c r="W6" s="41"/>
      <x:c r="X6" s="41"/>
      <x:c r="Y6" s="41"/>
      <x:c r="Z6" s="41"/>
      <x:c r="AA6" s="41"/>
      <x:c r="AB6" s="41"/>
      <x:c r="AC6" s="41"/>
      <x:c r="AD6" s="41"/>
      <x:c r="AE6" s="41"/>
      <x:c r="AF6" s="41"/>
    </x:row>
    <x:row r="7">
      <x:c r="A7" s="41" t="s">
        <x:v>643</x:v>
      </x:c>
      <x:c r="B7" s="41" t="s">
        <x:v>644</x:v>
      </x:c>
      <x:c r="C7" s="54" t="n">
        <x:f>IF(COUNTIF(C40:AF40,"&lt;0")*COUNTIF(C40:AF40,"&gt;0")=0,0,IRR(C40:AF40))</x:f>
        <x:v>0.09113414251516107</x:v>
      </x:c>
      <x:c r="D7" s="54" t="n">
        <x:f>IF(COUNTIF(C41:AF41,"&lt;0")*COUNTIF(C41:AF41,"&gt;0")=0,0,IRR(C41:AF41))</x:f>
        <x:v>0.09925528438754024</x:v>
      </x:c>
      <x:c r="E7" s="54" t="n">
        <x:f>IF(COUNTIF(C42:AF42,"&lt;0")*COUNTIF(C42:AF42,"&gt;0")=0,0,IRR(C42:AF42))</x:f>
        <x:v>0.10716004078868951</x:v>
      </x:c>
      <x:c r="F7" s="54" t="n">
        <x:f>IF(COUNTIF(C43:AF43,"&lt;0")*COUNTIF(C43:AF43,"&gt;0")=0,0,IRR(C43:AF43))</x:f>
        <x:v>0.11487149192935212</x:v>
      </x:c>
      <x:c r="G7" s="54" t="n">
        <x:f>IF(COUNTIF(C44:AF44,"&lt;0")*COUNTIF(C44:AF44,"&gt;0")=0,0,IRR(C44:AF44))</x:f>
        <x:v>0.12240924469351398</x:v>
      </x:c>
      <x:c r="H7" s="41"/>
      <x:c r="I7" s="41"/>
      <x:c r="J7" s="41"/>
      <x:c r="K7" s="41"/>
      <x:c r="L7" s="41"/>
      <x:c r="M7" s="41"/>
      <x:c r="N7" s="41"/>
      <x:c r="O7" s="41"/>
      <x:c r="P7" s="41"/>
      <x:c r="Q7" s="41"/>
      <x:c r="R7" s="41"/>
      <x:c r="S7" s="41"/>
      <x:c r="T7" s="41"/>
      <x:c r="U7" s="41"/>
      <x:c r="V7" s="41"/>
      <x:c r="W7" s="41"/>
      <x:c r="X7" s="41"/>
      <x:c r="Y7" s="41"/>
      <x:c r="Z7" s="41"/>
      <x:c r="AA7" s="41"/>
      <x:c r="AB7" s="41"/>
      <x:c r="AC7" s="41"/>
      <x:c r="AD7" s="41"/>
      <x:c r="AE7" s="41"/>
      <x:c r="AF7" s="41"/>
    </x:row>
    <x:row r="8">
      <x:c r="A8" s="41" t="s">
        <x:v>645</x:v>
      </x:c>
      <x:c r="B8" s="41" t="s">
        <x:v>406</x:v>
      </x:c>
      <x:c r="C8" s="54" t="n">
        <x:f>IF(COUNTIF(C45:AF45,"&lt;0")*COUNTIF(C45:AF45,"&gt;0")=0,0,IRR(C45:AF45))</x:f>
        <x:v>0.09113414251516107</x:v>
      </x:c>
      <x:c r="D8" s="54" t="n">
        <x:f>IF(COUNTIF(C46:AF46,"&lt;0")*COUNTIF(C46:AF46,"&gt;0")=0,0,IRR(C46:AF46))</x:f>
        <x:v>0.09925528438754024</x:v>
      </x:c>
      <x:c r="E8" s="54" t="n">
        <x:f>IF(COUNTIF(C47:AF47,"&lt;0")*COUNTIF(C47:AF47,"&gt;0")=0,0,IRR(C47:AF47))</x:f>
        <x:v>0.10716004078868951</x:v>
      </x:c>
      <x:c r="F8" s="54" t="n">
        <x:f>IF(COUNTIF(C48:AF48,"&lt;0")*COUNTIF(C48:AF48,"&gt;0")=0,0,IRR(C48:AF48))</x:f>
        <x:v>0.11487149192935212</x:v>
      </x:c>
      <x:c r="G8" s="54" t="n">
        <x:f>IF(COUNTIF(C49:AF49,"&lt;0")*COUNTIF(C49:AF49,"&gt;0")=0,0,IRR(C49:AF49))</x:f>
        <x:v>0.12240924469351398</x:v>
      </x:c>
      <x:c r="H8" s="41"/>
      <x:c r="I8" s="41"/>
      <x:c r="J8" s="41"/>
      <x:c r="K8" s="41"/>
      <x:c r="L8" s="41"/>
      <x:c r="M8" s="41"/>
      <x:c r="N8" s="41"/>
      <x:c r="O8" s="41"/>
      <x:c r="P8" s="41"/>
      <x:c r="Q8" s="41"/>
      <x:c r="R8" s="41"/>
      <x:c r="S8" s="41"/>
      <x:c r="T8" s="41"/>
      <x:c r="U8" s="41"/>
      <x:c r="V8" s="41"/>
      <x:c r="W8" s="41"/>
      <x:c r="X8" s="41"/>
      <x:c r="Y8" s="41"/>
      <x:c r="Z8" s="41"/>
      <x:c r="AA8" s="41"/>
      <x:c r="AB8" s="41"/>
      <x:c r="AC8" s="41"/>
      <x:c r="AD8" s="41"/>
      <x:c r="AE8" s="41"/>
      <x:c r="AF8" s="41"/>
    </x:row>
    <x:row r="9">
      <x:c r="A9" s="41" t="s">
        <x:v>646</x:v>
      </x:c>
      <x:c r="B9" s="41" t="s">
        <x:v>647</x:v>
      </x:c>
      <x:c r="C9" s="54" t="n">
        <x:f>IF(COUNTIF(C50:AF50,"&lt;0")*COUNTIF(C50:AF50,"&gt;0")=0,0,IRR(C50:AF50))</x:f>
        <x:v>0.1216656044370373</x:v>
      </x:c>
      <x:c r="D9" s="54" t="n">
        <x:f>IF(COUNTIF(C51:AF51,"&lt;0")*COUNTIF(C51:AF51,"&gt;0")=0,0,IRR(C51:AF51))</x:f>
        <x:v>0.11410940564967711</x:v>
      </x:c>
      <x:c r="E9" s="54" t="n">
        <x:f>IF(COUNTIF(C52:AF52,"&lt;0")*COUNTIF(C52:AF52,"&gt;0")=0,0,IRR(C52:AF52))</x:f>
        <x:v>0.10716004078868951</x:v>
      </x:c>
      <x:c r="F9" s="54" t="n">
        <x:f>IF(COUNTIF(C53:AF53,"&lt;0")*COUNTIF(C53:AF53,"&gt;0")=0,0,IRR(C53:AF53))</x:f>
        <x:v>0.10073877296433272</x:v>
      </x:c>
      <x:c r="G9" s="54" t="n">
        <x:f>IF(COUNTIF(C54:AF54,"&lt;0")*COUNTIF(C54:AF54,"&gt;0")=0,0,IRR(C54:AF54))</x:f>
        <x:v>0.09478046748234013</x:v>
      </x:c>
      <x:c r="H9" s="41"/>
      <x:c r="I9" s="41"/>
      <x:c r="J9" s="41"/>
      <x:c r="K9" s="41"/>
      <x:c r="L9" s="41"/>
      <x:c r="M9" s="41"/>
      <x:c r="N9" s="41"/>
      <x:c r="O9" s="41"/>
      <x:c r="P9" s="41"/>
      <x:c r="Q9" s="41"/>
      <x:c r="R9" s="41"/>
      <x:c r="S9" s="41"/>
      <x:c r="T9" s="41"/>
      <x:c r="U9" s="41"/>
      <x:c r="V9" s="41"/>
      <x:c r="W9" s="41"/>
      <x:c r="X9" s="41"/>
      <x:c r="Y9" s="41"/>
      <x:c r="Z9" s="41"/>
      <x:c r="AA9" s="41"/>
      <x:c r="AB9" s="41"/>
      <x:c r="AC9" s="41"/>
      <x:c r="AD9" s="41"/>
      <x:c r="AE9" s="41"/>
      <x:c r="AF9" s="41"/>
    </x:row>
    <x:row r="10">
      <x:c r="A10" s="41" t="s">
        <x:v>648</x:v>
      </x:c>
      <x:c r="B10" s="41" t="s">
        <x:v>482</x:v>
      </x:c>
      <x:c r="C10" s="54" t="n">
        <x:f>IF(COUNTIF(C55:AF55,"&lt;0")*COUNTIF(C55:AF55,"&gt;0")=0,0,IRR(C55:AF55))</x:f>
        <x:v>0.10941403475918829</x:v>
      </x:c>
      <x:c r="D10" s="54" t="n">
        <x:f>IF(COUNTIF(C56:AF56,"&lt;0")*COUNTIF(C56:AF56,"&gt;0")=0,0,IRR(C56:AF56))</x:f>
        <x:v>0.10828909563451557</x:v>
      </x:c>
      <x:c r="E10" s="54" t="n">
        <x:f>IF(COUNTIF(C57:AF57,"&lt;0")*COUNTIF(C57:AF57,"&gt;0")=0,0,IRR(C57:AF57))</x:f>
        <x:v>0.10716004078868951</x:v>
      </x:c>
      <x:c r="F10" s="54" t="n">
        <x:f>IF(COUNTIF(C58:AF58,"&lt;0")*COUNTIF(C58:AF58,"&gt;0")=0,0,IRR(C58:AF58))</x:f>
        <x:v>0.1060268035922706</x:v>
      </x:c>
      <x:c r="G10" s="54" t="n">
        <x:f>IF(COUNTIF(C59:AF59,"&lt;0")*COUNTIF(C59:AF59,"&gt;0")=0,0,IRR(C59:AF59))</x:f>
        <x:v>0.10488931576806254</x:v>
      </x:c>
      <x:c r="H10" s="41"/>
      <x:c r="I10" s="41"/>
      <x:c r="J10" s="41"/>
      <x:c r="K10" s="41"/>
      <x:c r="L10" s="41"/>
      <x:c r="M10" s="41"/>
      <x:c r="N10" s="41"/>
      <x:c r="O10" s="41"/>
      <x:c r="P10" s="41"/>
      <x:c r="Q10" s="41"/>
      <x:c r="R10" s="41"/>
      <x:c r="S10" s="41"/>
      <x:c r="T10" s="41"/>
      <x:c r="U10" s="41"/>
      <x:c r="V10" s="41"/>
      <x:c r="W10" s="41"/>
      <x:c r="X10" s="41"/>
      <x:c r="Y10" s="41"/>
      <x:c r="Z10" s="41"/>
      <x:c r="AA10" s="41"/>
      <x:c r="AB10" s="41"/>
      <x:c r="AC10" s="41"/>
      <x:c r="AD10" s="41"/>
      <x:c r="AE10" s="41"/>
      <x:c r="AF10" s="41"/>
    </x:row>
    <x:row r="11">
      <x:c r="A11" s="41" t="s">
        <x:v>649</x:v>
      </x:c>
      <x:c r="B11" s="41" t="s">
        <x:v>329</x:v>
      </x:c>
      <x:c r="C11" s="54" t="n">
        <x:f>IF(COUNTIF(C60:AF60,"&lt;0")*COUNTIF(C60:AF60,"&gt;0")=0,0,IRR(C60:AF60))</x:f>
        <x:v>0.10716004078868951</x:v>
      </x:c>
      <x:c r="D11" s="54" t="n">
        <x:f>IF(COUNTIF(C61:AF61,"&lt;0")*COUNTIF(C61:AF61,"&gt;0")=0,0,IRR(C61:AF61))</x:f>
        <x:v>0.10716004078868951</x:v>
      </x:c>
      <x:c r="E11" s="54" t="n">
        <x:f>IF(COUNTIF(C62:AF62,"&lt;0")*COUNTIF(C62:AF62,"&gt;0")=0,0,IRR(C62:AF62))</x:f>
        <x:v>0.10716004078868951</x:v>
      </x:c>
      <x:c r="F11" s="54" t="n">
        <x:f>IF(COUNTIF(C63:AF63,"&lt;0")*COUNTIF(C63:AF63,"&gt;0")=0,0,IRR(C63:AF63))</x:f>
        <x:v>0.10716004078868951</x:v>
      </x:c>
      <x:c r="G11" s="54" t="n">
        <x:f>IF(COUNTIF(C64:AF64,"&lt;0")*COUNTIF(C64:AF64,"&gt;0")=0,0,IRR(C64:AF64))</x:f>
        <x:v>0.10716004078868951</x:v>
      </x:c>
      <x:c r="H11" s="41"/>
      <x:c r="I11" s="41"/>
      <x:c r="J11" s="41"/>
      <x:c r="K11" s="41"/>
      <x:c r="L11" s="41"/>
      <x:c r="M11" s="41"/>
      <x:c r="N11" s="41"/>
      <x:c r="O11" s="41"/>
      <x:c r="P11" s="41"/>
      <x:c r="Q11" s="41"/>
      <x:c r="R11" s="41"/>
      <x:c r="S11" s="41"/>
      <x:c r="T11" s="41"/>
      <x:c r="U11" s="41"/>
      <x:c r="V11" s="41"/>
      <x:c r="W11" s="41"/>
      <x:c r="X11" s="41"/>
      <x:c r="Y11" s="41"/>
      <x:c r="Z11" s="41"/>
      <x:c r="AA11" s="41"/>
      <x:c r="AB11" s="41"/>
      <x:c r="AC11" s="41"/>
      <x:c r="AD11" s="41"/>
      <x:c r="AE11" s="41"/>
      <x:c r="AF11" s="41"/>
    </x:row>
    <x:row r="12">
      <x:c r="A12" s="41"/>
      <x:c r="B12" s="41"/>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c r="AA12" s="41"/>
      <x:c r="AB12" s="41"/>
      <x:c r="AC12" s="41"/>
      <x:c r="AD12" s="41"/>
      <x:c r="AE12" s="41"/>
      <x:c r="AF12" s="41"/>
    </x:row>
    <x:row r="13">
      <x:c r="A13" s="41"/>
      <x:c r="B13" s="41"/>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c r="AA13" s="41"/>
      <x:c r="AB13" s="41"/>
      <x:c r="AC13" s="41"/>
      <x:c r="AD13" s="41"/>
      <x:c r="AE13" s="41"/>
      <x:c r="AF13" s="41"/>
    </x:row>
    <x:row r="14">
      <x:c r="A14" s="140" t="s">
        <x:v>650</x:v>
      </x:c>
      <x:c r="B14" s="140"/>
      <x:c r="C14" s="140"/>
      <x:c r="D14" s="140"/>
      <x:c r="E14" s="140"/>
      <x:c r="F14" s="140"/>
      <x:c r="G14" s="140"/>
      <x:c r="H14" s="41"/>
      <x:c r="I14" s="41"/>
      <x:c r="J14" s="41"/>
      <x:c r="K14" s="41"/>
      <x:c r="L14" s="41"/>
      <x:c r="M14" s="41"/>
      <x:c r="N14" s="41"/>
      <x:c r="O14" s="41"/>
      <x:c r="P14" s="41"/>
      <x:c r="Q14" s="41"/>
      <x:c r="R14" s="41"/>
      <x:c r="S14" s="41"/>
      <x:c r="T14" s="41"/>
      <x:c r="U14" s="41"/>
      <x:c r="V14" s="41"/>
      <x:c r="W14" s="41"/>
      <x:c r="X14" s="41"/>
      <x:c r="Y14" s="41"/>
      <x:c r="Z14" s="41"/>
      <x:c r="AA14" s="41"/>
      <x:c r="AB14" s="41"/>
      <x:c r="AC14" s="41"/>
      <x:c r="AD14" s="41"/>
      <x:c r="AE14" s="41"/>
      <x:c r="AF14" s="41"/>
    </x:row>
    <x:row r="15">
      <x:c r="A15" s="55" t="s">
        <x:v>161</x:v>
      </x:c>
      <x:c r="B15" s="55" t="s">
        <x:v>637</x:v>
      </x:c>
      <x:c r="C15" s="55" t="s">
        <x:v>638</x:v>
      </x:c>
      <x:c r="D15" s="55" t="s">
        <x:v>639</x:v>
      </x:c>
      <x:c r="E15" s="55" t="s">
        <x:v>640</x:v>
      </x:c>
      <x:c r="F15" s="55" t="s">
        <x:v>641</x:v>
      </x:c>
      <x:c r="G15" s="55" t="s">
        <x:v>642</x:v>
      </x:c>
      <x:c r="H15" s="41"/>
      <x:c r="I15" s="41"/>
      <x:c r="J15" s="41"/>
      <x:c r="K15" s="41"/>
      <x:c r="L15" s="41"/>
      <x:c r="M15" s="41"/>
      <x:c r="N15" s="41"/>
      <x:c r="O15" s="41"/>
      <x:c r="P15" s="41"/>
      <x:c r="Q15" s="41"/>
      <x:c r="R15" s="41"/>
      <x:c r="S15" s="41"/>
      <x:c r="T15" s="41"/>
      <x:c r="U15" s="41"/>
      <x:c r="V15" s="41"/>
      <x:c r="W15" s="41"/>
      <x:c r="X15" s="41"/>
      <x:c r="Y15" s="41"/>
      <x:c r="Z15" s="41"/>
      <x:c r="AA15" s="41"/>
      <x:c r="AB15" s="41"/>
      <x:c r="AC15" s="41"/>
      <x:c r="AD15" s="41"/>
      <x:c r="AE15" s="41"/>
      <x:c r="AF15" s="41"/>
    </x:row>
    <x:row r="16">
      <x:c r="A16" s="41" t="s">
        <x:v>643</x:v>
      </x:c>
      <x:c r="B16" s="41" t="s">
        <x:v>644</x:v>
      </x:c>
      <x:c r="C16" s="54" t="n">
        <x:f>IF(COUNTIF(C70:AF70,"&lt;0")*COUNTIF(C70:AF70,"&gt;0")=0,0,IRR(C70:AF70))</x:f>
        <x:v>0.07801895503683116</x:v>
      </x:c>
      <x:c r="D16" s="54" t="n">
        <x:f>IF(COUNTIF(C71:AF71,"&lt;0")*COUNTIF(C71:AF71,"&gt;0")=0,0,IRR(C71:AF71))</x:f>
        <x:v>0.09095659981161139</x:v>
      </x:c>
      <x:c r="E16" s="54" t="n">
        <x:f>IF(COUNTIF(C72:AF72,"&lt;0")*COUNTIF(C72:AF72,"&gt;0")=0,0,IRR(C72:AF72))</x:f>
        <x:v>0.10376946291662054</x:v>
      </x:c>
      <x:c r="F16" s="54" t="n">
        <x:f>IF(COUNTIF(C73:AF73,"&lt;0")*COUNTIF(C73:AF73,"&gt;0")=0,0,IRR(C73:AF73))</x:f>
        <x:v>0.1164861035447901</x:v>
      </x:c>
      <x:c r="G16" s="54" t="n">
        <x:f>IF(COUNTIF(C74:AF74,"&lt;0")*COUNTIF(C74:AF74,"&gt;0")=0,0,IRR(C74:AF74))</x:f>
        <x:v>0.12912934408644294</x:v>
      </x:c>
      <x:c r="H16" s="41"/>
      <x:c r="I16" s="41"/>
      <x:c r="J16" s="41"/>
      <x:c r="K16" s="41"/>
      <x:c r="L16" s="41"/>
      <x:c r="M16" s="41"/>
      <x:c r="N16" s="41"/>
      <x:c r="O16" s="41"/>
      <x:c r="P16" s="41"/>
      <x:c r="Q16" s="41"/>
      <x:c r="R16" s="41"/>
      <x:c r="S16" s="41"/>
      <x:c r="T16" s="41"/>
      <x:c r="U16" s="41"/>
      <x:c r="V16" s="41"/>
      <x:c r="W16" s="41"/>
      <x:c r="X16" s="41"/>
      <x:c r="Y16" s="41"/>
      <x:c r="Z16" s="41"/>
      <x:c r="AA16" s="41"/>
      <x:c r="AB16" s="41"/>
      <x:c r="AC16" s="41"/>
      <x:c r="AD16" s="41"/>
      <x:c r="AE16" s="41"/>
      <x:c r="AF16" s="41"/>
    </x:row>
    <x:row r="17">
      <x:c r="A17" s="41" t="s">
        <x:v>645</x:v>
      </x:c>
      <x:c r="B17" s="41" t="s">
        <x:v>406</x:v>
      </x:c>
      <x:c r="C17" s="54" t="n">
        <x:f>IF(COUNTIF(C75:AF75,"&lt;0")*COUNTIF(C75:AF75,"&gt;0")=0,0,IRR(C75:AF75))</x:f>
        <x:v>0.07801895503683116</x:v>
      </x:c>
      <x:c r="D17" s="54" t="n">
        <x:f>IF(COUNTIF(C76:AF76,"&lt;0")*COUNTIF(C76:AF76,"&gt;0")=0,0,IRR(C76:AF76))</x:f>
        <x:v>0.09095659981161139</x:v>
      </x:c>
      <x:c r="E17" s="54" t="n">
        <x:f>IF(COUNTIF(C77:AF77,"&lt;0")*COUNTIF(C77:AF77,"&gt;0")=0,0,IRR(C77:AF77))</x:f>
        <x:v>0.10376946291662054</x:v>
      </x:c>
      <x:c r="F17" s="54" t="n">
        <x:f>IF(COUNTIF(C78:AF78,"&lt;0")*COUNTIF(C78:AF78,"&gt;0")=0,0,IRR(C78:AF78))</x:f>
        <x:v>0.1164861035447901</x:v>
      </x:c>
      <x:c r="G17" s="54" t="n">
        <x:f>IF(COUNTIF(C79:AF79,"&lt;0")*COUNTIF(C79:AF79,"&gt;0")=0,0,IRR(C79:AF79))</x:f>
        <x:v>0.12912934408644294</x:v>
      </x:c>
      <x:c r="H17" s="41"/>
      <x:c r="I17" s="41"/>
      <x:c r="J17" s="41"/>
      <x:c r="K17" s="41"/>
      <x:c r="L17" s="41"/>
      <x:c r="M17" s="41"/>
      <x:c r="N17" s="41"/>
      <x:c r="O17" s="41"/>
      <x:c r="P17" s="41"/>
      <x:c r="Q17" s="41"/>
      <x:c r="R17" s="41"/>
      <x:c r="S17" s="41"/>
      <x:c r="T17" s="41"/>
      <x:c r="U17" s="41"/>
      <x:c r="V17" s="41"/>
      <x:c r="W17" s="41"/>
      <x:c r="X17" s="41"/>
      <x:c r="Y17" s="41"/>
      <x:c r="Z17" s="41"/>
      <x:c r="AA17" s="41"/>
      <x:c r="AB17" s="41"/>
      <x:c r="AC17" s="41"/>
      <x:c r="AD17" s="41"/>
      <x:c r="AE17" s="41"/>
      <x:c r="AF17" s="41"/>
    </x:row>
    <x:row r="18">
      <x:c r="A18" s="41" t="s">
        <x:v>646</x:v>
      </x:c>
      <x:c r="B18" s="41" t="s">
        <x:v>647</x:v>
      </x:c>
      <x:c r="C18" s="54" t="n">
        <x:f>IF(COUNTIF(C80:AF80,"&lt;0")*COUNTIF(C80:AF80,"&gt;0")=0,0,IRR(C80:AF80))</x:f>
        <x:v>0.1107689414646496</x:v>
      </x:c>
      <x:c r="D18" s="54" t="n">
        <x:f>IF(COUNTIF(C81:AF81,"&lt;0")*COUNTIF(C81:AF81,"&gt;0")=0,0,IRR(C81:AF81))</x:f>
        <x:v>0.10718105728354765</x:v>
      </x:c>
      <x:c r="E18" s="54" t="n">
        <x:f>IF(COUNTIF(C82:AF82,"&lt;0")*COUNTIF(C82:AF82,"&gt;0")=0,0,IRR(C82:AF82))</x:f>
        <x:v>0.10376946291662054</x:v>
      </x:c>
      <x:c r="F18" s="54" t="n">
        <x:f>IF(COUNTIF(C83:AF83,"&lt;0")*COUNTIF(C83:AF83,"&gt;0")=0,0,IRR(C83:AF83))</x:f>
        <x:v>0.10051855619528058</x:v>
      </x:c>
      <x:c r="G18" s="54" t="n">
        <x:f>IF(COUNTIF(C84:AF84,"&lt;0")*COUNTIF(C84:AF84,"&gt;0")=0,0,IRR(C84:AF84))</x:f>
        <x:v>0.09741467636429882</x:v>
      </x:c>
      <x:c r="H18" s="41"/>
      <x:c r="I18" s="41"/>
      <x:c r="J18" s="41"/>
      <x:c r="K18" s="41"/>
      <x:c r="L18" s="41"/>
      <x:c r="M18" s="41"/>
      <x:c r="N18" s="41"/>
      <x:c r="O18" s="41"/>
      <x:c r="P18" s="41"/>
      <x:c r="Q18" s="41"/>
      <x:c r="R18" s="41"/>
      <x:c r="S18" s="41"/>
      <x:c r="T18" s="41"/>
      <x:c r="U18" s="41"/>
      <x:c r="V18" s="41"/>
      <x:c r="W18" s="41"/>
      <x:c r="X18" s="41"/>
      <x:c r="Y18" s="41"/>
      <x:c r="Z18" s="41"/>
      <x:c r="AA18" s="41"/>
      <x:c r="AB18" s="41"/>
      <x:c r="AC18" s="41"/>
      <x:c r="AD18" s="41"/>
      <x:c r="AE18" s="41"/>
      <x:c r="AF18" s="41"/>
    </x:row>
    <x:row r="19">
      <x:c r="A19" s="41" t="s">
        <x:v>648</x:v>
      </x:c>
      <x:c r="B19" s="41" t="s">
        <x:v>482</x:v>
      </x:c>
      <x:c r="C19" s="54" t="n">
        <x:f>IF(COUNTIF(C85:AF85,"&lt;0")*COUNTIF(C85:AF85,"&gt;0")=0,0,IRR(C85:AF85))</x:f>
        <x:v>0.10746430592477542</x:v>
      </x:c>
      <x:c r="D19" s="54" t="n">
        <x:f>IF(COUNTIF(C86:AF86,"&lt;0")*COUNTIF(C86:AF86,"&gt;0")=0,0,IRR(C86:AF86))</x:f>
        <x:v>0.10561802278917888</x:v>
      </x:c>
      <x:c r="E19" s="54" t="n">
        <x:f>IF(COUNTIF(C87:AF87,"&lt;0")*COUNTIF(C87:AF87,"&gt;0")=0,0,IRR(C87:AF87))</x:f>
        <x:v>0.10376946291662054</x:v>
      </x:c>
      <x:c r="F19" s="54" t="n">
        <x:f>IF(COUNTIF(C88:AF88,"&lt;0")*COUNTIF(C88:AF88,"&gt;0")=0,0,IRR(C88:AF88))</x:f>
        <x:v>0.10191854471459431</x:v>
      </x:c>
      <x:c r="G19" s="54" t="n">
        <x:f>IF(COUNTIF(C89:AF89,"&lt;0")*COUNTIF(C89:AF89,"&gt;0")=0,0,IRR(C89:AF89))</x:f>
        <x:v>0.10006518388993527</x:v>
      </x:c>
      <x:c r="H19" s="41"/>
      <x:c r="I19" s="41"/>
      <x:c r="J19" s="41"/>
      <x:c r="K19" s="41"/>
      <x:c r="L19" s="41"/>
      <x:c r="M19" s="41"/>
      <x:c r="N19" s="41"/>
      <x:c r="O19" s="41"/>
      <x:c r="P19" s="41"/>
      <x:c r="Q19" s="41"/>
      <x:c r="R19" s="41"/>
      <x:c r="S19" s="41"/>
      <x:c r="T19" s="41"/>
      <x:c r="U19" s="41"/>
      <x:c r="V19" s="41"/>
      <x:c r="W19" s="41"/>
      <x:c r="X19" s="41"/>
      <x:c r="Y19" s="41"/>
      <x:c r="Z19" s="41"/>
      <x:c r="AA19" s="41"/>
      <x:c r="AB19" s="41"/>
      <x:c r="AC19" s="41"/>
      <x:c r="AD19" s="41"/>
      <x:c r="AE19" s="41"/>
      <x:c r="AF19" s="41"/>
    </x:row>
    <x:row r="20">
      <x:c r="A20" s="41" t="s">
        <x:v>649</x:v>
      </x:c>
      <x:c r="B20" s="41" t="s">
        <x:v>329</x:v>
      </x:c>
      <x:c r="C20" s="54" t="n">
        <x:f>IF(COUNTIF(C90:AF90,"&lt;0")*COUNTIF(C90:AF90,"&gt;0")=0,0,IRR(C90:AF90))</x:f>
        <x:v>0.11137340824924123</x:v>
      </x:c>
      <x:c r="D20" s="54" t="n">
        <x:f>IF(COUNTIF(C91:AF91,"&lt;0")*COUNTIF(C91:AF91,"&gt;0")=0,0,IRR(C91:AF91))</x:f>
        <x:v>0.10751773685844257</x:v>
      </x:c>
      <x:c r="E20" s="54" t="n">
        <x:f>IF(COUNTIF(C92:AF92,"&lt;0")*COUNTIF(C92:AF92,"&gt;0")=0,0,IRR(C92:AF92))</x:f>
        <x:v>0.10376946291662054</x:v>
      </x:c>
      <x:c r="F20" s="54" t="n">
        <x:f>IF(COUNTIF(C93:AF93,"&lt;0")*COUNTIF(C93:AF93,"&gt;0")=0,0,IRR(C93:AF93))</x:f>
        <x:v>0.10012444587241935</x:v>
      </x:c>
      <x:c r="G20" s="54" t="n">
        <x:f>IF(COUNTIF(C94:AF94,"&lt;0")*COUNTIF(C94:AF94,"&gt;0")=0,0,IRR(C94:AF94))</x:f>
        <x:v>0.09657869544459238</x:v>
      </x:c>
      <x:c r="H20" s="41"/>
      <x:c r="I20" s="41"/>
      <x:c r="J20" s="41"/>
      <x:c r="K20" s="41"/>
      <x:c r="L20" s="41"/>
      <x:c r="M20" s="41"/>
      <x:c r="N20" s="41"/>
      <x:c r="O20" s="41"/>
      <x:c r="P20" s="41"/>
      <x:c r="Q20" s="41"/>
      <x:c r="R20" s="41"/>
      <x:c r="S20" s="41"/>
      <x:c r="T20" s="41"/>
      <x:c r="U20" s="41"/>
      <x:c r="V20" s="41"/>
      <x:c r="W20" s="41"/>
      <x:c r="X20" s="41"/>
      <x:c r="Y20" s="41"/>
      <x:c r="Z20" s="41"/>
      <x:c r="AA20" s="41"/>
      <x:c r="AB20" s="41"/>
      <x:c r="AC20" s="41"/>
      <x:c r="AD20" s="41"/>
      <x:c r="AE20" s="41"/>
      <x:c r="AF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c r="AA21" s="41"/>
      <x:c r="AB21" s="41"/>
      <x:c r="AC21" s="41"/>
      <x:c r="AD21" s="41"/>
      <x:c r="AE21" s="41"/>
      <x:c r="AF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c r="AA22" s="41"/>
      <x:c r="AB22" s="41"/>
      <x:c r="AC22" s="41"/>
      <x:c r="AD22" s="41"/>
      <x:c r="AE22" s="41"/>
      <x:c r="AF22" s="41"/>
    </x:row>
    <x:row r="23">
      <x:c r="A23" s="139" t="s">
        <x:v>651</x:v>
      </x:c>
      <x:c r="B23" s="139"/>
      <x:c r="C23" s="139"/>
      <x:c r="D23" s="139"/>
      <x:c r="E23" s="139"/>
      <x:c r="F23" s="139"/>
      <x:c r="G23" s="139"/>
      <x:c r="H23" s="41"/>
      <x:c r="I23" s="41"/>
      <x:c r="J23" s="41"/>
      <x:c r="K23" s="41"/>
      <x:c r="L23" s="41"/>
      <x:c r="M23" s="41"/>
      <x:c r="N23" s="41"/>
      <x:c r="O23" s="41"/>
      <x:c r="P23" s="41"/>
      <x:c r="Q23" s="41"/>
      <x:c r="R23" s="41"/>
      <x:c r="S23" s="41"/>
      <x:c r="T23" s="41"/>
      <x:c r="U23" s="41"/>
      <x:c r="V23" s="41"/>
      <x:c r="W23" s="41"/>
      <x:c r="X23" s="41"/>
      <x:c r="Y23" s="41"/>
      <x:c r="Z23" s="41"/>
      <x:c r="AA23" s="41"/>
      <x:c r="AB23" s="41"/>
      <x:c r="AC23" s="41"/>
      <x:c r="AD23" s="41"/>
      <x:c r="AE23" s="41"/>
      <x:c r="AF23" s="41"/>
    </x:row>
    <x:row r="24">
      <x:c r="A24" s="139"/>
      <x:c r="B24" s="139"/>
      <x:c r="C24" s="139"/>
      <x:c r="D24" s="139"/>
      <x:c r="E24" s="139"/>
      <x:c r="F24" s="139"/>
      <x:c r="G24" s="139"/>
      <x:c r="H24" s="41"/>
      <x:c r="I24" s="41"/>
      <x:c r="J24" s="41"/>
      <x:c r="K24" s="41"/>
      <x:c r="L24" s="41"/>
      <x:c r="M24" s="41"/>
      <x:c r="N24" s="41"/>
      <x:c r="O24" s="41"/>
      <x:c r="P24" s="41"/>
      <x:c r="Q24" s="41"/>
      <x:c r="R24" s="41"/>
      <x:c r="S24" s="41"/>
      <x:c r="T24" s="41"/>
      <x:c r="U24" s="41"/>
      <x:c r="V24" s="41"/>
      <x:c r="W24" s="41"/>
      <x:c r="X24" s="41"/>
      <x:c r="Y24" s="41"/>
      <x:c r="Z24" s="41"/>
      <x:c r="AA24" s="41"/>
      <x:c r="AB24" s="41"/>
      <x:c r="AC24" s="41"/>
      <x:c r="AD24" s="41"/>
      <x:c r="AE24" s="41"/>
      <x:c r="AF24" s="41"/>
    </x:row>
    <x:row r="25">
      <x:c r="A25" s="139"/>
      <x:c r="B25" s="139"/>
      <x:c r="C25" s="139"/>
      <x:c r="D25" s="139"/>
      <x:c r="E25" s="139"/>
      <x:c r="F25" s="139"/>
      <x:c r="G25" s="139"/>
      <x:c r="H25" s="41"/>
      <x:c r="I25" s="41"/>
      <x:c r="J25" s="41"/>
      <x:c r="K25" s="41"/>
      <x:c r="L25" s="41"/>
      <x:c r="M25" s="41"/>
      <x:c r="N25" s="41"/>
      <x:c r="O25" s="41"/>
      <x:c r="P25" s="41"/>
      <x:c r="Q25" s="41"/>
      <x:c r="R25" s="41"/>
      <x:c r="S25" s="41"/>
      <x:c r="T25" s="41"/>
      <x:c r="U25" s="41"/>
      <x:c r="V25" s="41"/>
      <x:c r="W25" s="41"/>
      <x:c r="X25" s="41"/>
      <x:c r="Y25" s="41"/>
      <x:c r="Z25" s="41"/>
      <x:c r="AA25" s="41"/>
      <x:c r="AB25" s="41"/>
      <x:c r="AC25" s="41"/>
      <x:c r="AD25" s="41"/>
      <x:c r="AE25" s="41"/>
      <x:c r="AF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c r="AA26" s="41"/>
      <x:c r="AB26" s="41"/>
      <x:c r="AC26" s="41"/>
      <x:c r="AD26" s="41"/>
      <x:c r="AE26" s="41"/>
      <x:c r="AF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c r="AA27" s="41"/>
      <x:c r="AB27" s="41"/>
      <x:c r="AC27" s="41"/>
      <x:c r="AD27" s="41"/>
      <x:c r="AE27" s="41"/>
      <x:c r="AF27" s="41"/>
    </x:row>
    <x:row r="28">
      <x:c r="A28" s="140" t="s">
        <x:v>652</x:v>
      </x:c>
      <x:c r="B28" s="140"/>
      <x:c r="C28" s="140"/>
      <x:c r="D28" s="140"/>
      <x:c r="E28" s="140"/>
      <x:c r="F28" s="140"/>
      <x:c r="G28" s="140"/>
      <x:c r="H28" s="140"/>
      <x:c r="I28" s="140"/>
      <x:c r="J28" s="140"/>
      <x:c r="K28" s="140"/>
      <x:c r="L28" s="140"/>
      <x:c r="M28" s="140"/>
      <x:c r="N28" s="140"/>
      <x:c r="O28" s="140"/>
      <x:c r="P28" s="140"/>
      <x:c r="Q28" s="140"/>
      <x:c r="R28" s="140"/>
      <x:c r="S28" s="140"/>
      <x:c r="T28" s="140"/>
      <x:c r="U28" s="140"/>
      <x:c r="V28" s="140"/>
      <x:c r="W28" s="140"/>
      <x:c r="X28" s="140"/>
      <x:c r="Y28" s="140"/>
      <x:c r="Z28" s="140"/>
      <x:c r="AA28" s="140"/>
      <x:c r="AB28" s="140"/>
      <x:c r="AC28" s="140"/>
      <x:c r="AD28" s="140"/>
      <x:c r="AE28" s="140"/>
      <x:c r="AF28" s="140"/>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c r="AA29" s="41"/>
      <x:c r="AB29" s="41"/>
      <x:c r="AC29" s="41"/>
      <x:c r="AD29" s="41"/>
      <x:c r="AE29" s="41"/>
      <x:c r="AF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c r="AA30" s="41"/>
      <x:c r="AB30" s="41"/>
      <x:c r="AC30" s="41"/>
      <x:c r="AD30" s="41"/>
      <x:c r="AE30" s="41"/>
      <x:c r="AF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c r="AA31" s="41"/>
      <x:c r="AB31" s="41"/>
      <x:c r="AC31" s="41"/>
      <x:c r="AD31" s="41"/>
      <x:c r="AE31" s="41"/>
      <x:c r="AF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c r="AA32" s="41"/>
      <x:c r="AB32" s="41"/>
      <x:c r="AC32" s="41"/>
      <x:c r="AD32" s="41"/>
      <x:c r="AE32" s="41"/>
      <x:c r="AF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c r="AA33" s="41"/>
      <x:c r="AB33" s="41"/>
      <x:c r="AC33" s="41"/>
      <x:c r="AD33" s="41"/>
      <x:c r="AE33" s="41"/>
      <x:c r="AF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c r="AA34" s="41"/>
      <x:c r="AB34" s="41"/>
      <x:c r="AC34" s="41"/>
      <x:c r="AD34" s="41"/>
      <x:c r="AE34" s="41"/>
      <x:c r="AF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c r="AA35" s="41"/>
      <x:c r="AB35" s="41"/>
      <x:c r="AC35" s="41"/>
      <x:c r="AD35" s="41"/>
      <x:c r="AE35" s="41"/>
      <x:c r="AF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c r="AA36" s="41"/>
      <x:c r="AB36" s="41"/>
      <x:c r="AC36" s="41"/>
      <x:c r="AD36" s="41"/>
      <x:c r="AE36" s="41"/>
      <x:c r="AF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c r="AA37" s="41"/>
      <x:c r="AB37" s="41"/>
      <x:c r="AC37" s="41"/>
      <x:c r="AD37" s="41"/>
      <x:c r="AE37" s="41"/>
      <x:c r="AF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c r="AA38" s="41"/>
      <x:c r="AB38" s="41"/>
      <x:c r="AC38" s="41"/>
      <x:c r="AD38" s="41"/>
      <x:c r="AE38" s="41"/>
      <x:c r="AF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c r="AA39" s="41"/>
      <x:c r="AB39" s="41"/>
      <x:c r="AC39" s="41"/>
      <x:c r="AD39" s="41"/>
      <x:c r="AE39" s="41"/>
      <x:c r="AF39" s="41"/>
    </x:row>
    <x:row r="40">
      <x:c r="A40" s="41" t="s">
        <x:v>653</x:v>
      </x:c>
      <x:c r="B40" s="41" t="s">
        <x:v>654</x:v>
      </x:c>
      <x:c r="C40" s="56" t="n">
        <x:f>Project_CF!C24+(Energy_Revenue!C14*-0.0999999999999999)*(1-Dep_Tax!C24)</x:f>
        <x:v>-2690.6</x:v>
      </x:c>
      <x:c r="D40" s="56" t="n">
        <x:f>Project_CF!D24+(Energy_Revenue!D14*-0.0999999999999999)*(1-Dep_Tax!D24)</x:f>
        <x:v>-3791.3</x:v>
      </x:c>
      <x:c r="E40" s="56" t="n">
        <x:f>Project_CF!E24+(Energy_Revenue!E14*-0.0999999999999999)*(1-Dep_Tax!E24)</x:f>
        <x:v>1014.0752464000001</x:v>
      </x:c>
      <x:c r="F40" s="56" t="n">
        <x:f>Project_CF!F24+(Energy_Revenue!F14*-0.0999999999999999)*(1-Dep_Tax!F24)</x:f>
        <x:v>658.5490218253442</x:v>
      </x:c>
      <x:c r="G40" s="56" t="n">
        <x:f>Project_CF!G24+(Energy_Revenue!G14*-0.0999999999999999)*(1-Dep_Tax!G24)</x:f>
        <x:v>670.1220804173274</x:v>
      </x:c>
      <x:c r="H40" s="56" t="n">
        <x:f>Project_CF!H24+(Energy_Revenue!H14*-0.0999999999999999)*(1-Dep_Tax!H24)</x:f>
        <x:v>681.8979015048225</x:v>
      </x:c>
      <x:c r="I40" s="56" t="n">
        <x:f>Project_CF!I24+(Energy_Revenue!I14*-0.0999999999999999)*(1-Dep_Tax!I24)</x:f>
        <x:v>675.4366361640375</x:v>
      </x:c>
      <x:c r="J40" s="56" t="n">
        <x:f>Project_CF!J24+(Energy_Revenue!J14*-0.0999999999999999)*(1-Dep_Tax!J24)</x:f>
        <x:v>687.0190618928041</x:v>
      </x:c>
      <x:c r="K40" s="56" t="n">
        <x:f>Project_CF!K24+(Energy_Revenue!K14*-0.0999999999999999)*(1-Dep_Tax!K24)</x:f>
        <x:v>698.8043768825345</x:v>
      </x:c>
      <x:c r="L40" s="56" t="n">
        <x:f>Project_CF!L24+(Energy_Revenue!L14*-0.0999999999999999)*(1-Dep_Tax!L24)</x:f>
        <x:v>710.796122402253</x:v>
      </x:c>
      <x:c r="M40" s="56" t="n">
        <x:f>Project_CF!M24+(Energy_Revenue!M14*-0.0999999999999999)*(1-Dep_Tax!M24)</x:f>
        <x:v>722.9979012697341</x:v>
      </x:c>
      <x:c r="N40" s="56" t="n">
        <x:f>Project_CF!N24+(Energy_Revenue!N14*-0.0999999999999999)*(1-Dep_Tax!N24)</x:f>
        <x:v>735.4133789158677</x:v>
      </x:c>
      <x:c r="O40" s="56" t="n">
        <x:f>Project_CF!O24+(Energy_Revenue!O14*-0.0999999999999999)*(1-Dep_Tax!O24)</x:f>
        <x:v>748.0462844673226</x:v>
      </x:c>
      <x:c r="P40" s="56" t="n">
        <x:f>Project_CF!P24+(Energy_Revenue!P14*-0.0999999999999999)*(1-Dep_Tax!P24)</x:f>
        <x:v>760.9004118478139</x:v>
      </x:c>
      <x:c r="Q40" s="56" t="n">
        <x:f>Project_CF!Q24+(Energy_Revenue!Q14*-0.0999999999999999)*(1-Dep_Tax!Q24)</x:f>
        <x:v>773.9796208982983</x:v>
      </x:c>
      <x:c r="R40" s="56" t="n">
        <x:f>Project_CF!R24+(Energy_Revenue!R14*-0.0999999999999999)*(1-Dep_Tax!R24)</x:f>
        <x:v>762.95754438397</x:v>
      </x:c>
      <x:c r="S40" s="56" t="n">
        <x:f>Project_CF!S24+(Energy_Revenue!S14*-0.0999999999999999)*(1-Dep_Tax!S24)</x:f>
        <x:v>775.7860698252059</x:v>
      </x:c>
      <x:c r="T40" s="56" t="n">
        <x:f>Project_CF!T24+(Energy_Revenue!T14*-0.0999999999999999)*(1-Dep_Tax!T24)</x:f>
        <x:v>737.3028599397935</x:v>
      </x:c>
      <x:c r="U40" s="56" t="n">
        <x:f>Project_CF!U24+(Energy_Revenue!U14*-0.0999999999999999)*(1-Dep_Tax!U24)</x:f>
        <x:v>749.1087485955401</x:v>
      </x:c>
      <x:c r="V40" s="56" t="n">
        <x:f>Project_CF!V24+(Energy_Revenue!V14*-0.0999999999999999)*(1-Dep_Tax!V24)</x:f>
        <x:v>761.1212984774087</x:v>
      </x:c>
      <x:c r="W40" s="56" t="n">
        <x:f>Project_CF!W24+(Energy_Revenue!W14*-0.0999999999999999)*(1-Dep_Tax!W24)</x:f>
        <x:v>773.3441137703369</x:v>
      </x:c>
      <x:c r="X40" s="56" t="n">
        <x:f>Project_CF!X24+(Energy_Revenue!X14*-0.0999999999999999)*(1-Dep_Tax!X24)</x:f>
        <x:v>785.7808612414118</x:v>
      </x:c>
      <x:c r="Y40" s="56" t="n">
        <x:f>Project_CF!Y24+(Energy_Revenue!Y14*-0.0999999999999999)*(1-Dep_Tax!Y24)</x:f>
        <x:v>0</x:v>
      </x:c>
      <x:c r="Z40" s="56" t="n">
        <x:f>Project_CF!Z24+(Energy_Revenue!Z14*-0.0999999999999999)*(1-Dep_Tax!Z24)</x:f>
        <x:v>0</x:v>
      </x:c>
      <x:c r="AA40" s="56" t="n">
        <x:f>Project_CF!AA24+(Energy_Revenue!AA14*-0.0999999999999999)*(1-Dep_Tax!AA24)</x:f>
        <x:v>0</x:v>
      </x:c>
      <x:c r="AB40" s="56" t="n">
        <x:f>Project_CF!AB24+(Energy_Revenue!AB14*-0.0999999999999999)*(1-Dep_Tax!AB24)</x:f>
        <x:v>0</x:v>
      </x:c>
      <x:c r="AC40" s="56" t="n">
        <x:f>Project_CF!AC24+(Energy_Revenue!AC14*-0.0999999999999999)*(1-Dep_Tax!AC24)</x:f>
        <x:v>0</x:v>
      </x:c>
      <x:c r="AD40" s="56" t="n">
        <x:f>Project_CF!AD24+(Energy_Revenue!AD14*-0.0999999999999999)*(1-Dep_Tax!AD24)</x:f>
        <x:v>0</x:v>
      </x:c>
      <x:c r="AE40" s="56" t="n">
        <x:f>Project_CF!AE24+(Energy_Revenue!AE14*-0.0999999999999999)*(1-Dep_Tax!AE24)</x:f>
        <x:v>0</x:v>
      </x:c>
      <x:c r="AF40" s="56" t="n">
        <x:f>Project_CF!AF24+(Energy_Revenue!AF14*-0.0999999999999999)*(1-Dep_Tax!AF24)</x:f>
        <x:v>0</x:v>
      </x:c>
    </x:row>
    <x:row r="41">
      <x:c r="A41" s="41" t="s">
        <x:v>655</x:v>
      </x:c>
      <x:c r="B41" s="41" t="s">
        <x:v>656</x:v>
      </x:c>
      <x:c r="C41" s="56" t="n">
        <x:f>Project_CF!C24+(Energy_Revenue!C14*-0.05)*(1-Dep_Tax!C24)</x:f>
        <x:v>-2690.6</x:v>
      </x:c>
      <x:c r="D41" s="56" t="n">
        <x:f>Project_CF!D24+(Energy_Revenue!D14*-0.05)*(1-Dep_Tax!D24)</x:f>
        <x:v>-3791.3</x:v>
      </x:c>
      <x:c r="E41" s="56" t="n">
        <x:f>Project_CF!E24+(Energy_Revenue!E14*-0.05)*(1-Dep_Tax!E24)</x:f>
        <x:v>1056.8238712</x:v>
      </x:c>
      <x:c r="F41" s="56" t="n">
        <x:f>Project_CF!F24+(Energy_Revenue!F14*-0.05)*(1-Dep_Tax!F24)</x:f>
        <x:v>702.0654119267522</x:v>
      </x:c>
      <x:c r="G41" s="56" t="n">
        <x:f>Project_CF!G24+(Energy_Revenue!G14*-0.05)*(1-Dep_Tax!G24)</x:f>
        <x:v>714.4200248849565</x:v>
      </x:c>
      <x:c r="H41" s="56" t="n">
        <x:f>Project_CF!H24+(Energy_Revenue!H14*-0.05)*(1-Dep_Tax!H24)</x:f>
        <x:v>726.9914370550903</x:v>
      </x:c>
      <x:c r="I41" s="56" t="n">
        <x:f>Project_CF!I24+(Energy_Revenue!I14*-0.05)*(1-Dep_Tax!I24)</x:f>
        <x:v>719.0448808403505</x:v>
      </x:c>
      <x:c r="J41" s="56" t="n">
        <x:f>Project_CF!J24+(Energy_Revenue!J14*-0.05)*(1-Dep_Tax!J24)</x:f>
        <x:v>731.4105106435038</x:v>
      </x:c>
      <x:c r="K41" s="56" t="n">
        <x:f>Project_CF!K24+(Energy_Revenue!K14*-0.05)*(1-Dep_Tax!K24)</x:f>
        <x:v>743.9930960527968</x:v>
      </x:c>
      <x:c r="L41" s="56" t="n">
        <x:f>Project_CF!L24+(Energy_Revenue!L14*-0.05)*(1-Dep_Tax!L24)</x:f>
        <x:v>756.7964309688132</x:v>
      </x:c>
      <x:c r="M41" s="56" t="n">
        <x:f>Project_CF!M24+(Energy_Revenue!M14*-0.05)*(1-Dep_Tax!M24)</x:f>
        <x:v>769.8243753781496</x:v>
      </x:c>
      <x:c r="N41" s="56" t="n">
        <x:f>Project_CF!N24+(Energy_Revenue!N14*-0.05)*(1-Dep_Tax!N24)</x:f>
        <x:v>783.0808564992705</x:v>
      </x:c>
      <x:c r="O41" s="56" t="n">
        <x:f>Project_CF!O24+(Energy_Revenue!O14*-0.05)*(1-Dep_Tax!O24)</x:f>
        <x:v>796.5698699481233</x:v>
      </x:c>
      <x:c r="P41" s="56" t="n">
        <x:f>Project_CF!P24+(Energy_Revenue!P14*-0.05)*(1-Dep_Tax!P24)</x:f>
        <x:v>810.2954809238496</x:v>
      </x:c>
      <x:c r="Q41" s="56" t="n">
        <x:f>Project_CF!Q24+(Energy_Revenue!Q14*-0.05)*(1-Dep_Tax!Q24)</x:f>
        <x:v>824.2618254149397</x:v>
      </x:c>
      <x:c r="R41" s="56" t="n">
        <x:f>Project_CF!R24+(Energy_Revenue!R14*-0.05)*(1-Dep_Tax!R24)</x:f>
        <x:v>811.4488555616376</x:v>
      </x:c>
      <x:c r="S41" s="56" t="n">
        <x:f>Project_CF!S24+(Energy_Revenue!S14*-0.05)*(1-Dep_Tax!S24)</x:f>
        <x:v>825.1482849516244</x:v>
      </x:c>
      <x:c r="T41" s="56" t="n">
        <x:f>Project_CF!T24+(Energy_Revenue!T14*-0.05)*(1-Dep_Tax!T24)</x:f>
        <x:v>781.9684248376503</x:v>
      </x:c>
      <x:c r="U41" s="56" t="n">
        <x:f>Project_CF!U24+(Energy_Revenue!U14*-0.05)*(1-Dep_Tax!U24)</x:f>
        <x:v>794.5765070389625</x:v>
      </x:c>
      <x:c r="V41" s="56" t="n">
        <x:f>Project_CF!V24+(Energy_Revenue!V14*-0.05)*(1-Dep_Tax!V24)</x:f>
        <x:v>807.405657862475</x:v>
      </x:c>
      <x:c r="W41" s="56" t="n">
        <x:f>Project_CF!W24+(Energy_Revenue!W14*-0.05)*(1-Dep_Tax!W24)</x:f>
        <x:v>820.4597402499589</x:v>
      </x:c>
      <x:c r="X41" s="56" t="n">
        <x:f>Project_CF!X24+(Energy_Revenue!X14*-0.05)*(1-Dep_Tax!X24)</x:f>
        <x:v>833.7426843726079</x:v>
      </x:c>
      <x:c r="Y41" s="56" t="n">
        <x:f>Project_CF!Y24+(Energy_Revenue!Y14*-0.05)*(1-Dep_Tax!Y24)</x:f>
        <x:v>0</x:v>
      </x:c>
      <x:c r="Z41" s="56" t="n">
        <x:f>Project_CF!Z24+(Energy_Revenue!Z14*-0.05)*(1-Dep_Tax!Z24)</x:f>
        <x:v>0</x:v>
      </x:c>
      <x:c r="AA41" s="56" t="n">
        <x:f>Project_CF!AA24+(Energy_Revenue!AA14*-0.05)*(1-Dep_Tax!AA24)</x:f>
        <x:v>0</x:v>
      </x:c>
      <x:c r="AB41" s="56" t="n">
        <x:f>Project_CF!AB24+(Energy_Revenue!AB14*-0.05)*(1-Dep_Tax!AB24)</x:f>
        <x:v>0</x:v>
      </x:c>
      <x:c r="AC41" s="56" t="n">
        <x:f>Project_CF!AC24+(Energy_Revenue!AC14*-0.05)*(1-Dep_Tax!AC24)</x:f>
        <x:v>0</x:v>
      </x:c>
      <x:c r="AD41" s="56" t="n">
        <x:f>Project_CF!AD24+(Energy_Revenue!AD14*-0.05)*(1-Dep_Tax!AD24)</x:f>
        <x:v>0</x:v>
      </x:c>
      <x:c r="AE41" s="56" t="n">
        <x:f>Project_CF!AE24+(Energy_Revenue!AE14*-0.05)*(1-Dep_Tax!AE24)</x:f>
        <x:v>0</x:v>
      </x:c>
      <x:c r="AF41" s="56" t="n">
        <x:f>Project_CF!AF24+(Energy_Revenue!AF14*-0.05)*(1-Dep_Tax!AF24)</x:f>
        <x:v>0</x:v>
      </x:c>
    </x:row>
    <x:row r="42">
      <x:c r="A42" s="41" t="s">
        <x:v>657</x:v>
      </x:c>
      <x:c r="B42" s="41" t="s">
        <x:v>658</x:v>
      </x:c>
      <x:c r="C42" s="56" t="n">
        <x:f>Project_CF!C24+(Energy_Revenue!C14*0)*(1-Dep_Tax!C24)</x:f>
        <x:v>-2690.6</x:v>
      </x:c>
      <x:c r="D42" s="56" t="n">
        <x:f>Project_CF!D24+(Energy_Revenue!D14*0)*(1-Dep_Tax!D24)</x:f>
        <x:v>-3791.3</x:v>
      </x:c>
      <x:c r="E42" s="56" t="n">
        <x:f>Project_CF!E24+(Energy_Revenue!E14*0)*(1-Dep_Tax!E24)</x:f>
        <x:v>1099.572496</x:v>
      </x:c>
      <x:c r="F42" s="56" t="n">
        <x:f>Project_CF!F24+(Energy_Revenue!F14*0)*(1-Dep_Tax!F24)</x:f>
        <x:v>745.5818020281602</x:v>
      </x:c>
      <x:c r="G42" s="56" t="n">
        <x:f>Project_CF!G24+(Energy_Revenue!G14*0)*(1-Dep_Tax!G24)</x:f>
        <x:v>758.7179693525859</x:v>
      </x:c>
      <x:c r="H42" s="56" t="n">
        <x:f>Project_CF!H24+(Energy_Revenue!H14*0)*(1-Dep_Tax!H24)</x:f>
        <x:v>772.0849726053582</x:v>
      </x:c>
      <x:c r="I42" s="56" t="n">
        <x:f>Project_CF!I24+(Energy_Revenue!I14*0)*(1-Dep_Tax!I24)</x:f>
        <x:v>762.6531255166637</x:v>
      </x:c>
      <x:c r="J42" s="56" t="n">
        <x:f>Project_CF!J24+(Energy_Revenue!J14*0)*(1-Dep_Tax!J24)</x:f>
        <x:v>775.8019593942035</x:v>
      </x:c>
      <x:c r="K42" s="56" t="n">
        <x:f>Project_CF!K24+(Energy_Revenue!K14*0)*(1-Dep_Tax!K24)</x:f>
        <x:v>789.1818152230591</x:v>
      </x:c>
      <x:c r="L42" s="56" t="n">
        <x:f>Project_CF!L24+(Energy_Revenue!L14*0)*(1-Dep_Tax!L24)</x:f>
        <x:v>802.7967395353734</x:v>
      </x:c>
      <x:c r="M42" s="56" t="n">
        <x:f>Project_CF!M24+(Energy_Revenue!M14*0)*(1-Dep_Tax!M24)</x:f>
        <x:v>816.6508494865653</x:v>
      </x:c>
      <x:c r="N42" s="56" t="n">
        <x:f>Project_CF!N24+(Energy_Revenue!N14*0)*(1-Dep_Tax!N24)</x:f>
        <x:v>830.7483340826733</x:v>
      </x:c>
      <x:c r="O42" s="56" t="n">
        <x:f>Project_CF!O24+(Energy_Revenue!O14*0)*(1-Dep_Tax!O24)</x:f>
        <x:v>845.093455428924</x:v>
      </x:c>
      <x:c r="P42" s="56" t="n">
        <x:f>Project_CF!P24+(Energy_Revenue!P14*0)*(1-Dep_Tax!P24)</x:f>
        <x:v>859.6905499998855</x:v>
      </x:c>
      <x:c r="Q42" s="56" t="n">
        <x:f>Project_CF!Q24+(Energy_Revenue!Q14*0)*(1-Dep_Tax!Q24)</x:f>
        <x:v>874.5440299315812</x:v>
      </x:c>
      <x:c r="R42" s="56" t="n">
        <x:f>Project_CF!R24+(Energy_Revenue!R14*0)*(1-Dep_Tax!R24)</x:f>
        <x:v>859.9401667393054</x:v>
      </x:c>
      <x:c r="S42" s="56" t="n">
        <x:f>Project_CF!S24+(Energy_Revenue!S14*0)*(1-Dep_Tax!S24)</x:f>
        <x:v>874.5105000780432</x:v>
      </x:c>
      <x:c r="T42" s="56" t="n">
        <x:f>Project_CF!T24+(Energy_Revenue!T14*0)*(1-Dep_Tax!T24)</x:f>
        <x:v>826.6339897355074</x:v>
      </x:c>
      <x:c r="U42" s="56" t="n">
        <x:f>Project_CF!U24+(Energy_Revenue!U14*0)*(1-Dep_Tax!U24)</x:f>
        <x:v>840.0442654823851</x:v>
      </x:c>
      <x:c r="V42" s="56" t="n">
        <x:f>Project_CF!V24+(Energy_Revenue!V14*0)*(1-Dep_Tax!V24)</x:f>
        <x:v>853.6900172475414</x:v>
      </x:c>
      <x:c r="W42" s="56" t="n">
        <x:f>Project_CF!W24+(Energy_Revenue!W14*0)*(1-Dep_Tax!W24)</x:f>
        <x:v>867.5753667295811</x:v>
      </x:c>
      <x:c r="X42" s="56" t="n">
        <x:f>Project_CF!X24+(Energy_Revenue!X14*0)*(1-Dep_Tax!X24)</x:f>
        <x:v>881.704507503804</x:v>
      </x:c>
      <x:c r="Y42" s="56" t="n">
        <x:f>Project_CF!Y24+(Energy_Revenue!Y14*0)*(1-Dep_Tax!Y24)</x:f>
        <x:v>0</x:v>
      </x:c>
      <x:c r="Z42" s="56" t="n">
        <x:f>Project_CF!Z24+(Energy_Revenue!Z14*0)*(1-Dep_Tax!Z24)</x:f>
        <x:v>0</x:v>
      </x:c>
      <x:c r="AA42" s="56" t="n">
        <x:f>Project_CF!AA24+(Energy_Revenue!AA14*0)*(1-Dep_Tax!AA24)</x:f>
        <x:v>0</x:v>
      </x:c>
      <x:c r="AB42" s="56" t="n">
        <x:f>Project_CF!AB24+(Energy_Revenue!AB14*0)*(1-Dep_Tax!AB24)</x:f>
        <x:v>0</x:v>
      </x:c>
      <x:c r="AC42" s="56" t="n">
        <x:f>Project_CF!AC24+(Energy_Revenue!AC14*0)*(1-Dep_Tax!AC24)</x:f>
        <x:v>0</x:v>
      </x:c>
      <x:c r="AD42" s="56" t="n">
        <x:f>Project_CF!AD24+(Energy_Revenue!AD14*0)*(1-Dep_Tax!AD24)</x:f>
        <x:v>0</x:v>
      </x:c>
      <x:c r="AE42" s="56" t="n">
        <x:f>Project_CF!AE24+(Energy_Revenue!AE14*0)*(1-Dep_Tax!AE24)</x:f>
        <x:v>0</x:v>
      </x:c>
      <x:c r="AF42" s="56" t="n">
        <x:f>Project_CF!AF24+(Energy_Revenue!AF14*0)*(1-Dep_Tax!AF24)</x:f>
        <x:v>0</x:v>
      </x:c>
    </x:row>
    <x:row r="43">
      <x:c r="A43" s="41" t="s">
        <x:v>659</x:v>
      </x:c>
      <x:c r="B43" s="41" t="s">
        <x:v>660</x:v>
      </x:c>
      <x:c r="C43" s="56" t="n">
        <x:f>Project_CF!C24+(Energy_Revenue!C14*0.05)*(1-Dep_Tax!C24)</x:f>
        <x:v>-2690.6</x:v>
      </x:c>
      <x:c r="D43" s="56" t="n">
        <x:f>Project_CF!D24+(Energy_Revenue!D14*0.05)*(1-Dep_Tax!D24)</x:f>
        <x:v>-3791.3</x:v>
      </x:c>
      <x:c r="E43" s="56" t="n">
        <x:f>Project_CF!E24+(Energy_Revenue!E14*0.05)*(1-Dep_Tax!E24)</x:f>
        <x:v>1142.3211208</x:v>
      </x:c>
      <x:c r="F43" s="56" t="n">
        <x:f>Project_CF!F24+(Energy_Revenue!F14*0.05)*(1-Dep_Tax!F24)</x:f>
        <x:v>789.0981921295681</x:v>
      </x:c>
      <x:c r="G43" s="56" t="n">
        <x:f>Project_CF!G24+(Energy_Revenue!G14*0.05)*(1-Dep_Tax!G24)</x:f>
        <x:v>803.0159138202152</x:v>
      </x:c>
      <x:c r="H43" s="56" t="n">
        <x:f>Project_CF!H24+(Energy_Revenue!H14*0.05)*(1-Dep_Tax!H24)</x:f>
        <x:v>817.1785081556261</x:v>
      </x:c>
      <x:c r="I43" s="56" t="n">
        <x:f>Project_CF!I24+(Energy_Revenue!I14*0.05)*(1-Dep_Tax!I24)</x:f>
        <x:v>806.261370192977</x:v>
      </x:c>
      <x:c r="J43" s="56" t="n">
        <x:f>Project_CF!J24+(Energy_Revenue!J14*0.05)*(1-Dep_Tax!J24)</x:f>
        <x:v>820.1934081449033</x:v>
      </x:c>
      <x:c r="K43" s="56" t="n">
        <x:f>Project_CF!K24+(Energy_Revenue!K14*0.05)*(1-Dep_Tax!K24)</x:f>
        <x:v>834.3705343933213</x:v>
      </x:c>
      <x:c r="L43" s="56" t="n">
        <x:f>Project_CF!L24+(Energy_Revenue!L14*0.05)*(1-Dep_Tax!L24)</x:f>
        <x:v>848.7970481019336</x:v>
      </x:c>
      <x:c r="M43" s="56" t="n">
        <x:f>Project_CF!M24+(Energy_Revenue!M14*0.05)*(1-Dep_Tax!M24)</x:f>
        <x:v>863.477323594981</x:v>
      </x:c>
      <x:c r="N43" s="56" t="n">
        <x:f>Project_CF!N24+(Energy_Revenue!N14*0.05)*(1-Dep_Tax!N24)</x:f>
        <x:v>878.4158116660761</x:v>
      </x:c>
      <x:c r="O43" s="56" t="n">
        <x:f>Project_CF!O24+(Energy_Revenue!O14*0.05)*(1-Dep_Tax!O24)</x:f>
        <x:v>893.6170409097248</x:v>
      </x:c>
      <x:c r="P43" s="56" t="n">
        <x:f>Project_CF!P24+(Energy_Revenue!P14*0.05)*(1-Dep_Tax!P24)</x:f>
        <x:v>909.0856190759215</x:v>
      </x:c>
      <x:c r="Q43" s="56" t="n">
        <x:f>Project_CF!Q24+(Energy_Revenue!Q14*0.05)*(1-Dep_Tax!Q24)</x:f>
        <x:v>924.8262344482227</x:v>
      </x:c>
      <x:c r="R43" s="56" t="n">
        <x:f>Project_CF!R24+(Energy_Revenue!R14*0.05)*(1-Dep_Tax!R24)</x:f>
        <x:v>908.4314779169731</x:v>
      </x:c>
      <x:c r="S43" s="56" t="n">
        <x:f>Project_CF!S24+(Energy_Revenue!S14*0.05)*(1-Dep_Tax!S24)</x:f>
        <x:v>923.8727152044619</x:v>
      </x:c>
      <x:c r="T43" s="56" t="n">
        <x:f>Project_CF!T24+(Energy_Revenue!T14*0.05)*(1-Dep_Tax!T24)</x:f>
        <x:v>871.2995546333644</x:v>
      </x:c>
      <x:c r="U43" s="56" t="n">
        <x:f>Project_CF!U24+(Energy_Revenue!U14*0.05)*(1-Dep_Tax!U24)</x:f>
        <x:v>885.5120239258076</x:v>
      </x:c>
      <x:c r="V43" s="56" t="n">
        <x:f>Project_CF!V24+(Energy_Revenue!V14*0.05)*(1-Dep_Tax!V24)</x:f>
        <x:v>899.9743766326078</x:v>
      </x:c>
      <x:c r="W43" s="56" t="n">
        <x:f>Project_CF!W24+(Energy_Revenue!W14*0.05)*(1-Dep_Tax!W24)</x:f>
        <x:v>914.6909932092033</x:v>
      </x:c>
      <x:c r="X43" s="56" t="n">
        <x:f>Project_CF!X24+(Energy_Revenue!X14*0.05)*(1-Dep_Tax!X24)</x:f>
        <x:v>929.6663306350002</x:v>
      </x:c>
      <x:c r="Y43" s="56" t="n">
        <x:f>Project_CF!Y24+(Energy_Revenue!Y14*0.05)*(1-Dep_Tax!Y24)</x:f>
        <x:v>0</x:v>
      </x:c>
      <x:c r="Z43" s="56" t="n">
        <x:f>Project_CF!Z24+(Energy_Revenue!Z14*0.05)*(1-Dep_Tax!Z24)</x:f>
        <x:v>0</x:v>
      </x:c>
      <x:c r="AA43" s="56" t="n">
        <x:f>Project_CF!AA24+(Energy_Revenue!AA14*0.05)*(1-Dep_Tax!AA24)</x:f>
        <x:v>0</x:v>
      </x:c>
      <x:c r="AB43" s="56" t="n">
        <x:f>Project_CF!AB24+(Energy_Revenue!AB14*0.05)*(1-Dep_Tax!AB24)</x:f>
        <x:v>0</x:v>
      </x:c>
      <x:c r="AC43" s="56" t="n">
        <x:f>Project_CF!AC24+(Energy_Revenue!AC14*0.05)*(1-Dep_Tax!AC24)</x:f>
        <x:v>0</x:v>
      </x:c>
      <x:c r="AD43" s="56" t="n">
        <x:f>Project_CF!AD24+(Energy_Revenue!AD14*0.05)*(1-Dep_Tax!AD24)</x:f>
        <x:v>0</x:v>
      </x:c>
      <x:c r="AE43" s="56" t="n">
        <x:f>Project_CF!AE24+(Energy_Revenue!AE14*0.05)*(1-Dep_Tax!AE24)</x:f>
        <x:v>0</x:v>
      </x:c>
      <x:c r="AF43" s="56" t="n">
        <x:f>Project_CF!AF24+(Energy_Revenue!AF14*0.05)*(1-Dep_Tax!AF24)</x:f>
        <x:v>0</x:v>
      </x:c>
    </x:row>
    <x:row r="44">
      <x:c r="A44" s="41" t="s">
        <x:v>661</x:v>
      </x:c>
      <x:c r="B44" s="41" t="s">
        <x:v>662</x:v>
      </x:c>
      <x:c r="C44" s="56" t="n">
        <x:f>Project_CF!C24+(Energy_Revenue!C14*0.1)*(1-Dep_Tax!C24)</x:f>
        <x:v>-2690.6</x:v>
      </x:c>
      <x:c r="D44" s="56" t="n">
        <x:f>Project_CF!D24+(Energy_Revenue!D14*0.1)*(1-Dep_Tax!D24)</x:f>
        <x:v>-3791.3</x:v>
      </x:c>
      <x:c r="E44" s="56" t="n">
        <x:f>Project_CF!E24+(Energy_Revenue!E14*0.1)*(1-Dep_Tax!E24)</x:f>
        <x:v>1185.0697456</x:v>
      </x:c>
      <x:c r="F44" s="56" t="n">
        <x:f>Project_CF!F24+(Energy_Revenue!F14*0.1)*(1-Dep_Tax!F24)</x:f>
        <x:v>832.6145822309761</x:v>
      </x:c>
      <x:c r="G44" s="56" t="n">
        <x:f>Project_CF!G24+(Energy_Revenue!G14*0.1)*(1-Dep_Tax!G24)</x:f>
        <x:v>847.3138582878445</x:v>
      </x:c>
      <x:c r="H44" s="56" t="n">
        <x:f>Project_CF!H24+(Energy_Revenue!H14*0.1)*(1-Dep_Tax!H24)</x:f>
        <x:v>862.272043705894</x:v>
      </x:c>
      <x:c r="I44" s="56" t="n">
        <x:f>Project_CF!I24+(Energy_Revenue!I14*0.1)*(1-Dep_Tax!I24)</x:f>
        <x:v>849.8696148692901</x:v>
      </x:c>
      <x:c r="J44" s="56" t="n">
        <x:f>Project_CF!J24+(Energy_Revenue!J14*0.1)*(1-Dep_Tax!J24)</x:f>
        <x:v>864.5848568956031</x:v>
      </x:c>
      <x:c r="K44" s="56" t="n">
        <x:f>Project_CF!K24+(Energy_Revenue!K14*0.1)*(1-Dep_Tax!K24)</x:f>
        <x:v>879.5592535635838</x:v>
      </x:c>
      <x:c r="L44" s="56" t="n">
        <x:f>Project_CF!L24+(Energy_Revenue!L14*0.1)*(1-Dep_Tax!L24)</x:f>
        <x:v>894.7973566684939</x:v>
      </x:c>
      <x:c r="M44" s="56" t="n">
        <x:f>Project_CF!M24+(Energy_Revenue!M14*0.1)*(1-Dep_Tax!M24)</x:f>
        <x:v>910.3037977033966</x:v>
      </x:c>
      <x:c r="N44" s="56" t="n">
        <x:f>Project_CF!N24+(Energy_Revenue!N14*0.1)*(1-Dep_Tax!N24)</x:f>
        <x:v>926.083289249479</x:v>
      </x:c>
      <x:c r="O44" s="56" t="n">
        <x:f>Project_CF!O24+(Energy_Revenue!O14*0.1)*(1-Dep_Tax!O24)</x:f>
        <x:v>942.1406263905255</x:v>
      </x:c>
      <x:c r="P44" s="56" t="n">
        <x:f>Project_CF!P24+(Energy_Revenue!P14*0.1)*(1-Dep_Tax!P24)</x:f>
        <x:v>958.4806881519573</x:v>
      </x:c>
      <x:c r="Q44" s="56" t="n">
        <x:f>Project_CF!Q24+(Energy_Revenue!Q14*0.1)*(1-Dep_Tax!Q24)</x:f>
        <x:v>975.1084389648643</x:v>
      </x:c>
      <x:c r="R44" s="56" t="n">
        <x:f>Project_CF!R24+(Energy_Revenue!R14*0.1)*(1-Dep_Tax!R24)</x:f>
        <x:v>956.9227890946408</x:v>
      </x:c>
      <x:c r="S44" s="56" t="n">
        <x:f>Project_CF!S24+(Energy_Revenue!S14*0.1)*(1-Dep_Tax!S24)</x:f>
        <x:v>973.2349303308805</x:v>
      </x:c>
      <x:c r="T44" s="56" t="n">
        <x:f>Project_CF!T24+(Energy_Revenue!T14*0.1)*(1-Dep_Tax!T24)</x:f>
        <x:v>915.9651195312214</x:v>
      </x:c>
      <x:c r="U44" s="56" t="n">
        <x:f>Project_CF!U24+(Energy_Revenue!U14*0.1)*(1-Dep_Tax!U24)</x:f>
        <x:v>930.9797823692302</x:v>
      </x:c>
      <x:c r="V44" s="56" t="n">
        <x:f>Project_CF!V24+(Energy_Revenue!V14*0.1)*(1-Dep_Tax!V24)</x:f>
        <x:v>946.2587360176742</x:v>
      </x:c>
      <x:c r="W44" s="56" t="n">
        <x:f>Project_CF!W24+(Energy_Revenue!W14*0.1)*(1-Dep_Tax!W24)</x:f>
        <x:v>961.8066196888254</x:v>
      </x:c>
      <x:c r="X44" s="56" t="n">
        <x:f>Project_CF!X24+(Energy_Revenue!X14*0.1)*(1-Dep_Tax!X24)</x:f>
        <x:v>977.6281537661964</x:v>
      </x:c>
      <x:c r="Y44" s="56" t="n">
        <x:f>Project_CF!Y24+(Energy_Revenue!Y14*0.1)*(1-Dep_Tax!Y24)</x:f>
        <x:v>0</x:v>
      </x:c>
      <x:c r="Z44" s="56" t="n">
        <x:f>Project_CF!Z24+(Energy_Revenue!Z14*0.1)*(1-Dep_Tax!Z24)</x:f>
        <x:v>0</x:v>
      </x:c>
      <x:c r="AA44" s="56" t="n">
        <x:f>Project_CF!AA24+(Energy_Revenue!AA14*0.1)*(1-Dep_Tax!AA24)</x:f>
        <x:v>0</x:v>
      </x:c>
      <x:c r="AB44" s="56" t="n">
        <x:f>Project_CF!AB24+(Energy_Revenue!AB14*0.1)*(1-Dep_Tax!AB24)</x:f>
        <x:v>0</x:v>
      </x:c>
      <x:c r="AC44" s="56" t="n">
        <x:f>Project_CF!AC24+(Energy_Revenue!AC14*0.1)*(1-Dep_Tax!AC24)</x:f>
        <x:v>0</x:v>
      </x:c>
      <x:c r="AD44" s="56" t="n">
        <x:f>Project_CF!AD24+(Energy_Revenue!AD14*0.1)*(1-Dep_Tax!AD24)</x:f>
        <x:v>0</x:v>
      </x:c>
      <x:c r="AE44" s="56" t="n">
        <x:f>Project_CF!AE24+(Energy_Revenue!AE14*0.1)*(1-Dep_Tax!AE24)</x:f>
        <x:v>0</x:v>
      </x:c>
      <x:c r="AF44" s="56" t="n">
        <x:f>Project_CF!AF24+(Energy_Revenue!AF14*0.1)*(1-Dep_Tax!AF24)</x:f>
        <x:v>0</x:v>
      </x:c>
    </x:row>
    <x:row r="45">
      <x:c r="A45" s="41" t="s">
        <x:v>663</x:v>
      </x:c>
      <x:c r="B45" s="41" t="s">
        <x:v>654</x:v>
      </x:c>
      <x:c r="C45" s="56" t="n">
        <x:f>Project_CF!C24+(Energy_Revenue!C14*-0.0999999999999999)*(1-Dep_Tax!C24)</x:f>
        <x:v>-2690.6</x:v>
      </x:c>
      <x:c r="D45" s="56" t="n">
        <x:f>Project_CF!D24+(Energy_Revenue!D14*-0.0999999999999999)*(1-Dep_Tax!D24)</x:f>
        <x:v>-3791.3</x:v>
      </x:c>
      <x:c r="E45" s="56" t="n">
        <x:f>Project_CF!E24+(Energy_Revenue!E14*-0.0999999999999999)*(1-Dep_Tax!E24)</x:f>
        <x:v>1014.0752464000001</x:v>
      </x:c>
      <x:c r="F45" s="56" t="n">
        <x:f>Project_CF!F24+(Energy_Revenue!F14*-0.0999999999999999)*(1-Dep_Tax!F24)</x:f>
        <x:v>658.5490218253442</x:v>
      </x:c>
      <x:c r="G45" s="56" t="n">
        <x:f>Project_CF!G24+(Energy_Revenue!G14*-0.0999999999999999)*(1-Dep_Tax!G24)</x:f>
        <x:v>670.1220804173274</x:v>
      </x:c>
      <x:c r="H45" s="56" t="n">
        <x:f>Project_CF!H24+(Energy_Revenue!H14*-0.0999999999999999)*(1-Dep_Tax!H24)</x:f>
        <x:v>681.8979015048225</x:v>
      </x:c>
      <x:c r="I45" s="56" t="n">
        <x:f>Project_CF!I24+(Energy_Revenue!I14*-0.0999999999999999)*(1-Dep_Tax!I24)</x:f>
        <x:v>675.4366361640375</x:v>
      </x:c>
      <x:c r="J45" s="56" t="n">
        <x:f>Project_CF!J24+(Energy_Revenue!J14*-0.0999999999999999)*(1-Dep_Tax!J24)</x:f>
        <x:v>687.0190618928041</x:v>
      </x:c>
      <x:c r="K45" s="56" t="n">
        <x:f>Project_CF!K24+(Energy_Revenue!K14*-0.0999999999999999)*(1-Dep_Tax!K24)</x:f>
        <x:v>698.8043768825345</x:v>
      </x:c>
      <x:c r="L45" s="56" t="n">
        <x:f>Project_CF!L24+(Energy_Revenue!L14*-0.0999999999999999)*(1-Dep_Tax!L24)</x:f>
        <x:v>710.796122402253</x:v>
      </x:c>
      <x:c r="M45" s="56" t="n">
        <x:f>Project_CF!M24+(Energy_Revenue!M14*-0.0999999999999999)*(1-Dep_Tax!M24)</x:f>
        <x:v>722.9979012697341</x:v>
      </x:c>
      <x:c r="N45" s="56" t="n">
        <x:f>Project_CF!N24+(Energy_Revenue!N14*-0.0999999999999999)*(1-Dep_Tax!N24)</x:f>
        <x:v>735.4133789158677</x:v>
      </x:c>
      <x:c r="O45" s="56" t="n">
        <x:f>Project_CF!O24+(Energy_Revenue!O14*-0.0999999999999999)*(1-Dep_Tax!O24)</x:f>
        <x:v>748.0462844673226</x:v>
      </x:c>
      <x:c r="P45" s="56" t="n">
        <x:f>Project_CF!P24+(Energy_Revenue!P14*-0.0999999999999999)*(1-Dep_Tax!P24)</x:f>
        <x:v>760.9004118478139</x:v>
      </x:c>
      <x:c r="Q45" s="56" t="n">
        <x:f>Project_CF!Q24+(Energy_Revenue!Q14*-0.0999999999999999)*(1-Dep_Tax!Q24)</x:f>
        <x:v>773.9796208982983</x:v>
      </x:c>
      <x:c r="R45" s="56" t="n">
        <x:f>Project_CF!R24+(Energy_Revenue!R14*-0.0999999999999999)*(1-Dep_Tax!R24)</x:f>
        <x:v>762.95754438397</x:v>
      </x:c>
      <x:c r="S45" s="56" t="n">
        <x:f>Project_CF!S24+(Energy_Revenue!S14*-0.0999999999999999)*(1-Dep_Tax!S24)</x:f>
        <x:v>775.7860698252059</x:v>
      </x:c>
      <x:c r="T45" s="56" t="n">
        <x:f>Project_CF!T24+(Energy_Revenue!T14*-0.0999999999999999)*(1-Dep_Tax!T24)</x:f>
        <x:v>737.3028599397935</x:v>
      </x:c>
      <x:c r="U45" s="56" t="n">
        <x:f>Project_CF!U24+(Energy_Revenue!U14*-0.0999999999999999)*(1-Dep_Tax!U24)</x:f>
        <x:v>749.1087485955401</x:v>
      </x:c>
      <x:c r="V45" s="56" t="n">
        <x:f>Project_CF!V24+(Energy_Revenue!V14*-0.0999999999999999)*(1-Dep_Tax!V24)</x:f>
        <x:v>761.1212984774087</x:v>
      </x:c>
      <x:c r="W45" s="56" t="n">
        <x:f>Project_CF!W24+(Energy_Revenue!W14*-0.0999999999999999)*(1-Dep_Tax!W24)</x:f>
        <x:v>773.3441137703369</x:v>
      </x:c>
      <x:c r="X45" s="56" t="n">
        <x:f>Project_CF!X24+(Energy_Revenue!X14*-0.0999999999999999)*(1-Dep_Tax!X24)</x:f>
        <x:v>785.7808612414118</x:v>
      </x:c>
      <x:c r="Y45" s="56" t="n">
        <x:f>Project_CF!Y24+(Energy_Revenue!Y14*-0.0999999999999999)*(1-Dep_Tax!Y24)</x:f>
        <x:v>0</x:v>
      </x:c>
      <x:c r="Z45" s="56" t="n">
        <x:f>Project_CF!Z24+(Energy_Revenue!Z14*-0.0999999999999999)*(1-Dep_Tax!Z24)</x:f>
        <x:v>0</x:v>
      </x:c>
      <x:c r="AA45" s="56" t="n">
        <x:f>Project_CF!AA24+(Energy_Revenue!AA14*-0.0999999999999999)*(1-Dep_Tax!AA24)</x:f>
        <x:v>0</x:v>
      </x:c>
      <x:c r="AB45" s="56" t="n">
        <x:f>Project_CF!AB24+(Energy_Revenue!AB14*-0.0999999999999999)*(1-Dep_Tax!AB24)</x:f>
        <x:v>0</x:v>
      </x:c>
      <x:c r="AC45" s="56" t="n">
        <x:f>Project_CF!AC24+(Energy_Revenue!AC14*-0.0999999999999999)*(1-Dep_Tax!AC24)</x:f>
        <x:v>0</x:v>
      </x:c>
      <x:c r="AD45" s="56" t="n">
        <x:f>Project_CF!AD24+(Energy_Revenue!AD14*-0.0999999999999999)*(1-Dep_Tax!AD24)</x:f>
        <x:v>0</x:v>
      </x:c>
      <x:c r="AE45" s="56" t="n">
        <x:f>Project_CF!AE24+(Energy_Revenue!AE14*-0.0999999999999999)*(1-Dep_Tax!AE24)</x:f>
        <x:v>0</x:v>
      </x:c>
      <x:c r="AF45" s="56" t="n">
        <x:f>Project_CF!AF24+(Energy_Revenue!AF14*-0.0999999999999999)*(1-Dep_Tax!AF24)</x:f>
        <x:v>0</x:v>
      </x:c>
    </x:row>
    <x:row r="46">
      <x:c r="A46" s="41" t="s">
        <x:v>664</x:v>
      </x:c>
      <x:c r="B46" s="41" t="s">
        <x:v>656</x:v>
      </x:c>
      <x:c r="C46" s="56" t="n">
        <x:f>Project_CF!C24+(Energy_Revenue!C14*-0.05)*(1-Dep_Tax!C24)</x:f>
        <x:v>-2690.6</x:v>
      </x:c>
      <x:c r="D46" s="56" t="n">
        <x:f>Project_CF!D24+(Energy_Revenue!D14*-0.05)*(1-Dep_Tax!D24)</x:f>
        <x:v>-3791.3</x:v>
      </x:c>
      <x:c r="E46" s="56" t="n">
        <x:f>Project_CF!E24+(Energy_Revenue!E14*-0.05)*(1-Dep_Tax!E24)</x:f>
        <x:v>1056.8238712</x:v>
      </x:c>
      <x:c r="F46" s="56" t="n">
        <x:f>Project_CF!F24+(Energy_Revenue!F14*-0.05)*(1-Dep_Tax!F24)</x:f>
        <x:v>702.0654119267522</x:v>
      </x:c>
      <x:c r="G46" s="56" t="n">
        <x:f>Project_CF!G24+(Energy_Revenue!G14*-0.05)*(1-Dep_Tax!G24)</x:f>
        <x:v>714.4200248849565</x:v>
      </x:c>
      <x:c r="H46" s="56" t="n">
        <x:f>Project_CF!H24+(Energy_Revenue!H14*-0.05)*(1-Dep_Tax!H24)</x:f>
        <x:v>726.9914370550903</x:v>
      </x:c>
      <x:c r="I46" s="56" t="n">
        <x:f>Project_CF!I24+(Energy_Revenue!I14*-0.05)*(1-Dep_Tax!I24)</x:f>
        <x:v>719.0448808403505</x:v>
      </x:c>
      <x:c r="J46" s="56" t="n">
        <x:f>Project_CF!J24+(Energy_Revenue!J14*-0.05)*(1-Dep_Tax!J24)</x:f>
        <x:v>731.4105106435038</x:v>
      </x:c>
      <x:c r="K46" s="56" t="n">
        <x:f>Project_CF!K24+(Energy_Revenue!K14*-0.05)*(1-Dep_Tax!K24)</x:f>
        <x:v>743.9930960527968</x:v>
      </x:c>
      <x:c r="L46" s="56" t="n">
        <x:f>Project_CF!L24+(Energy_Revenue!L14*-0.05)*(1-Dep_Tax!L24)</x:f>
        <x:v>756.7964309688132</x:v>
      </x:c>
      <x:c r="M46" s="56" t="n">
        <x:f>Project_CF!M24+(Energy_Revenue!M14*-0.05)*(1-Dep_Tax!M24)</x:f>
        <x:v>769.8243753781496</x:v>
      </x:c>
      <x:c r="N46" s="56" t="n">
        <x:f>Project_CF!N24+(Energy_Revenue!N14*-0.05)*(1-Dep_Tax!N24)</x:f>
        <x:v>783.0808564992705</x:v>
      </x:c>
      <x:c r="O46" s="56" t="n">
        <x:f>Project_CF!O24+(Energy_Revenue!O14*-0.05)*(1-Dep_Tax!O24)</x:f>
        <x:v>796.5698699481233</x:v>
      </x:c>
      <x:c r="P46" s="56" t="n">
        <x:f>Project_CF!P24+(Energy_Revenue!P14*-0.05)*(1-Dep_Tax!P24)</x:f>
        <x:v>810.2954809238496</x:v>
      </x:c>
      <x:c r="Q46" s="56" t="n">
        <x:f>Project_CF!Q24+(Energy_Revenue!Q14*-0.05)*(1-Dep_Tax!Q24)</x:f>
        <x:v>824.2618254149397</x:v>
      </x:c>
      <x:c r="R46" s="56" t="n">
        <x:f>Project_CF!R24+(Energy_Revenue!R14*-0.05)*(1-Dep_Tax!R24)</x:f>
        <x:v>811.4488555616376</x:v>
      </x:c>
      <x:c r="S46" s="56" t="n">
        <x:f>Project_CF!S24+(Energy_Revenue!S14*-0.05)*(1-Dep_Tax!S24)</x:f>
        <x:v>825.1482849516244</x:v>
      </x:c>
      <x:c r="T46" s="56" t="n">
        <x:f>Project_CF!T24+(Energy_Revenue!T14*-0.05)*(1-Dep_Tax!T24)</x:f>
        <x:v>781.9684248376503</x:v>
      </x:c>
      <x:c r="U46" s="56" t="n">
        <x:f>Project_CF!U24+(Energy_Revenue!U14*-0.05)*(1-Dep_Tax!U24)</x:f>
        <x:v>794.5765070389625</x:v>
      </x:c>
      <x:c r="V46" s="56" t="n">
        <x:f>Project_CF!V24+(Energy_Revenue!V14*-0.05)*(1-Dep_Tax!V24)</x:f>
        <x:v>807.405657862475</x:v>
      </x:c>
      <x:c r="W46" s="56" t="n">
        <x:f>Project_CF!W24+(Energy_Revenue!W14*-0.05)*(1-Dep_Tax!W24)</x:f>
        <x:v>820.4597402499589</x:v>
      </x:c>
      <x:c r="X46" s="56" t="n">
        <x:f>Project_CF!X24+(Energy_Revenue!X14*-0.05)*(1-Dep_Tax!X24)</x:f>
        <x:v>833.7426843726079</x:v>
      </x:c>
      <x:c r="Y46" s="56" t="n">
        <x:f>Project_CF!Y24+(Energy_Revenue!Y14*-0.05)*(1-Dep_Tax!Y24)</x:f>
        <x:v>0</x:v>
      </x:c>
      <x:c r="Z46" s="56" t="n">
        <x:f>Project_CF!Z24+(Energy_Revenue!Z14*-0.05)*(1-Dep_Tax!Z24)</x:f>
        <x:v>0</x:v>
      </x:c>
      <x:c r="AA46" s="56" t="n">
        <x:f>Project_CF!AA24+(Energy_Revenue!AA14*-0.05)*(1-Dep_Tax!AA24)</x:f>
        <x:v>0</x:v>
      </x:c>
      <x:c r="AB46" s="56" t="n">
        <x:f>Project_CF!AB24+(Energy_Revenue!AB14*-0.05)*(1-Dep_Tax!AB24)</x:f>
        <x:v>0</x:v>
      </x:c>
      <x:c r="AC46" s="56" t="n">
        <x:f>Project_CF!AC24+(Energy_Revenue!AC14*-0.05)*(1-Dep_Tax!AC24)</x:f>
        <x:v>0</x:v>
      </x:c>
      <x:c r="AD46" s="56" t="n">
        <x:f>Project_CF!AD24+(Energy_Revenue!AD14*-0.05)*(1-Dep_Tax!AD24)</x:f>
        <x:v>0</x:v>
      </x:c>
      <x:c r="AE46" s="56" t="n">
        <x:f>Project_CF!AE24+(Energy_Revenue!AE14*-0.05)*(1-Dep_Tax!AE24)</x:f>
        <x:v>0</x:v>
      </x:c>
      <x:c r="AF46" s="56" t="n">
        <x:f>Project_CF!AF24+(Energy_Revenue!AF14*-0.05)*(1-Dep_Tax!AF24)</x:f>
        <x:v>0</x:v>
      </x:c>
    </x:row>
    <x:row r="47">
      <x:c r="A47" s="41" t="s">
        <x:v>665</x:v>
      </x:c>
      <x:c r="B47" s="41" t="s">
        <x:v>658</x:v>
      </x:c>
      <x:c r="C47" s="56" t="n">
        <x:f>Project_CF!C24+(Energy_Revenue!C14*0)*(1-Dep_Tax!C24)</x:f>
        <x:v>-2690.6</x:v>
      </x:c>
      <x:c r="D47" s="56" t="n">
        <x:f>Project_CF!D24+(Energy_Revenue!D14*0)*(1-Dep_Tax!D24)</x:f>
        <x:v>-3791.3</x:v>
      </x:c>
      <x:c r="E47" s="56" t="n">
        <x:f>Project_CF!E24+(Energy_Revenue!E14*0)*(1-Dep_Tax!E24)</x:f>
        <x:v>1099.572496</x:v>
      </x:c>
      <x:c r="F47" s="56" t="n">
        <x:f>Project_CF!F24+(Energy_Revenue!F14*0)*(1-Dep_Tax!F24)</x:f>
        <x:v>745.5818020281602</x:v>
      </x:c>
      <x:c r="G47" s="56" t="n">
        <x:f>Project_CF!G24+(Energy_Revenue!G14*0)*(1-Dep_Tax!G24)</x:f>
        <x:v>758.7179693525859</x:v>
      </x:c>
      <x:c r="H47" s="56" t="n">
        <x:f>Project_CF!H24+(Energy_Revenue!H14*0)*(1-Dep_Tax!H24)</x:f>
        <x:v>772.0849726053582</x:v>
      </x:c>
      <x:c r="I47" s="56" t="n">
        <x:f>Project_CF!I24+(Energy_Revenue!I14*0)*(1-Dep_Tax!I24)</x:f>
        <x:v>762.6531255166637</x:v>
      </x:c>
      <x:c r="J47" s="56" t="n">
        <x:f>Project_CF!J24+(Energy_Revenue!J14*0)*(1-Dep_Tax!J24)</x:f>
        <x:v>775.8019593942035</x:v>
      </x:c>
      <x:c r="K47" s="56" t="n">
        <x:f>Project_CF!K24+(Energy_Revenue!K14*0)*(1-Dep_Tax!K24)</x:f>
        <x:v>789.1818152230591</x:v>
      </x:c>
      <x:c r="L47" s="56" t="n">
        <x:f>Project_CF!L24+(Energy_Revenue!L14*0)*(1-Dep_Tax!L24)</x:f>
        <x:v>802.7967395353734</x:v>
      </x:c>
      <x:c r="M47" s="56" t="n">
        <x:f>Project_CF!M24+(Energy_Revenue!M14*0)*(1-Dep_Tax!M24)</x:f>
        <x:v>816.6508494865653</x:v>
      </x:c>
      <x:c r="N47" s="56" t="n">
        <x:f>Project_CF!N24+(Energy_Revenue!N14*0)*(1-Dep_Tax!N24)</x:f>
        <x:v>830.7483340826733</x:v>
      </x:c>
      <x:c r="O47" s="56" t="n">
        <x:f>Project_CF!O24+(Energy_Revenue!O14*0)*(1-Dep_Tax!O24)</x:f>
        <x:v>845.093455428924</x:v>
      </x:c>
      <x:c r="P47" s="56" t="n">
        <x:f>Project_CF!P24+(Energy_Revenue!P14*0)*(1-Dep_Tax!P24)</x:f>
        <x:v>859.6905499998855</x:v>
      </x:c>
      <x:c r="Q47" s="56" t="n">
        <x:f>Project_CF!Q24+(Energy_Revenue!Q14*0)*(1-Dep_Tax!Q24)</x:f>
        <x:v>874.5440299315812</x:v>
      </x:c>
      <x:c r="R47" s="56" t="n">
        <x:f>Project_CF!R24+(Energy_Revenue!R14*0)*(1-Dep_Tax!R24)</x:f>
        <x:v>859.9401667393054</x:v>
      </x:c>
      <x:c r="S47" s="56" t="n">
        <x:f>Project_CF!S24+(Energy_Revenue!S14*0)*(1-Dep_Tax!S24)</x:f>
        <x:v>874.5105000780432</x:v>
      </x:c>
      <x:c r="T47" s="56" t="n">
        <x:f>Project_CF!T24+(Energy_Revenue!T14*0)*(1-Dep_Tax!T24)</x:f>
        <x:v>826.6339897355074</x:v>
      </x:c>
      <x:c r="U47" s="56" t="n">
        <x:f>Project_CF!U24+(Energy_Revenue!U14*0)*(1-Dep_Tax!U24)</x:f>
        <x:v>840.0442654823851</x:v>
      </x:c>
      <x:c r="V47" s="56" t="n">
        <x:f>Project_CF!V24+(Energy_Revenue!V14*0)*(1-Dep_Tax!V24)</x:f>
        <x:v>853.6900172475414</x:v>
      </x:c>
      <x:c r="W47" s="56" t="n">
        <x:f>Project_CF!W24+(Energy_Revenue!W14*0)*(1-Dep_Tax!W24)</x:f>
        <x:v>867.5753667295811</x:v>
      </x:c>
      <x:c r="X47" s="56" t="n">
        <x:f>Project_CF!X24+(Energy_Revenue!X14*0)*(1-Dep_Tax!X24)</x:f>
        <x:v>881.704507503804</x:v>
      </x:c>
      <x:c r="Y47" s="56" t="n">
        <x:f>Project_CF!Y24+(Energy_Revenue!Y14*0)*(1-Dep_Tax!Y24)</x:f>
        <x:v>0</x:v>
      </x:c>
      <x:c r="Z47" s="56" t="n">
        <x:f>Project_CF!Z24+(Energy_Revenue!Z14*0)*(1-Dep_Tax!Z24)</x:f>
        <x:v>0</x:v>
      </x:c>
      <x:c r="AA47" s="56" t="n">
        <x:f>Project_CF!AA24+(Energy_Revenue!AA14*0)*(1-Dep_Tax!AA24)</x:f>
        <x:v>0</x:v>
      </x:c>
      <x:c r="AB47" s="56" t="n">
        <x:f>Project_CF!AB24+(Energy_Revenue!AB14*0)*(1-Dep_Tax!AB24)</x:f>
        <x:v>0</x:v>
      </x:c>
      <x:c r="AC47" s="56" t="n">
        <x:f>Project_CF!AC24+(Energy_Revenue!AC14*0)*(1-Dep_Tax!AC24)</x:f>
        <x:v>0</x:v>
      </x:c>
      <x:c r="AD47" s="56" t="n">
        <x:f>Project_CF!AD24+(Energy_Revenue!AD14*0)*(1-Dep_Tax!AD24)</x:f>
        <x:v>0</x:v>
      </x:c>
      <x:c r="AE47" s="56" t="n">
        <x:f>Project_CF!AE24+(Energy_Revenue!AE14*0)*(1-Dep_Tax!AE24)</x:f>
        <x:v>0</x:v>
      </x:c>
      <x:c r="AF47" s="56" t="n">
        <x:f>Project_CF!AF24+(Energy_Revenue!AF14*0)*(1-Dep_Tax!AF24)</x:f>
        <x:v>0</x:v>
      </x:c>
    </x:row>
    <x:row r="48">
      <x:c r="A48" s="41" t="s">
        <x:v>666</x:v>
      </x:c>
      <x:c r="B48" s="41" t="s">
        <x:v>660</x:v>
      </x:c>
      <x:c r="C48" s="56" t="n">
        <x:f>Project_CF!C24+(Energy_Revenue!C14*0.05)*(1-Dep_Tax!C24)</x:f>
        <x:v>-2690.6</x:v>
      </x:c>
      <x:c r="D48" s="56" t="n">
        <x:f>Project_CF!D24+(Energy_Revenue!D14*0.05)*(1-Dep_Tax!D24)</x:f>
        <x:v>-3791.3</x:v>
      </x:c>
      <x:c r="E48" s="56" t="n">
        <x:f>Project_CF!E24+(Energy_Revenue!E14*0.05)*(1-Dep_Tax!E24)</x:f>
        <x:v>1142.3211208</x:v>
      </x:c>
      <x:c r="F48" s="56" t="n">
        <x:f>Project_CF!F24+(Energy_Revenue!F14*0.05)*(1-Dep_Tax!F24)</x:f>
        <x:v>789.0981921295681</x:v>
      </x:c>
      <x:c r="G48" s="56" t="n">
        <x:f>Project_CF!G24+(Energy_Revenue!G14*0.05)*(1-Dep_Tax!G24)</x:f>
        <x:v>803.0159138202152</x:v>
      </x:c>
      <x:c r="H48" s="56" t="n">
        <x:f>Project_CF!H24+(Energy_Revenue!H14*0.05)*(1-Dep_Tax!H24)</x:f>
        <x:v>817.1785081556261</x:v>
      </x:c>
      <x:c r="I48" s="56" t="n">
        <x:f>Project_CF!I24+(Energy_Revenue!I14*0.05)*(1-Dep_Tax!I24)</x:f>
        <x:v>806.261370192977</x:v>
      </x:c>
      <x:c r="J48" s="56" t="n">
        <x:f>Project_CF!J24+(Energy_Revenue!J14*0.05)*(1-Dep_Tax!J24)</x:f>
        <x:v>820.1934081449033</x:v>
      </x:c>
      <x:c r="K48" s="56" t="n">
        <x:f>Project_CF!K24+(Energy_Revenue!K14*0.05)*(1-Dep_Tax!K24)</x:f>
        <x:v>834.3705343933213</x:v>
      </x:c>
      <x:c r="L48" s="56" t="n">
        <x:f>Project_CF!L24+(Energy_Revenue!L14*0.05)*(1-Dep_Tax!L24)</x:f>
        <x:v>848.7970481019336</x:v>
      </x:c>
      <x:c r="M48" s="56" t="n">
        <x:f>Project_CF!M24+(Energy_Revenue!M14*0.05)*(1-Dep_Tax!M24)</x:f>
        <x:v>863.477323594981</x:v>
      </x:c>
      <x:c r="N48" s="56" t="n">
        <x:f>Project_CF!N24+(Energy_Revenue!N14*0.05)*(1-Dep_Tax!N24)</x:f>
        <x:v>878.4158116660761</x:v>
      </x:c>
      <x:c r="O48" s="56" t="n">
        <x:f>Project_CF!O24+(Energy_Revenue!O14*0.05)*(1-Dep_Tax!O24)</x:f>
        <x:v>893.6170409097248</x:v>
      </x:c>
      <x:c r="P48" s="56" t="n">
        <x:f>Project_CF!P24+(Energy_Revenue!P14*0.05)*(1-Dep_Tax!P24)</x:f>
        <x:v>909.0856190759215</x:v>
      </x:c>
      <x:c r="Q48" s="56" t="n">
        <x:f>Project_CF!Q24+(Energy_Revenue!Q14*0.05)*(1-Dep_Tax!Q24)</x:f>
        <x:v>924.8262344482227</x:v>
      </x:c>
      <x:c r="R48" s="56" t="n">
        <x:f>Project_CF!R24+(Energy_Revenue!R14*0.05)*(1-Dep_Tax!R24)</x:f>
        <x:v>908.4314779169731</x:v>
      </x:c>
      <x:c r="S48" s="56" t="n">
        <x:f>Project_CF!S24+(Energy_Revenue!S14*0.05)*(1-Dep_Tax!S24)</x:f>
        <x:v>923.8727152044619</x:v>
      </x:c>
      <x:c r="T48" s="56" t="n">
        <x:f>Project_CF!T24+(Energy_Revenue!T14*0.05)*(1-Dep_Tax!T24)</x:f>
        <x:v>871.2995546333644</x:v>
      </x:c>
      <x:c r="U48" s="56" t="n">
        <x:f>Project_CF!U24+(Energy_Revenue!U14*0.05)*(1-Dep_Tax!U24)</x:f>
        <x:v>885.5120239258076</x:v>
      </x:c>
      <x:c r="V48" s="56" t="n">
        <x:f>Project_CF!V24+(Energy_Revenue!V14*0.05)*(1-Dep_Tax!V24)</x:f>
        <x:v>899.9743766326078</x:v>
      </x:c>
      <x:c r="W48" s="56" t="n">
        <x:f>Project_CF!W24+(Energy_Revenue!W14*0.05)*(1-Dep_Tax!W24)</x:f>
        <x:v>914.6909932092033</x:v>
      </x:c>
      <x:c r="X48" s="56" t="n">
        <x:f>Project_CF!X24+(Energy_Revenue!X14*0.05)*(1-Dep_Tax!X24)</x:f>
        <x:v>929.6663306350002</x:v>
      </x:c>
      <x:c r="Y48" s="56" t="n">
        <x:f>Project_CF!Y24+(Energy_Revenue!Y14*0.05)*(1-Dep_Tax!Y24)</x:f>
        <x:v>0</x:v>
      </x:c>
      <x:c r="Z48" s="56" t="n">
        <x:f>Project_CF!Z24+(Energy_Revenue!Z14*0.05)*(1-Dep_Tax!Z24)</x:f>
        <x:v>0</x:v>
      </x:c>
      <x:c r="AA48" s="56" t="n">
        <x:f>Project_CF!AA24+(Energy_Revenue!AA14*0.05)*(1-Dep_Tax!AA24)</x:f>
        <x:v>0</x:v>
      </x:c>
      <x:c r="AB48" s="56" t="n">
        <x:f>Project_CF!AB24+(Energy_Revenue!AB14*0.05)*(1-Dep_Tax!AB24)</x:f>
        <x:v>0</x:v>
      </x:c>
      <x:c r="AC48" s="56" t="n">
        <x:f>Project_CF!AC24+(Energy_Revenue!AC14*0.05)*(1-Dep_Tax!AC24)</x:f>
        <x:v>0</x:v>
      </x:c>
      <x:c r="AD48" s="56" t="n">
        <x:f>Project_CF!AD24+(Energy_Revenue!AD14*0.05)*(1-Dep_Tax!AD24)</x:f>
        <x:v>0</x:v>
      </x:c>
      <x:c r="AE48" s="56" t="n">
        <x:f>Project_CF!AE24+(Energy_Revenue!AE14*0.05)*(1-Dep_Tax!AE24)</x:f>
        <x:v>0</x:v>
      </x:c>
      <x:c r="AF48" s="56" t="n">
        <x:f>Project_CF!AF24+(Energy_Revenue!AF14*0.05)*(1-Dep_Tax!AF24)</x:f>
        <x:v>0</x:v>
      </x:c>
    </x:row>
    <x:row r="49">
      <x:c r="A49" s="41" t="s">
        <x:v>667</x:v>
      </x:c>
      <x:c r="B49" s="41" t="s">
        <x:v>662</x:v>
      </x:c>
      <x:c r="C49" s="56" t="n">
        <x:f>Project_CF!C24+(Energy_Revenue!C14*0.1)*(1-Dep_Tax!C24)</x:f>
        <x:v>-2690.6</x:v>
      </x:c>
      <x:c r="D49" s="56" t="n">
        <x:f>Project_CF!D24+(Energy_Revenue!D14*0.1)*(1-Dep_Tax!D24)</x:f>
        <x:v>-3791.3</x:v>
      </x:c>
      <x:c r="E49" s="56" t="n">
        <x:f>Project_CF!E24+(Energy_Revenue!E14*0.1)*(1-Dep_Tax!E24)</x:f>
        <x:v>1185.0697456</x:v>
      </x:c>
      <x:c r="F49" s="56" t="n">
        <x:f>Project_CF!F24+(Energy_Revenue!F14*0.1)*(1-Dep_Tax!F24)</x:f>
        <x:v>832.6145822309761</x:v>
      </x:c>
      <x:c r="G49" s="56" t="n">
        <x:f>Project_CF!G24+(Energy_Revenue!G14*0.1)*(1-Dep_Tax!G24)</x:f>
        <x:v>847.3138582878445</x:v>
      </x:c>
      <x:c r="H49" s="56" t="n">
        <x:f>Project_CF!H24+(Energy_Revenue!H14*0.1)*(1-Dep_Tax!H24)</x:f>
        <x:v>862.272043705894</x:v>
      </x:c>
      <x:c r="I49" s="56" t="n">
        <x:f>Project_CF!I24+(Energy_Revenue!I14*0.1)*(1-Dep_Tax!I24)</x:f>
        <x:v>849.8696148692901</x:v>
      </x:c>
      <x:c r="J49" s="56" t="n">
        <x:f>Project_CF!J24+(Energy_Revenue!J14*0.1)*(1-Dep_Tax!J24)</x:f>
        <x:v>864.5848568956031</x:v>
      </x:c>
      <x:c r="K49" s="56" t="n">
        <x:f>Project_CF!K24+(Energy_Revenue!K14*0.1)*(1-Dep_Tax!K24)</x:f>
        <x:v>879.5592535635838</x:v>
      </x:c>
      <x:c r="L49" s="56" t="n">
        <x:f>Project_CF!L24+(Energy_Revenue!L14*0.1)*(1-Dep_Tax!L24)</x:f>
        <x:v>894.7973566684939</x:v>
      </x:c>
      <x:c r="M49" s="56" t="n">
        <x:f>Project_CF!M24+(Energy_Revenue!M14*0.1)*(1-Dep_Tax!M24)</x:f>
        <x:v>910.3037977033966</x:v>
      </x:c>
      <x:c r="N49" s="56" t="n">
        <x:f>Project_CF!N24+(Energy_Revenue!N14*0.1)*(1-Dep_Tax!N24)</x:f>
        <x:v>926.083289249479</x:v>
      </x:c>
      <x:c r="O49" s="56" t="n">
        <x:f>Project_CF!O24+(Energy_Revenue!O14*0.1)*(1-Dep_Tax!O24)</x:f>
        <x:v>942.1406263905255</x:v>
      </x:c>
      <x:c r="P49" s="56" t="n">
        <x:f>Project_CF!P24+(Energy_Revenue!P14*0.1)*(1-Dep_Tax!P24)</x:f>
        <x:v>958.4806881519573</x:v>
      </x:c>
      <x:c r="Q49" s="56" t="n">
        <x:f>Project_CF!Q24+(Energy_Revenue!Q14*0.1)*(1-Dep_Tax!Q24)</x:f>
        <x:v>975.1084389648643</x:v>
      </x:c>
      <x:c r="R49" s="56" t="n">
        <x:f>Project_CF!R24+(Energy_Revenue!R14*0.1)*(1-Dep_Tax!R24)</x:f>
        <x:v>956.9227890946408</x:v>
      </x:c>
      <x:c r="S49" s="56" t="n">
        <x:f>Project_CF!S24+(Energy_Revenue!S14*0.1)*(1-Dep_Tax!S24)</x:f>
        <x:v>973.2349303308805</x:v>
      </x:c>
      <x:c r="T49" s="56" t="n">
        <x:f>Project_CF!T24+(Energy_Revenue!T14*0.1)*(1-Dep_Tax!T24)</x:f>
        <x:v>915.9651195312214</x:v>
      </x:c>
      <x:c r="U49" s="56" t="n">
        <x:f>Project_CF!U24+(Energy_Revenue!U14*0.1)*(1-Dep_Tax!U24)</x:f>
        <x:v>930.9797823692302</x:v>
      </x:c>
      <x:c r="V49" s="56" t="n">
        <x:f>Project_CF!V24+(Energy_Revenue!V14*0.1)*(1-Dep_Tax!V24)</x:f>
        <x:v>946.2587360176742</x:v>
      </x:c>
      <x:c r="W49" s="56" t="n">
        <x:f>Project_CF!W24+(Energy_Revenue!W14*0.1)*(1-Dep_Tax!W24)</x:f>
        <x:v>961.8066196888254</x:v>
      </x:c>
      <x:c r="X49" s="56" t="n">
        <x:f>Project_CF!X24+(Energy_Revenue!X14*0.1)*(1-Dep_Tax!X24)</x:f>
        <x:v>977.6281537661964</x:v>
      </x:c>
      <x:c r="Y49" s="56" t="n">
        <x:f>Project_CF!Y24+(Energy_Revenue!Y14*0.1)*(1-Dep_Tax!Y24)</x:f>
        <x:v>0</x:v>
      </x:c>
      <x:c r="Z49" s="56" t="n">
        <x:f>Project_CF!Z24+(Energy_Revenue!Z14*0.1)*(1-Dep_Tax!Z24)</x:f>
        <x:v>0</x:v>
      </x:c>
      <x:c r="AA49" s="56" t="n">
        <x:f>Project_CF!AA24+(Energy_Revenue!AA14*0.1)*(1-Dep_Tax!AA24)</x:f>
        <x:v>0</x:v>
      </x:c>
      <x:c r="AB49" s="56" t="n">
        <x:f>Project_CF!AB24+(Energy_Revenue!AB14*0.1)*(1-Dep_Tax!AB24)</x:f>
        <x:v>0</x:v>
      </x:c>
      <x:c r="AC49" s="56" t="n">
        <x:f>Project_CF!AC24+(Energy_Revenue!AC14*0.1)*(1-Dep_Tax!AC24)</x:f>
        <x:v>0</x:v>
      </x:c>
      <x:c r="AD49" s="56" t="n">
        <x:f>Project_CF!AD24+(Energy_Revenue!AD14*0.1)*(1-Dep_Tax!AD24)</x:f>
        <x:v>0</x:v>
      </x:c>
      <x:c r="AE49" s="56" t="n">
        <x:f>Project_CF!AE24+(Energy_Revenue!AE14*0.1)*(1-Dep_Tax!AE24)</x:f>
        <x:v>0</x:v>
      </x:c>
      <x:c r="AF49" s="56" t="n">
        <x:f>Project_CF!AF24+(Energy_Revenue!AF14*0.1)*(1-Dep_Tax!AF24)</x:f>
        <x:v>0</x:v>
      </x:c>
    </x:row>
    <x:row r="50">
      <x:c r="A50" s="41" t="s">
        <x:v>668</x:v>
      </x:c>
      <x:c r="B50" s="41" t="s">
        <x:v>654</x:v>
      </x:c>
      <x:c r="C50" s="56" t="n">
        <x:f>Project_CF!C24-(CAPEX!C15-CAPEX!C17)*-0.0999999999999999+Dep_Tax!C12*-0.0999999999999999*Dep_Tax!C24</x:f>
        <x:v>-2421.54</x:v>
      </x:c>
      <x:c r="D50" s="56" t="n">
        <x:f>Project_CF!D24-(CAPEX!D15-CAPEX!D17)*-0.0999999999999999+Dep_Tax!D12*-0.0999999999999999*Dep_Tax!D24</x:f>
        <x:v>-3412.1700000000005</x:v>
      </x:c>
      <x:c r="E50" s="56" t="n">
        <x:f>Project_CF!E24-(CAPEX!E15-CAPEX!E17)*-0.0999999999999999+Dep_Tax!E12*-0.0999999999999999*Dep_Tax!E24</x:f>
        <x:v>1062.882496</x:v>
      </x:c>
      <x:c r="F50" s="56" t="n">
        <x:f>Project_CF!F24-(CAPEX!F15-CAPEX!F17)*-0.0999999999999999+Dep_Tax!F12*-0.0999999999999999*Dep_Tax!F24</x:f>
        <x:v>745.5818020281602</x:v>
      </x:c>
      <x:c r="G50" s="56" t="n">
        <x:f>Project_CF!G24-(CAPEX!G15-CAPEX!G17)*-0.0999999999999999+Dep_Tax!G12*-0.0999999999999999*Dep_Tax!G24</x:f>
        <x:v>758.7179693525859</x:v>
      </x:c>
      <x:c r="H50" s="56" t="n">
        <x:f>Project_CF!H24-(CAPEX!H15-CAPEX!H17)*-0.0999999999999999+Dep_Tax!H12*-0.0999999999999999*Dep_Tax!H24</x:f>
        <x:v>772.0849726053582</x:v>
      </x:c>
      <x:c r="I50" s="56" t="n">
        <x:f>Project_CF!I24-(CAPEX!I15-CAPEX!I17)*-0.0999999999999999+Dep_Tax!I12*-0.0999999999999999*Dep_Tax!I24</x:f>
        <x:v>761.0280642666637</x:v>
      </x:c>
      <x:c r="J50" s="56" t="n">
        <x:f>Project_CF!J24-(CAPEX!J15-CAPEX!J17)*-0.0999999999999999+Dep_Tax!J12*-0.0999999999999999*Dep_Tax!J24</x:f>
        <x:v>774.1768981442035</x:v>
      </x:c>
      <x:c r="K50" s="56" t="n">
        <x:f>Project_CF!K24-(CAPEX!K15-CAPEX!K17)*-0.0999999999999999+Dep_Tax!K12*-0.0999999999999999*Dep_Tax!K24</x:f>
        <x:v>787.556753973059</x:v>
      </x:c>
      <x:c r="L50" s="56" t="n">
        <x:f>Project_CF!L24-(CAPEX!L15-CAPEX!L17)*-0.0999999999999999+Dep_Tax!L12*-0.0999999999999999*Dep_Tax!L24</x:f>
        <x:v>801.1716782853733</x:v>
      </x:c>
      <x:c r="M50" s="56" t="n">
        <x:f>Project_CF!M24-(CAPEX!M15-CAPEX!M17)*-0.0999999999999999+Dep_Tax!M12*-0.0999999999999999*Dep_Tax!M24</x:f>
        <x:v>815.0257882365653</x:v>
      </x:c>
      <x:c r="N50" s="56" t="n">
        <x:f>Project_CF!N24-(CAPEX!N15-CAPEX!N17)*-0.0999999999999999+Dep_Tax!N12*-0.0999999999999999*Dep_Tax!N24</x:f>
        <x:v>829.1232728326733</x:v>
      </x:c>
      <x:c r="O50" s="56" t="n">
        <x:f>Project_CF!O24-(CAPEX!O15-CAPEX!O17)*-0.0999999999999999+Dep_Tax!O12*-0.0999999999999999*Dep_Tax!O24</x:f>
        <x:v>843.468394178924</x:v>
      </x:c>
      <x:c r="P50" s="56" t="n">
        <x:f>Project_CF!P24-(CAPEX!P15-CAPEX!P17)*-0.0999999999999999+Dep_Tax!P12*-0.0999999999999999*Dep_Tax!P24</x:f>
        <x:v>858.0654887498855</x:v>
      </x:c>
      <x:c r="Q50" s="56" t="n">
        <x:f>Project_CF!Q24-(CAPEX!Q15-CAPEX!Q17)*-0.0999999999999999+Dep_Tax!Q12*-0.0999999999999999*Dep_Tax!Q24</x:f>
        <x:v>872.9189686815812</x:v>
      </x:c>
      <x:c r="R50" s="56" t="n">
        <x:f>Project_CF!R24-(CAPEX!R15-CAPEX!R17)*-0.0999999999999999+Dep_Tax!R12*-0.0999999999999999*Dep_Tax!R24</x:f>
        <x:v>856.6900442393054</x:v>
      </x:c>
      <x:c r="S50" s="56" t="n">
        <x:f>Project_CF!S24-(CAPEX!S15-CAPEX!S17)*-0.0999999999999999+Dep_Tax!S12*-0.0999999999999999*Dep_Tax!S24</x:f>
        <x:v>871.2603775780432</x:v>
      </x:c>
      <x:c r="T50" s="56" t="n">
        <x:f>Project_CF!T24-(CAPEX!T15-CAPEX!T17)*-0.0999999999999999+Dep_Tax!T12*-0.0999999999999999*Dep_Tax!T24</x:f>
        <x:v>820.1337447355074</x:v>
      </x:c>
      <x:c r="U50" s="56" t="n">
        <x:f>Project_CF!U24-(CAPEX!U15-CAPEX!U17)*-0.0999999999999999+Dep_Tax!U12*-0.0999999999999999*Dep_Tax!U24</x:f>
        <x:v>833.5440204823851</x:v>
      </x:c>
      <x:c r="V50" s="56" t="n">
        <x:f>Project_CF!V24-(CAPEX!V15-CAPEX!V17)*-0.0999999999999999+Dep_Tax!V12*-0.0999999999999999*Dep_Tax!V24</x:f>
        <x:v>847.1897722475414</x:v>
      </x:c>
      <x:c r="W50" s="56" t="n">
        <x:f>Project_CF!W24-(CAPEX!W15-CAPEX!W17)*-0.0999999999999999+Dep_Tax!W12*-0.0999999999999999*Dep_Tax!W24</x:f>
        <x:v>861.0751217295812</x:v>
      </x:c>
      <x:c r="X50" s="56" t="n">
        <x:f>Project_CF!X24-(CAPEX!X15-CAPEX!X17)*-0.0999999999999999+Dep_Tax!X12*-0.0999999999999999*Dep_Tax!X24</x:f>
        <x:v>875.2042625038041</x:v>
      </x:c>
      <x:c r="Y50" s="56" t="n">
        <x:f>Project_CF!Y24-(CAPEX!Y15-CAPEX!Y17)*-0.0999999999999999+Dep_Tax!Y12*-0.0999999999999999*Dep_Tax!Y24</x:f>
        <x:v>0</x:v>
      </x:c>
      <x:c r="Z50" s="56" t="n">
        <x:f>Project_CF!Z24-(CAPEX!Z15-CAPEX!Z17)*-0.0999999999999999+Dep_Tax!Z12*-0.0999999999999999*Dep_Tax!Z24</x:f>
        <x:v>0</x:v>
      </x:c>
      <x:c r="AA50" s="56" t="n">
        <x:f>Project_CF!AA24-(CAPEX!AA15-CAPEX!AA17)*-0.0999999999999999+Dep_Tax!AA12*-0.0999999999999999*Dep_Tax!AA24</x:f>
        <x:v>0</x:v>
      </x:c>
      <x:c r="AB50" s="56" t="n">
        <x:f>Project_CF!AB24-(CAPEX!AB15-CAPEX!AB17)*-0.0999999999999999+Dep_Tax!AB12*-0.0999999999999999*Dep_Tax!AB24</x:f>
        <x:v>0</x:v>
      </x:c>
      <x:c r="AC50" s="56" t="n">
        <x:f>Project_CF!AC24-(CAPEX!AC15-CAPEX!AC17)*-0.0999999999999999+Dep_Tax!AC12*-0.0999999999999999*Dep_Tax!AC24</x:f>
        <x:v>0</x:v>
      </x:c>
      <x:c r="AD50" s="56" t="n">
        <x:f>Project_CF!AD24-(CAPEX!AD15-CAPEX!AD17)*-0.0999999999999999+Dep_Tax!AD12*-0.0999999999999999*Dep_Tax!AD24</x:f>
        <x:v>0</x:v>
      </x:c>
      <x:c r="AE50" s="56" t="n">
        <x:f>Project_CF!AE24-(CAPEX!AE15-CAPEX!AE17)*-0.0999999999999999+Dep_Tax!AE12*-0.0999999999999999*Dep_Tax!AE24</x:f>
        <x:v>0</x:v>
      </x:c>
      <x:c r="AF50" s="56" t="n">
        <x:f>Project_CF!AF24-(CAPEX!AF15-CAPEX!AF17)*-0.0999999999999999+Dep_Tax!AF12*-0.0999999999999999*Dep_Tax!AF24</x:f>
        <x:v>0</x:v>
      </x:c>
    </x:row>
    <x:row r="51">
      <x:c r="A51" s="41" t="s">
        <x:v>669</x:v>
      </x:c>
      <x:c r="B51" s="41" t="s">
        <x:v>656</x:v>
      </x:c>
      <x:c r="C51" s="56" t="n">
        <x:f>Project_CF!C24-(CAPEX!C15-CAPEX!C17)*-0.05+Dep_Tax!C12*-0.05*Dep_Tax!C24</x:f>
        <x:v>-2556.0699999999997</x:v>
      </x:c>
      <x:c r="D51" s="56" t="n">
        <x:f>Project_CF!D24-(CAPEX!D15-CAPEX!D17)*-0.05+Dep_Tax!D12*-0.05*Dep_Tax!D24</x:f>
        <x:v>-3601.735</x:v>
      </x:c>
      <x:c r="E51" s="56" t="n">
        <x:f>Project_CF!E24-(CAPEX!E15-CAPEX!E17)*-0.05+Dep_Tax!E12*-0.05*Dep_Tax!E24</x:f>
        <x:v>1081.227496</x:v>
      </x:c>
      <x:c r="F51" s="56" t="n">
        <x:f>Project_CF!F24-(CAPEX!F15-CAPEX!F17)*-0.05+Dep_Tax!F12*-0.05*Dep_Tax!F24</x:f>
        <x:v>745.5818020281602</x:v>
      </x:c>
      <x:c r="G51" s="56" t="n">
        <x:f>Project_CF!G24-(CAPEX!G15-CAPEX!G17)*-0.05+Dep_Tax!G12*-0.05*Dep_Tax!G24</x:f>
        <x:v>758.7179693525859</x:v>
      </x:c>
      <x:c r="H51" s="56" t="n">
        <x:f>Project_CF!H24-(CAPEX!H15-CAPEX!H17)*-0.05+Dep_Tax!H12*-0.05*Dep_Tax!H24</x:f>
        <x:v>772.0849726053582</x:v>
      </x:c>
      <x:c r="I51" s="56" t="n">
        <x:f>Project_CF!I24-(CAPEX!I15-CAPEX!I17)*-0.05+Dep_Tax!I12*-0.05*Dep_Tax!I24</x:f>
        <x:v>761.8405948916637</x:v>
      </x:c>
      <x:c r="J51" s="56" t="n">
        <x:f>Project_CF!J24-(CAPEX!J15-CAPEX!J17)*-0.05+Dep_Tax!J12*-0.05*Dep_Tax!J24</x:f>
        <x:v>774.9894287692035</x:v>
      </x:c>
      <x:c r="K51" s="56" t="n">
        <x:f>Project_CF!K24-(CAPEX!K15-CAPEX!K17)*-0.05+Dep_Tax!K12*-0.05*Dep_Tax!K24</x:f>
        <x:v>788.369284598059</x:v>
      </x:c>
      <x:c r="L51" s="56" t="n">
        <x:f>Project_CF!L24-(CAPEX!L15-CAPEX!L17)*-0.05+Dep_Tax!L12*-0.05*Dep_Tax!L24</x:f>
        <x:v>801.9842089103734</x:v>
      </x:c>
      <x:c r="M51" s="56" t="n">
        <x:f>Project_CF!M24-(CAPEX!M15-CAPEX!M17)*-0.05+Dep_Tax!M12*-0.05*Dep_Tax!M24</x:f>
        <x:v>815.8383188615653</x:v>
      </x:c>
      <x:c r="N51" s="56" t="n">
        <x:f>Project_CF!N24-(CAPEX!N15-CAPEX!N17)*-0.05+Dep_Tax!N12*-0.05*Dep_Tax!N24</x:f>
        <x:v>829.9358034576733</x:v>
      </x:c>
      <x:c r="O51" s="56" t="n">
        <x:f>Project_CF!O24-(CAPEX!O15-CAPEX!O17)*-0.05+Dep_Tax!O12*-0.05*Dep_Tax!O24</x:f>
        <x:v>844.280924803924</x:v>
      </x:c>
      <x:c r="P51" s="56" t="n">
        <x:f>Project_CF!P24-(CAPEX!P15-CAPEX!P17)*-0.05+Dep_Tax!P12*-0.05*Dep_Tax!P24</x:f>
        <x:v>858.8780193748855</x:v>
      </x:c>
      <x:c r="Q51" s="56" t="n">
        <x:f>Project_CF!Q24-(CAPEX!Q15-CAPEX!Q17)*-0.05+Dep_Tax!Q12*-0.05*Dep_Tax!Q24</x:f>
        <x:v>873.7314993065812</x:v>
      </x:c>
      <x:c r="R51" s="56" t="n">
        <x:f>Project_CF!R24-(CAPEX!R15-CAPEX!R17)*-0.05+Dep_Tax!R12*-0.05*Dep_Tax!R24</x:f>
        <x:v>858.3151054893053</x:v>
      </x:c>
      <x:c r="S51" s="56" t="n">
        <x:f>Project_CF!S24-(CAPEX!S15-CAPEX!S17)*-0.05+Dep_Tax!S12*-0.05*Dep_Tax!S24</x:f>
        <x:v>872.8854388280431</x:v>
      </x:c>
      <x:c r="T51" s="56" t="n">
        <x:f>Project_CF!T24-(CAPEX!T15-CAPEX!T17)*-0.05+Dep_Tax!T12*-0.05*Dep_Tax!T24</x:f>
        <x:v>823.3838672355074</x:v>
      </x:c>
      <x:c r="U51" s="56" t="n">
        <x:f>Project_CF!U24-(CAPEX!U15-CAPEX!U17)*-0.05+Dep_Tax!U12*-0.05*Dep_Tax!U24</x:f>
        <x:v>836.7941429823851</x:v>
      </x:c>
      <x:c r="V51" s="56" t="n">
        <x:f>Project_CF!V24-(CAPEX!V15-CAPEX!V17)*-0.05+Dep_Tax!V12*-0.05*Dep_Tax!V24</x:f>
        <x:v>850.4398947475414</x:v>
      </x:c>
      <x:c r="W51" s="56" t="n">
        <x:f>Project_CF!W24-(CAPEX!W15-CAPEX!W17)*-0.05+Dep_Tax!W12*-0.05*Dep_Tax!W24</x:f>
        <x:v>864.3252442295811</x:v>
      </x:c>
      <x:c r="X51" s="56" t="n">
        <x:f>Project_CF!X24-(CAPEX!X15-CAPEX!X17)*-0.05+Dep_Tax!X12*-0.05*Dep_Tax!X24</x:f>
        <x:v>878.4543850038041</x:v>
      </x:c>
      <x:c r="Y51" s="56" t="n">
        <x:f>Project_CF!Y24-(CAPEX!Y15-CAPEX!Y17)*-0.05+Dep_Tax!Y12*-0.05*Dep_Tax!Y24</x:f>
        <x:v>0</x:v>
      </x:c>
      <x:c r="Z51" s="56" t="n">
        <x:f>Project_CF!Z24-(CAPEX!Z15-CAPEX!Z17)*-0.05+Dep_Tax!Z12*-0.05*Dep_Tax!Z24</x:f>
        <x:v>0</x:v>
      </x:c>
      <x:c r="AA51" s="56" t="n">
        <x:f>Project_CF!AA24-(CAPEX!AA15-CAPEX!AA17)*-0.05+Dep_Tax!AA12*-0.05*Dep_Tax!AA24</x:f>
        <x:v>0</x:v>
      </x:c>
      <x:c r="AB51" s="56" t="n">
        <x:f>Project_CF!AB24-(CAPEX!AB15-CAPEX!AB17)*-0.05+Dep_Tax!AB12*-0.05*Dep_Tax!AB24</x:f>
        <x:v>0</x:v>
      </x:c>
      <x:c r="AC51" s="56" t="n">
        <x:f>Project_CF!AC24-(CAPEX!AC15-CAPEX!AC17)*-0.05+Dep_Tax!AC12*-0.05*Dep_Tax!AC24</x:f>
        <x:v>0</x:v>
      </x:c>
      <x:c r="AD51" s="56" t="n">
        <x:f>Project_CF!AD24-(CAPEX!AD15-CAPEX!AD17)*-0.05+Dep_Tax!AD12*-0.05*Dep_Tax!AD24</x:f>
        <x:v>0</x:v>
      </x:c>
      <x:c r="AE51" s="56" t="n">
        <x:f>Project_CF!AE24-(CAPEX!AE15-CAPEX!AE17)*-0.05+Dep_Tax!AE12*-0.05*Dep_Tax!AE24</x:f>
        <x:v>0</x:v>
      </x:c>
      <x:c r="AF51" s="56" t="n">
        <x:f>Project_CF!AF24-(CAPEX!AF15-CAPEX!AF17)*-0.05+Dep_Tax!AF12*-0.05*Dep_Tax!AF24</x:f>
        <x:v>0</x:v>
      </x:c>
    </x:row>
    <x:row r="52">
      <x:c r="A52" s="41" t="s">
        <x:v>670</x:v>
      </x:c>
      <x:c r="B52" s="41" t="s">
        <x:v>658</x:v>
      </x:c>
      <x:c r="C52" s="56" t="n">
        <x:f>Project_CF!C24-(CAPEX!C15-CAPEX!C17)*0+Dep_Tax!C12*0*Dep_Tax!C24</x:f>
        <x:v>-2690.6</x:v>
      </x:c>
      <x:c r="D52" s="56" t="n">
        <x:f>Project_CF!D24-(CAPEX!D15-CAPEX!D17)*0+Dep_Tax!D12*0*Dep_Tax!D24</x:f>
        <x:v>-3791.3</x:v>
      </x:c>
      <x:c r="E52" s="56" t="n">
        <x:f>Project_CF!E24-(CAPEX!E15-CAPEX!E17)*0+Dep_Tax!E12*0*Dep_Tax!E24</x:f>
        <x:v>1099.572496</x:v>
      </x:c>
      <x:c r="F52" s="56" t="n">
        <x:f>Project_CF!F24-(CAPEX!F15-CAPEX!F17)*0+Dep_Tax!F12*0*Dep_Tax!F24</x:f>
        <x:v>745.5818020281602</x:v>
      </x:c>
      <x:c r="G52" s="56" t="n">
        <x:f>Project_CF!G24-(CAPEX!G15-CAPEX!G17)*0+Dep_Tax!G12*0*Dep_Tax!G24</x:f>
        <x:v>758.7179693525859</x:v>
      </x:c>
      <x:c r="H52" s="56" t="n">
        <x:f>Project_CF!H24-(CAPEX!H15-CAPEX!H17)*0+Dep_Tax!H12*0*Dep_Tax!H24</x:f>
        <x:v>772.0849726053582</x:v>
      </x:c>
      <x:c r="I52" s="56" t="n">
        <x:f>Project_CF!I24-(CAPEX!I15-CAPEX!I17)*0+Dep_Tax!I12*0*Dep_Tax!I24</x:f>
        <x:v>762.6531255166637</x:v>
      </x:c>
      <x:c r="J52" s="56" t="n">
        <x:f>Project_CF!J24-(CAPEX!J15-CAPEX!J17)*0+Dep_Tax!J12*0*Dep_Tax!J24</x:f>
        <x:v>775.8019593942035</x:v>
      </x:c>
      <x:c r="K52" s="56" t="n">
        <x:f>Project_CF!K24-(CAPEX!K15-CAPEX!K17)*0+Dep_Tax!K12*0*Dep_Tax!K24</x:f>
        <x:v>789.1818152230591</x:v>
      </x:c>
      <x:c r="L52" s="56" t="n">
        <x:f>Project_CF!L24-(CAPEX!L15-CAPEX!L17)*0+Dep_Tax!L12*0*Dep_Tax!L24</x:f>
        <x:v>802.7967395353734</x:v>
      </x:c>
      <x:c r="M52" s="56" t="n">
        <x:f>Project_CF!M24-(CAPEX!M15-CAPEX!M17)*0+Dep_Tax!M12*0*Dep_Tax!M24</x:f>
        <x:v>816.6508494865653</x:v>
      </x:c>
      <x:c r="N52" s="56" t="n">
        <x:f>Project_CF!N24-(CAPEX!N15-CAPEX!N17)*0+Dep_Tax!N12*0*Dep_Tax!N24</x:f>
        <x:v>830.7483340826733</x:v>
      </x:c>
      <x:c r="O52" s="56" t="n">
        <x:f>Project_CF!O24-(CAPEX!O15-CAPEX!O17)*0+Dep_Tax!O12*0*Dep_Tax!O24</x:f>
        <x:v>845.093455428924</x:v>
      </x:c>
      <x:c r="P52" s="56" t="n">
        <x:f>Project_CF!P24-(CAPEX!P15-CAPEX!P17)*0+Dep_Tax!P12*0*Dep_Tax!P24</x:f>
        <x:v>859.6905499998855</x:v>
      </x:c>
      <x:c r="Q52" s="56" t="n">
        <x:f>Project_CF!Q24-(CAPEX!Q15-CAPEX!Q17)*0+Dep_Tax!Q12*0*Dep_Tax!Q24</x:f>
        <x:v>874.5440299315812</x:v>
      </x:c>
      <x:c r="R52" s="56" t="n">
        <x:f>Project_CF!R24-(CAPEX!R15-CAPEX!R17)*0+Dep_Tax!R12*0*Dep_Tax!R24</x:f>
        <x:v>859.9401667393054</x:v>
      </x:c>
      <x:c r="S52" s="56" t="n">
        <x:f>Project_CF!S24-(CAPEX!S15-CAPEX!S17)*0+Dep_Tax!S12*0*Dep_Tax!S24</x:f>
        <x:v>874.5105000780432</x:v>
      </x:c>
      <x:c r="T52" s="56" t="n">
        <x:f>Project_CF!T24-(CAPEX!T15-CAPEX!T17)*0+Dep_Tax!T12*0*Dep_Tax!T24</x:f>
        <x:v>826.6339897355074</x:v>
      </x:c>
      <x:c r="U52" s="56" t="n">
        <x:f>Project_CF!U24-(CAPEX!U15-CAPEX!U17)*0+Dep_Tax!U12*0*Dep_Tax!U24</x:f>
        <x:v>840.0442654823851</x:v>
      </x:c>
      <x:c r="V52" s="56" t="n">
        <x:f>Project_CF!V24-(CAPEX!V15-CAPEX!V17)*0+Dep_Tax!V12*0*Dep_Tax!V24</x:f>
        <x:v>853.6900172475414</x:v>
      </x:c>
      <x:c r="W52" s="56" t="n">
        <x:f>Project_CF!W24-(CAPEX!W15-CAPEX!W17)*0+Dep_Tax!W12*0*Dep_Tax!W24</x:f>
        <x:v>867.5753667295811</x:v>
      </x:c>
      <x:c r="X52" s="56" t="n">
        <x:f>Project_CF!X24-(CAPEX!X15-CAPEX!X17)*0+Dep_Tax!X12*0*Dep_Tax!X24</x:f>
        <x:v>881.704507503804</x:v>
      </x:c>
      <x:c r="Y52" s="56" t="n">
        <x:f>Project_CF!Y24-(CAPEX!Y15-CAPEX!Y17)*0+Dep_Tax!Y12*0*Dep_Tax!Y24</x:f>
        <x:v>0</x:v>
      </x:c>
      <x:c r="Z52" s="56" t="n">
        <x:f>Project_CF!Z24-(CAPEX!Z15-CAPEX!Z17)*0+Dep_Tax!Z12*0*Dep_Tax!Z24</x:f>
        <x:v>0</x:v>
      </x:c>
      <x:c r="AA52" s="56" t="n">
        <x:f>Project_CF!AA24-(CAPEX!AA15-CAPEX!AA17)*0+Dep_Tax!AA12*0*Dep_Tax!AA24</x:f>
        <x:v>0</x:v>
      </x:c>
      <x:c r="AB52" s="56" t="n">
        <x:f>Project_CF!AB24-(CAPEX!AB15-CAPEX!AB17)*0+Dep_Tax!AB12*0*Dep_Tax!AB24</x:f>
        <x:v>0</x:v>
      </x:c>
      <x:c r="AC52" s="56" t="n">
        <x:f>Project_CF!AC24-(CAPEX!AC15-CAPEX!AC17)*0+Dep_Tax!AC12*0*Dep_Tax!AC24</x:f>
        <x:v>0</x:v>
      </x:c>
      <x:c r="AD52" s="56" t="n">
        <x:f>Project_CF!AD24-(CAPEX!AD15-CAPEX!AD17)*0+Dep_Tax!AD12*0*Dep_Tax!AD24</x:f>
        <x:v>0</x:v>
      </x:c>
      <x:c r="AE52" s="56" t="n">
        <x:f>Project_CF!AE24-(CAPEX!AE15-CAPEX!AE17)*0+Dep_Tax!AE12*0*Dep_Tax!AE24</x:f>
        <x:v>0</x:v>
      </x:c>
      <x:c r="AF52" s="56" t="n">
        <x:f>Project_CF!AF24-(CAPEX!AF15-CAPEX!AF17)*0+Dep_Tax!AF12*0*Dep_Tax!AF24</x:f>
        <x:v>0</x:v>
      </x:c>
    </x:row>
    <x:row r="53">
      <x:c r="A53" s="41" t="s">
        <x:v>671</x:v>
      </x:c>
      <x:c r="B53" s="41" t="s">
        <x:v>660</x:v>
      </x:c>
      <x:c r="C53" s="56" t="n">
        <x:f>Project_CF!C24-(CAPEX!C15-CAPEX!C17)*0.05+Dep_Tax!C12*0.05*Dep_Tax!C24</x:f>
        <x:v>-2825.13</x:v>
      </x:c>
      <x:c r="D53" s="56" t="n">
        <x:f>Project_CF!D24-(CAPEX!D15-CAPEX!D17)*0.05+Dep_Tax!D12*0.05*Dep_Tax!D24</x:f>
        <x:v>-3980.8650000000002</x:v>
      </x:c>
      <x:c r="E53" s="56" t="n">
        <x:f>Project_CF!E24-(CAPEX!E15-CAPEX!E17)*0.05+Dep_Tax!E12*0.05*Dep_Tax!E24</x:f>
        <x:v>1117.917496</x:v>
      </x:c>
      <x:c r="F53" s="56" t="n">
        <x:f>Project_CF!F24-(CAPEX!F15-CAPEX!F17)*0.05+Dep_Tax!F12*0.05*Dep_Tax!F24</x:f>
        <x:v>745.5818020281602</x:v>
      </x:c>
      <x:c r="G53" s="56" t="n">
        <x:f>Project_CF!G24-(CAPEX!G15-CAPEX!G17)*0.05+Dep_Tax!G12*0.05*Dep_Tax!G24</x:f>
        <x:v>758.7179693525859</x:v>
      </x:c>
      <x:c r="H53" s="56" t="n">
        <x:f>Project_CF!H24-(CAPEX!H15-CAPEX!H17)*0.05+Dep_Tax!H12*0.05*Dep_Tax!H24</x:f>
        <x:v>772.0849726053582</x:v>
      </x:c>
      <x:c r="I53" s="56" t="n">
        <x:f>Project_CF!I24-(CAPEX!I15-CAPEX!I17)*0.05+Dep_Tax!I12*0.05*Dep_Tax!I24</x:f>
        <x:v>763.4656561416638</x:v>
      </x:c>
      <x:c r="J53" s="56" t="n">
        <x:f>Project_CF!J24-(CAPEX!J15-CAPEX!J17)*0.05+Dep_Tax!J12*0.05*Dep_Tax!J24</x:f>
        <x:v>776.6144900192036</x:v>
      </x:c>
      <x:c r="K53" s="56" t="n">
        <x:f>Project_CF!K24-(CAPEX!K15-CAPEX!K17)*0.05+Dep_Tax!K12*0.05*Dep_Tax!K24</x:f>
        <x:v>789.9943458480591</x:v>
      </x:c>
      <x:c r="L53" s="56" t="n">
        <x:f>Project_CF!L24-(CAPEX!L15-CAPEX!L17)*0.05+Dep_Tax!L12*0.05*Dep_Tax!L24</x:f>
        <x:v>803.6092701603734</x:v>
      </x:c>
      <x:c r="M53" s="56" t="n">
        <x:f>Project_CF!M24-(CAPEX!M15-CAPEX!M17)*0.05+Dep_Tax!M12*0.05*Dep_Tax!M24</x:f>
        <x:v>817.4633801115654</x:v>
      </x:c>
      <x:c r="N53" s="56" t="n">
        <x:f>Project_CF!N24-(CAPEX!N15-CAPEX!N17)*0.05+Dep_Tax!N12*0.05*Dep_Tax!N24</x:f>
        <x:v>831.5608647076733</x:v>
      </x:c>
      <x:c r="O53" s="56" t="n">
        <x:f>Project_CF!O24-(CAPEX!O15-CAPEX!O17)*0.05+Dep_Tax!O12*0.05*Dep_Tax!O24</x:f>
        <x:v>845.905986053924</x:v>
      </x:c>
      <x:c r="P53" s="56" t="n">
        <x:f>Project_CF!P24-(CAPEX!P15-CAPEX!P17)*0.05+Dep_Tax!P12*0.05*Dep_Tax!P24</x:f>
        <x:v>860.5030806248856</x:v>
      </x:c>
      <x:c r="Q53" s="56" t="n">
        <x:f>Project_CF!Q24-(CAPEX!Q15-CAPEX!Q17)*0.05+Dep_Tax!Q12*0.05*Dep_Tax!Q24</x:f>
        <x:v>875.3565605565813</x:v>
      </x:c>
      <x:c r="R53" s="56" t="n">
        <x:f>Project_CF!R24-(CAPEX!R15-CAPEX!R17)*0.05+Dep_Tax!R12*0.05*Dep_Tax!R24</x:f>
        <x:v>861.5652279893054</x:v>
      </x:c>
      <x:c r="S53" s="56" t="n">
        <x:f>Project_CF!S24-(CAPEX!S15-CAPEX!S17)*0.05+Dep_Tax!S12*0.05*Dep_Tax!S24</x:f>
        <x:v>876.1355613280432</x:v>
      </x:c>
      <x:c r="T53" s="56" t="n">
        <x:f>Project_CF!T24-(CAPEX!T15-CAPEX!T17)*0.05+Dep_Tax!T12*0.05*Dep_Tax!T24</x:f>
        <x:v>829.8841122355074</x:v>
      </x:c>
      <x:c r="U53" s="56" t="n">
        <x:f>Project_CF!U24-(CAPEX!U15-CAPEX!U17)*0.05+Dep_Tax!U12*0.05*Dep_Tax!U24</x:f>
        <x:v>843.294387982385</x:v>
      </x:c>
      <x:c r="V53" s="56" t="n">
        <x:f>Project_CF!V24-(CAPEX!V15-CAPEX!V17)*0.05+Dep_Tax!V12*0.05*Dep_Tax!V24</x:f>
        <x:v>856.9401397475414</x:v>
      </x:c>
      <x:c r="W53" s="56" t="n">
        <x:f>Project_CF!W24-(CAPEX!W15-CAPEX!W17)*0.05+Dep_Tax!W12*0.05*Dep_Tax!W24</x:f>
        <x:v>870.8254892295811</x:v>
      </x:c>
      <x:c r="X53" s="56" t="n">
        <x:f>Project_CF!X24-(CAPEX!X15-CAPEX!X17)*0.05+Dep_Tax!X12*0.05*Dep_Tax!X24</x:f>
        <x:v>884.954630003804</x:v>
      </x:c>
      <x:c r="Y53" s="56" t="n">
        <x:f>Project_CF!Y24-(CAPEX!Y15-CAPEX!Y17)*0.05+Dep_Tax!Y12*0.05*Dep_Tax!Y24</x:f>
        <x:v>0</x:v>
      </x:c>
      <x:c r="Z53" s="56" t="n">
        <x:f>Project_CF!Z24-(CAPEX!Z15-CAPEX!Z17)*0.05+Dep_Tax!Z12*0.05*Dep_Tax!Z24</x:f>
        <x:v>0</x:v>
      </x:c>
      <x:c r="AA53" s="56" t="n">
        <x:f>Project_CF!AA24-(CAPEX!AA15-CAPEX!AA17)*0.05+Dep_Tax!AA12*0.05*Dep_Tax!AA24</x:f>
        <x:v>0</x:v>
      </x:c>
      <x:c r="AB53" s="56" t="n">
        <x:f>Project_CF!AB24-(CAPEX!AB15-CAPEX!AB17)*0.05+Dep_Tax!AB12*0.05*Dep_Tax!AB24</x:f>
        <x:v>0</x:v>
      </x:c>
      <x:c r="AC53" s="56" t="n">
        <x:f>Project_CF!AC24-(CAPEX!AC15-CAPEX!AC17)*0.05+Dep_Tax!AC12*0.05*Dep_Tax!AC24</x:f>
        <x:v>0</x:v>
      </x:c>
      <x:c r="AD53" s="56" t="n">
        <x:f>Project_CF!AD24-(CAPEX!AD15-CAPEX!AD17)*0.05+Dep_Tax!AD12*0.05*Dep_Tax!AD24</x:f>
        <x:v>0</x:v>
      </x:c>
      <x:c r="AE53" s="56" t="n">
        <x:f>Project_CF!AE24-(CAPEX!AE15-CAPEX!AE17)*0.05+Dep_Tax!AE12*0.05*Dep_Tax!AE24</x:f>
        <x:v>0</x:v>
      </x:c>
      <x:c r="AF53" s="56" t="n">
        <x:f>Project_CF!AF24-(CAPEX!AF15-CAPEX!AF17)*0.05+Dep_Tax!AF12*0.05*Dep_Tax!AF24</x:f>
        <x:v>0</x:v>
      </x:c>
    </x:row>
    <x:row r="54">
      <x:c r="A54" s="41" t="s">
        <x:v>672</x:v>
      </x:c>
      <x:c r="B54" s="41" t="s">
        <x:v>662</x:v>
      </x:c>
      <x:c r="C54" s="56" t="n">
        <x:f>Project_CF!C24-(CAPEX!C15-CAPEX!C17)*0.1+Dep_Tax!C12*0.1*Dep_Tax!C24</x:f>
        <x:v>-2959.66</x:v>
      </x:c>
      <x:c r="D54" s="56" t="n">
        <x:f>Project_CF!D24-(CAPEX!D15-CAPEX!D17)*0.1+Dep_Tax!D12*0.1*Dep_Tax!D24</x:f>
        <x:v>-4170.43</x:v>
      </x:c>
      <x:c r="E54" s="56" t="n">
        <x:f>Project_CF!E24-(CAPEX!E15-CAPEX!E17)*0.1+Dep_Tax!E12*0.1*Dep_Tax!E24</x:f>
        <x:v>1136.262496</x:v>
      </x:c>
      <x:c r="F54" s="56" t="n">
        <x:f>Project_CF!F24-(CAPEX!F15-CAPEX!F17)*0.1+Dep_Tax!F12*0.1*Dep_Tax!F24</x:f>
        <x:v>745.5818020281602</x:v>
      </x:c>
      <x:c r="G54" s="56" t="n">
        <x:f>Project_CF!G24-(CAPEX!G15-CAPEX!G17)*0.1+Dep_Tax!G12*0.1*Dep_Tax!G24</x:f>
        <x:v>758.7179693525859</x:v>
      </x:c>
      <x:c r="H54" s="56" t="n">
        <x:f>Project_CF!H24-(CAPEX!H15-CAPEX!H17)*0.1+Dep_Tax!H12*0.1*Dep_Tax!H24</x:f>
        <x:v>772.0849726053582</x:v>
      </x:c>
      <x:c r="I54" s="56" t="n">
        <x:f>Project_CF!I24-(CAPEX!I15-CAPEX!I17)*0.1+Dep_Tax!I12*0.1*Dep_Tax!I24</x:f>
        <x:v>764.2781867666638</x:v>
      </x:c>
      <x:c r="J54" s="56" t="n">
        <x:f>Project_CF!J24-(CAPEX!J15-CAPEX!J17)*0.1+Dep_Tax!J12*0.1*Dep_Tax!J24</x:f>
        <x:v>777.4270206442036</x:v>
      </x:c>
      <x:c r="K54" s="56" t="n">
        <x:f>Project_CF!K24-(CAPEX!K15-CAPEX!K17)*0.1+Dep_Tax!K12*0.1*Dep_Tax!K24</x:f>
        <x:v>790.8068764730591</x:v>
      </x:c>
      <x:c r="L54" s="56" t="n">
        <x:f>Project_CF!L24-(CAPEX!L15-CAPEX!L17)*0.1+Dep_Tax!L12*0.1*Dep_Tax!L24</x:f>
        <x:v>804.4218007853734</x:v>
      </x:c>
      <x:c r="M54" s="56" t="n">
        <x:f>Project_CF!M24-(CAPEX!M15-CAPEX!M17)*0.1+Dep_Tax!M12*0.1*Dep_Tax!M24</x:f>
        <x:v>818.2759107365654</x:v>
      </x:c>
      <x:c r="N54" s="56" t="n">
        <x:f>Project_CF!N24-(CAPEX!N15-CAPEX!N17)*0.1+Dep_Tax!N12*0.1*Dep_Tax!N24</x:f>
        <x:v>832.3733953326733</x:v>
      </x:c>
      <x:c r="O54" s="56" t="n">
        <x:f>Project_CF!O24-(CAPEX!O15-CAPEX!O17)*0.1+Dep_Tax!O12*0.1*Dep_Tax!O24</x:f>
        <x:v>846.7185166789241</x:v>
      </x:c>
      <x:c r="P54" s="56" t="n">
        <x:f>Project_CF!P24-(CAPEX!P15-CAPEX!P17)*0.1+Dep_Tax!P12*0.1*Dep_Tax!P24</x:f>
        <x:v>861.3156112498856</x:v>
      </x:c>
      <x:c r="Q54" s="56" t="n">
        <x:f>Project_CF!Q24-(CAPEX!Q15-CAPEX!Q17)*0.1+Dep_Tax!Q12*0.1*Dep_Tax!Q24</x:f>
        <x:v>876.1690911815813</x:v>
      </x:c>
      <x:c r="R54" s="56" t="n">
        <x:f>Project_CF!R24-(CAPEX!R15-CAPEX!R17)*0.1+Dep_Tax!R12*0.1*Dep_Tax!R24</x:f>
        <x:v>863.1902892393053</x:v>
      </x:c>
      <x:c r="S54" s="56" t="n">
        <x:f>Project_CF!S24-(CAPEX!S15-CAPEX!S17)*0.1+Dep_Tax!S12*0.1*Dep_Tax!S24</x:f>
        <x:v>877.7606225780431</x:v>
      </x:c>
      <x:c r="T54" s="56" t="n">
        <x:f>Project_CF!T24-(CAPEX!T15-CAPEX!T17)*0.1+Dep_Tax!T12*0.1*Dep_Tax!T24</x:f>
        <x:v>833.1342347355073</x:v>
      </x:c>
      <x:c r="U54" s="56" t="n">
        <x:f>Project_CF!U24-(CAPEX!U15-CAPEX!U17)*0.1+Dep_Tax!U12*0.1*Dep_Tax!U24</x:f>
        <x:v>846.544510482385</x:v>
      </x:c>
      <x:c r="V54" s="56" t="n">
        <x:f>Project_CF!V24-(CAPEX!V15-CAPEX!V17)*0.1+Dep_Tax!V12*0.1*Dep_Tax!V24</x:f>
        <x:v>860.1902622475413</x:v>
      </x:c>
      <x:c r="W54" s="56" t="n">
        <x:f>Project_CF!W24-(CAPEX!W15-CAPEX!W17)*0.1+Dep_Tax!W12*0.1*Dep_Tax!W24</x:f>
        <x:v>874.075611729581</x:v>
      </x:c>
      <x:c r="X54" s="56" t="n">
        <x:f>Project_CF!X24-(CAPEX!X15-CAPEX!X17)*0.1+Dep_Tax!X12*0.1*Dep_Tax!X24</x:f>
        <x:v>888.204752503804</x:v>
      </x:c>
      <x:c r="Y54" s="56" t="n">
        <x:f>Project_CF!Y24-(CAPEX!Y15-CAPEX!Y17)*0.1+Dep_Tax!Y12*0.1*Dep_Tax!Y24</x:f>
        <x:v>0</x:v>
      </x:c>
      <x:c r="Z54" s="56" t="n">
        <x:f>Project_CF!Z24-(CAPEX!Z15-CAPEX!Z17)*0.1+Dep_Tax!Z12*0.1*Dep_Tax!Z24</x:f>
        <x:v>0</x:v>
      </x:c>
      <x:c r="AA54" s="56" t="n">
        <x:f>Project_CF!AA24-(CAPEX!AA15-CAPEX!AA17)*0.1+Dep_Tax!AA12*0.1*Dep_Tax!AA24</x:f>
        <x:v>0</x:v>
      </x:c>
      <x:c r="AB54" s="56" t="n">
        <x:f>Project_CF!AB24-(CAPEX!AB15-CAPEX!AB17)*0.1+Dep_Tax!AB12*0.1*Dep_Tax!AB24</x:f>
        <x:v>0</x:v>
      </x:c>
      <x:c r="AC54" s="56" t="n">
        <x:f>Project_CF!AC24-(CAPEX!AC15-CAPEX!AC17)*0.1+Dep_Tax!AC12*0.1*Dep_Tax!AC24</x:f>
        <x:v>0</x:v>
      </x:c>
      <x:c r="AD54" s="56" t="n">
        <x:f>Project_CF!AD24-(CAPEX!AD15-CAPEX!AD17)*0.1+Dep_Tax!AD12*0.1*Dep_Tax!AD24</x:f>
        <x:v>0</x:v>
      </x:c>
      <x:c r="AE54" s="56" t="n">
        <x:f>Project_CF!AE24-(CAPEX!AE15-CAPEX!AE17)*0.1+Dep_Tax!AE12*0.1*Dep_Tax!AE24</x:f>
        <x:v>0</x:v>
      </x:c>
      <x:c r="AF54" s="56" t="n">
        <x:f>Project_CF!AF24-(CAPEX!AF15-CAPEX!AF17)*0.1+Dep_Tax!AF12*0.1*Dep_Tax!AF24</x:f>
        <x:v>0</x:v>
      </x:c>
    </x:row>
    <x:row r="55">
      <x:c r="A55" s="41" t="s">
        <x:v>673</x:v>
      </x:c>
      <x:c r="B55" s="41" t="s">
        <x:v>654</x:v>
      </x:c>
      <x:c r="C55" s="56" t="n">
        <x:f>Project_CF!C24-(Energy_Revenue!C19*-0.0999999999999999)*(1-Dep_Tax!C24)</x:f>
        <x:v>-2690.6</x:v>
      </x:c>
      <x:c r="D55" s="56" t="n">
        <x:f>Project_CF!D24-(Energy_Revenue!D19*-0.0999999999999999)*(1-Dep_Tax!D24)</x:f>
        <x:v>-3791.3</x:v>
      </x:c>
      <x:c r="E55" s="56" t="n">
        <x:f>Project_CF!E24-(Energy_Revenue!E19*-0.0999999999999999)*(1-Dep_Tax!E24)</x:f>
        <x:v>1111.802496</x:v>
      </x:c>
      <x:c r="F55" s="56" t="n">
        <x:f>Project_CF!F24-(Energy_Revenue!F19*-0.0999999999999999)*(1-Dep_Tax!F24)</x:f>
        <x:v>758.0564020281602</x:v>
      </x:c>
      <x:c r="G55" s="56" t="n">
        <x:f>Project_CF!G24-(Energy_Revenue!G19*-0.0999999999999999)*(1-Dep_Tax!G24)</x:f>
        <x:v>771.4420613525859</x:v>
      </x:c>
      <x:c r="H55" s="56" t="n">
        <x:f>Project_CF!H24-(Energy_Revenue!H19*-0.0999999999999999)*(1-Dep_Tax!H24)</x:f>
        <x:v>785.0635464453582</x:v>
      </x:c>
      <x:c r="I55" s="56" t="n">
        <x:f>Project_CF!I24-(Energy_Revenue!I19*-0.0999999999999999)*(1-Dep_Tax!I24)</x:f>
        <x:v>775.2293635676237</x:v>
      </x:c>
      <x:c r="J55" s="56" t="n">
        <x:f>Project_CF!J24-(Energy_Revenue!J19*-0.0999999999999999)*(1-Dep_Tax!J24)</x:f>
        <x:v>788.6297222061827</x:v>
      </x:c>
      <x:c r="K55" s="56" t="n">
        <x:f>Project_CF!K24-(Energy_Revenue!K19*-0.0999999999999999)*(1-Dep_Tax!K24)</x:f>
        <x:v>802.2661332912778</x:v>
      </x:c>
      <x:c r="L55" s="56" t="n">
        <x:f>Project_CF!L24-(Energy_Revenue!L19*-0.0999999999999999)*(1-Dep_Tax!L24)</x:f>
        <x:v>816.1427439649565</x:v>
      </x:c>
      <x:c r="M55" s="56" t="n">
        <x:f>Project_CF!M24-(Energy_Revenue!M19*-0.0999999999999999)*(1-Dep_Tax!M24)</x:f>
        <x:v>830.2637740047402</x:v>
      </x:c>
      <x:c r="N55" s="56" t="n">
        <x:f>Project_CF!N24-(Energy_Revenue!N19*-0.0999999999999999)*(1-Dep_Tax!N24)</x:f>
        <x:v>844.6335170912116</x:v>
      </x:c>
      <x:c r="O55" s="56" t="n">
        <x:f>Project_CF!O24-(Energy_Revenue!O19*-0.0999999999999999)*(1-Dep_Tax!O24)</x:f>
        <x:v>859.2563420976331</x:v>
      </x:c>
      <x:c r="P55" s="56" t="n">
        <x:f>Project_CF!P24-(Energy_Revenue!P19*-0.0999999999999999)*(1-Dep_Tax!P24)</x:f>
        <x:v>874.1366944019688</x:v>
      </x:c>
      <x:c r="Q55" s="56" t="n">
        <x:f>Project_CF!Q24-(Energy_Revenue!Q19*-0.0999999999999999)*(1-Dep_Tax!Q24)</x:f>
        <x:v>889.2790972217061</x:v>
      </x:c>
      <x:c r="R55" s="56" t="n">
        <x:f>Project_CF!R24-(Energy_Revenue!R19*-0.0999999999999999)*(1-Dep_Tax!R24)</x:f>
        <x:v>874.1788949207103</x:v>
      </x:c>
      <x:c r="S55" s="56" t="n">
        <x:f>Project_CF!S24-(Energy_Revenue!S19*-0.0999999999999999)*(1-Dep_Tax!S24)</x:f>
        <x:v>889.0340028230762</x:v>
      </x:c>
      <x:c r="T55" s="56" t="n">
        <x:f>Project_CF!T24-(Energy_Revenue!T19*-0.0999999999999999)*(1-Dep_Tax!T24)</x:f>
        <x:v>839.8019655576707</x:v>
      </x:c>
      <x:c r="U55" s="56" t="n">
        <x:f>Project_CF!U24-(Energy_Revenue!U19*-0.0999999999999999)*(1-Dep_Tax!U24)</x:f>
        <x:v>853.4756008209916</x:v>
      </x:c>
      <x:c r="V55" s="56" t="n">
        <x:f>Project_CF!V24-(Energy_Revenue!V19*-0.0999999999999999)*(1-Dep_Tax!V24)</x:f>
        <x:v>867.3899792929201</x:v>
      </x:c>
      <x:c r="W55" s="56" t="n">
        <x:f>Project_CF!W24-(Energy_Revenue!W19*-0.0999999999999999)*(1-Dep_Tax!W24)</x:f>
        <x:v>881.5493280158673</x:v>
      </x:c>
      <x:c r="X55" s="56" t="n">
        <x:f>Project_CF!X24-(Energy_Revenue!X19*-0.0999999999999999)*(1-Dep_Tax!X24)</x:f>
        <x:v>895.957948015816</x:v>
      </x:c>
      <x:c r="Y55" s="56" t="n">
        <x:f>Project_CF!Y24-(Energy_Revenue!Y19*-0.0999999999999999)*(1-Dep_Tax!Y24)</x:f>
        <x:v>0</x:v>
      </x:c>
      <x:c r="Z55" s="56" t="n">
        <x:f>Project_CF!Z24-(Energy_Revenue!Z19*-0.0999999999999999)*(1-Dep_Tax!Z24)</x:f>
        <x:v>0</x:v>
      </x:c>
      <x:c r="AA55" s="56" t="n">
        <x:f>Project_CF!AA24-(Energy_Revenue!AA19*-0.0999999999999999)*(1-Dep_Tax!AA24)</x:f>
        <x:v>0</x:v>
      </x:c>
      <x:c r="AB55" s="56" t="n">
        <x:f>Project_CF!AB24-(Energy_Revenue!AB19*-0.0999999999999999)*(1-Dep_Tax!AB24)</x:f>
        <x:v>0</x:v>
      </x:c>
      <x:c r="AC55" s="56" t="n">
        <x:f>Project_CF!AC24-(Energy_Revenue!AC19*-0.0999999999999999)*(1-Dep_Tax!AC24)</x:f>
        <x:v>0</x:v>
      </x:c>
      <x:c r="AD55" s="56" t="n">
        <x:f>Project_CF!AD24-(Energy_Revenue!AD19*-0.0999999999999999)*(1-Dep_Tax!AD24)</x:f>
        <x:v>0</x:v>
      </x:c>
      <x:c r="AE55" s="56" t="n">
        <x:f>Project_CF!AE24-(Energy_Revenue!AE19*-0.0999999999999999)*(1-Dep_Tax!AE24)</x:f>
        <x:v>0</x:v>
      </x:c>
      <x:c r="AF55" s="56" t="n">
        <x:f>Project_CF!AF24-(Energy_Revenue!AF19*-0.0999999999999999)*(1-Dep_Tax!AF24)</x:f>
        <x:v>0</x:v>
      </x:c>
    </x:row>
    <x:row r="56">
      <x:c r="A56" s="41" t="s">
        <x:v>674</x:v>
      </x:c>
      <x:c r="B56" s="41" t="s">
        <x:v>656</x:v>
      </x:c>
      <x:c r="C56" s="56" t="n">
        <x:f>Project_CF!C24-(Energy_Revenue!C19*-0.05)*(1-Dep_Tax!C24)</x:f>
        <x:v>-2690.6</x:v>
      </x:c>
      <x:c r="D56" s="56" t="n">
        <x:f>Project_CF!D24-(Energy_Revenue!D19*-0.05)*(1-Dep_Tax!D24)</x:f>
        <x:v>-3791.3</x:v>
      </x:c>
      <x:c r="E56" s="56" t="n">
        <x:f>Project_CF!E24-(Energy_Revenue!E19*-0.05)*(1-Dep_Tax!E24)</x:f>
        <x:v>1105.687496</x:v>
      </x:c>
      <x:c r="F56" s="56" t="n">
        <x:f>Project_CF!F24-(Energy_Revenue!F19*-0.05)*(1-Dep_Tax!F24)</x:f>
        <x:v>751.8191020281602</x:v>
      </x:c>
      <x:c r="G56" s="56" t="n">
        <x:f>Project_CF!G24-(Energy_Revenue!G19*-0.05)*(1-Dep_Tax!G24)</x:f>
        <x:v>765.0800153525859</x:v>
      </x:c>
      <x:c r="H56" s="56" t="n">
        <x:f>Project_CF!H24-(Energy_Revenue!H19*-0.05)*(1-Dep_Tax!H24)</x:f>
        <x:v>778.5742595253582</x:v>
      </x:c>
      <x:c r="I56" s="56" t="n">
        <x:f>Project_CF!I24-(Energy_Revenue!I19*-0.05)*(1-Dep_Tax!I24)</x:f>
        <x:v>768.9412445421437</x:v>
      </x:c>
      <x:c r="J56" s="56" t="n">
        <x:f>Project_CF!J24-(Energy_Revenue!J19*-0.05)*(1-Dep_Tax!J24)</x:f>
        <x:v>782.2158408001932</x:v>
      </x:c>
      <x:c r="K56" s="56" t="n">
        <x:f>Project_CF!K24-(Energy_Revenue!K19*-0.05)*(1-Dep_Tax!K24)</x:f>
        <x:v>795.7239742571685</x:v>
      </x:c>
      <x:c r="L56" s="56" t="n">
        <x:f>Project_CF!L24-(Energy_Revenue!L19*-0.05)*(1-Dep_Tax!L24)</x:f>
        <x:v>809.469741750165</x:v>
      </x:c>
      <x:c r="M56" s="56" t="n">
        <x:f>Project_CF!M24-(Energy_Revenue!M19*-0.05)*(1-Dep_Tax!M24)</x:f>
        <x:v>823.4573117456528</x:v>
      </x:c>
      <x:c r="N56" s="56" t="n">
        <x:f>Project_CF!N24-(Energy_Revenue!N19*-0.05)*(1-Dep_Tax!N24)</x:f>
        <x:v>837.6909255869425</x:v>
      </x:c>
      <x:c r="O56" s="56" t="n">
        <x:f>Project_CF!O24-(Energy_Revenue!O19*-0.05)*(1-Dep_Tax!O24)</x:f>
        <x:v>852.1748987632785</x:v>
      </x:c>
      <x:c r="P56" s="56" t="n">
        <x:f>Project_CF!P24-(Energy_Revenue!P19*-0.05)*(1-Dep_Tax!P24)</x:f>
        <x:v>866.9136222009272</x:v>
      </x:c>
      <x:c r="Q56" s="56" t="n">
        <x:f>Project_CF!Q24-(Energy_Revenue!Q19*-0.05)*(1-Dep_Tax!Q24)</x:f>
        <x:v>881.9115635766437</x:v>
      </x:c>
      <x:c r="R56" s="56" t="n">
        <x:f>Project_CF!R24-(Energy_Revenue!R19*-0.05)*(1-Dep_Tax!R24)</x:f>
        <x:v>867.0595308300078</x:v>
      </x:c>
      <x:c r="S56" s="56" t="n">
        <x:f>Project_CF!S24-(Energy_Revenue!S19*-0.05)*(1-Dep_Tax!S24)</x:f>
        <x:v>881.7722514505597</x:v>
      </x:c>
      <x:c r="T56" s="56" t="n">
        <x:f>Project_CF!T24-(Energy_Revenue!T19*-0.05)*(1-Dep_Tax!T24)</x:f>
        <x:v>833.217977646589</x:v>
      </x:c>
      <x:c r="U56" s="56" t="n">
        <x:f>Project_CF!U24-(Energy_Revenue!U19*-0.05)*(1-Dep_Tax!U24)</x:f>
        <x:v>846.7599331516883</x:v>
      </x:c>
      <x:c r="V56" s="56" t="n">
        <x:f>Project_CF!V24-(Energy_Revenue!V19*-0.05)*(1-Dep_Tax!V24)</x:f>
        <x:v>860.5399982702307</x:v>
      </x:c>
      <x:c r="W56" s="56" t="n">
        <x:f>Project_CF!W24-(Energy_Revenue!W19*-0.05)*(1-Dep_Tax!W24)</x:f>
        <x:v>874.5623473727243</x:v>
      </x:c>
      <x:c r="X56" s="56" t="n">
        <x:f>Project_CF!X24-(Energy_Revenue!X19*-0.05)*(1-Dep_Tax!X24)</x:f>
        <x:v>888.8312277598101</x:v>
      </x:c>
      <x:c r="Y56" s="56" t="n">
        <x:f>Project_CF!Y24-(Energy_Revenue!Y19*-0.05)*(1-Dep_Tax!Y24)</x:f>
        <x:v>0</x:v>
      </x:c>
      <x:c r="Z56" s="56" t="n">
        <x:f>Project_CF!Z24-(Energy_Revenue!Z19*-0.05)*(1-Dep_Tax!Z24)</x:f>
        <x:v>0</x:v>
      </x:c>
      <x:c r="AA56" s="56" t="n">
        <x:f>Project_CF!AA24-(Energy_Revenue!AA19*-0.05)*(1-Dep_Tax!AA24)</x:f>
        <x:v>0</x:v>
      </x:c>
      <x:c r="AB56" s="56" t="n">
        <x:f>Project_CF!AB24-(Energy_Revenue!AB19*-0.05)*(1-Dep_Tax!AB24)</x:f>
        <x:v>0</x:v>
      </x:c>
      <x:c r="AC56" s="56" t="n">
        <x:f>Project_CF!AC24-(Energy_Revenue!AC19*-0.05)*(1-Dep_Tax!AC24)</x:f>
        <x:v>0</x:v>
      </x:c>
      <x:c r="AD56" s="56" t="n">
        <x:f>Project_CF!AD24-(Energy_Revenue!AD19*-0.05)*(1-Dep_Tax!AD24)</x:f>
        <x:v>0</x:v>
      </x:c>
      <x:c r="AE56" s="56" t="n">
        <x:f>Project_CF!AE24-(Energy_Revenue!AE19*-0.05)*(1-Dep_Tax!AE24)</x:f>
        <x:v>0</x:v>
      </x:c>
      <x:c r="AF56" s="56" t="n">
        <x:f>Project_CF!AF24-(Energy_Revenue!AF19*-0.05)*(1-Dep_Tax!AF24)</x:f>
        <x:v>0</x:v>
      </x:c>
    </x:row>
    <x:row r="57">
      <x:c r="A57" s="41" t="s">
        <x:v>675</x:v>
      </x:c>
      <x:c r="B57" s="41" t="s">
        <x:v>658</x:v>
      </x:c>
      <x:c r="C57" s="56" t="n">
        <x:f>Project_CF!C24-(Energy_Revenue!C19*0)*(1-Dep_Tax!C24)</x:f>
        <x:v>-2690.6</x:v>
      </x:c>
      <x:c r="D57" s="56" t="n">
        <x:f>Project_CF!D24-(Energy_Revenue!D19*0)*(1-Dep_Tax!D24)</x:f>
        <x:v>-3791.3</x:v>
      </x:c>
      <x:c r="E57" s="56" t="n">
        <x:f>Project_CF!E24-(Energy_Revenue!E19*0)*(1-Dep_Tax!E24)</x:f>
        <x:v>1099.572496</x:v>
      </x:c>
      <x:c r="F57" s="56" t="n">
        <x:f>Project_CF!F24-(Energy_Revenue!F19*0)*(1-Dep_Tax!F24)</x:f>
        <x:v>745.5818020281602</x:v>
      </x:c>
      <x:c r="G57" s="56" t="n">
        <x:f>Project_CF!G24-(Energy_Revenue!G19*0)*(1-Dep_Tax!G24)</x:f>
        <x:v>758.7179693525859</x:v>
      </x:c>
      <x:c r="H57" s="56" t="n">
        <x:f>Project_CF!H24-(Energy_Revenue!H19*0)*(1-Dep_Tax!H24)</x:f>
        <x:v>772.0849726053582</x:v>
      </x:c>
      <x:c r="I57" s="56" t="n">
        <x:f>Project_CF!I24-(Energy_Revenue!I19*0)*(1-Dep_Tax!I24)</x:f>
        <x:v>762.6531255166637</x:v>
      </x:c>
      <x:c r="J57" s="56" t="n">
        <x:f>Project_CF!J24-(Energy_Revenue!J19*0)*(1-Dep_Tax!J24)</x:f>
        <x:v>775.8019593942035</x:v>
      </x:c>
      <x:c r="K57" s="56" t="n">
        <x:f>Project_CF!K24-(Energy_Revenue!K19*0)*(1-Dep_Tax!K24)</x:f>
        <x:v>789.1818152230591</x:v>
      </x:c>
      <x:c r="L57" s="56" t="n">
        <x:f>Project_CF!L24-(Energy_Revenue!L19*0)*(1-Dep_Tax!L24)</x:f>
        <x:v>802.7967395353734</x:v>
      </x:c>
      <x:c r="M57" s="56" t="n">
        <x:f>Project_CF!M24-(Energy_Revenue!M19*0)*(1-Dep_Tax!M24)</x:f>
        <x:v>816.6508494865653</x:v>
      </x:c>
      <x:c r="N57" s="56" t="n">
        <x:f>Project_CF!N24-(Energy_Revenue!N19*0)*(1-Dep_Tax!N24)</x:f>
        <x:v>830.7483340826733</x:v>
      </x:c>
      <x:c r="O57" s="56" t="n">
        <x:f>Project_CF!O24-(Energy_Revenue!O19*0)*(1-Dep_Tax!O24)</x:f>
        <x:v>845.093455428924</x:v>
      </x:c>
      <x:c r="P57" s="56" t="n">
        <x:f>Project_CF!P24-(Energy_Revenue!P19*0)*(1-Dep_Tax!P24)</x:f>
        <x:v>859.6905499998855</x:v>
      </x:c>
      <x:c r="Q57" s="56" t="n">
        <x:f>Project_CF!Q24-(Energy_Revenue!Q19*0)*(1-Dep_Tax!Q24)</x:f>
        <x:v>874.5440299315812</x:v>
      </x:c>
      <x:c r="R57" s="56" t="n">
        <x:f>Project_CF!R24-(Energy_Revenue!R19*0)*(1-Dep_Tax!R24)</x:f>
        <x:v>859.9401667393054</x:v>
      </x:c>
      <x:c r="S57" s="56" t="n">
        <x:f>Project_CF!S24-(Energy_Revenue!S19*0)*(1-Dep_Tax!S24)</x:f>
        <x:v>874.5105000780432</x:v>
      </x:c>
      <x:c r="T57" s="56" t="n">
        <x:f>Project_CF!T24-(Energy_Revenue!T19*0)*(1-Dep_Tax!T24)</x:f>
        <x:v>826.6339897355074</x:v>
      </x:c>
      <x:c r="U57" s="56" t="n">
        <x:f>Project_CF!U24-(Energy_Revenue!U19*0)*(1-Dep_Tax!U24)</x:f>
        <x:v>840.0442654823851</x:v>
      </x:c>
      <x:c r="V57" s="56" t="n">
        <x:f>Project_CF!V24-(Energy_Revenue!V19*0)*(1-Dep_Tax!V24)</x:f>
        <x:v>853.6900172475414</x:v>
      </x:c>
      <x:c r="W57" s="56" t="n">
        <x:f>Project_CF!W24-(Energy_Revenue!W19*0)*(1-Dep_Tax!W24)</x:f>
        <x:v>867.5753667295811</x:v>
      </x:c>
      <x:c r="X57" s="56" t="n">
        <x:f>Project_CF!X24-(Energy_Revenue!X19*0)*(1-Dep_Tax!X24)</x:f>
        <x:v>881.704507503804</x:v>
      </x:c>
      <x:c r="Y57" s="56" t="n">
        <x:f>Project_CF!Y24-(Energy_Revenue!Y19*0)*(1-Dep_Tax!Y24)</x:f>
        <x:v>0</x:v>
      </x:c>
      <x:c r="Z57" s="56" t="n">
        <x:f>Project_CF!Z24-(Energy_Revenue!Z19*0)*(1-Dep_Tax!Z24)</x:f>
        <x:v>0</x:v>
      </x:c>
      <x:c r="AA57" s="56" t="n">
        <x:f>Project_CF!AA24-(Energy_Revenue!AA19*0)*(1-Dep_Tax!AA24)</x:f>
        <x:v>0</x:v>
      </x:c>
      <x:c r="AB57" s="56" t="n">
        <x:f>Project_CF!AB24-(Energy_Revenue!AB19*0)*(1-Dep_Tax!AB24)</x:f>
        <x:v>0</x:v>
      </x:c>
      <x:c r="AC57" s="56" t="n">
        <x:f>Project_CF!AC24-(Energy_Revenue!AC19*0)*(1-Dep_Tax!AC24)</x:f>
        <x:v>0</x:v>
      </x:c>
      <x:c r="AD57" s="56" t="n">
        <x:f>Project_CF!AD24-(Energy_Revenue!AD19*0)*(1-Dep_Tax!AD24)</x:f>
        <x:v>0</x:v>
      </x:c>
      <x:c r="AE57" s="56" t="n">
        <x:f>Project_CF!AE24-(Energy_Revenue!AE19*0)*(1-Dep_Tax!AE24)</x:f>
        <x:v>0</x:v>
      </x:c>
      <x:c r="AF57" s="56" t="n">
        <x:f>Project_CF!AF24-(Energy_Revenue!AF19*0)*(1-Dep_Tax!AF24)</x:f>
        <x:v>0</x:v>
      </x:c>
    </x:row>
    <x:row r="58">
      <x:c r="A58" s="41" t="s">
        <x:v>676</x:v>
      </x:c>
      <x:c r="B58" s="41" t="s">
        <x:v>660</x:v>
      </x:c>
      <x:c r="C58" s="56" t="n">
        <x:f>Project_CF!C24-(Energy_Revenue!C19*0.05)*(1-Dep_Tax!C24)</x:f>
        <x:v>-2690.6</x:v>
      </x:c>
      <x:c r="D58" s="56" t="n">
        <x:f>Project_CF!D24-(Energy_Revenue!D19*0.05)*(1-Dep_Tax!D24)</x:f>
        <x:v>-3791.3</x:v>
      </x:c>
      <x:c r="E58" s="56" t="n">
        <x:f>Project_CF!E24-(Energy_Revenue!E19*0.05)*(1-Dep_Tax!E24)</x:f>
        <x:v>1093.457496</x:v>
      </x:c>
      <x:c r="F58" s="56" t="n">
        <x:f>Project_CF!F24-(Energy_Revenue!F19*0.05)*(1-Dep_Tax!F24)</x:f>
        <x:v>739.3445020281602</x:v>
      </x:c>
      <x:c r="G58" s="56" t="n">
        <x:f>Project_CF!G24-(Energy_Revenue!G19*0.05)*(1-Dep_Tax!G24)</x:f>
        <x:v>752.3559233525859</x:v>
      </x:c>
      <x:c r="H58" s="56" t="n">
        <x:f>Project_CF!H24-(Energy_Revenue!H19*0.05)*(1-Dep_Tax!H24)</x:f>
        <x:v>765.5956856853581</x:v>
      </x:c>
      <x:c r="I58" s="56" t="n">
        <x:f>Project_CF!I24-(Energy_Revenue!I19*0.05)*(1-Dep_Tax!I24)</x:f>
        <x:v>756.3650064911837</x:v>
      </x:c>
      <x:c r="J58" s="56" t="n">
        <x:f>Project_CF!J24-(Energy_Revenue!J19*0.05)*(1-Dep_Tax!J24)</x:f>
        <x:v>769.3880779882139</x:v>
      </x:c>
      <x:c r="K58" s="56" t="n">
        <x:f>Project_CF!K24-(Energy_Revenue!K19*0.05)*(1-Dep_Tax!K24)</x:f>
        <x:v>782.6396561889496</x:v>
      </x:c>
      <x:c r="L58" s="56" t="n">
        <x:f>Project_CF!L24-(Energy_Revenue!L19*0.05)*(1-Dep_Tax!L24)</x:f>
        <x:v>796.1237373205818</x:v>
      </x:c>
      <x:c r="M58" s="56" t="n">
        <x:f>Project_CF!M24-(Energy_Revenue!M19*0.05)*(1-Dep_Tax!M24)</x:f>
        <x:v>809.8443872274779</x:v>
      </x:c>
      <x:c r="N58" s="56" t="n">
        <x:f>Project_CF!N24-(Energy_Revenue!N19*0.05)*(1-Dep_Tax!N24)</x:f>
        <x:v>823.8057425784041</x:v>
      </x:c>
      <x:c r="O58" s="56" t="n">
        <x:f>Project_CF!O24-(Energy_Revenue!O19*0.05)*(1-Dep_Tax!O24)</x:f>
        <x:v>838.0120120945695</x:v>
      </x:c>
      <x:c r="P58" s="56" t="n">
        <x:f>Project_CF!P24-(Energy_Revenue!P19*0.05)*(1-Dep_Tax!P24)</x:f>
        <x:v>852.4674777988439</x:v>
      </x:c>
      <x:c r="Q58" s="56" t="n">
        <x:f>Project_CF!Q24-(Energy_Revenue!Q19*0.05)*(1-Dep_Tax!Q24)</x:f>
        <x:v>867.1764962865187</x:v>
      </x:c>
      <x:c r="R58" s="56" t="n">
        <x:f>Project_CF!R24-(Energy_Revenue!R19*0.05)*(1-Dep_Tax!R24)</x:f>
        <x:v>852.8208026486029</x:v>
      </x:c>
      <x:c r="S58" s="56" t="n">
        <x:f>Project_CF!S24-(Energy_Revenue!S19*0.05)*(1-Dep_Tax!S24)</x:f>
        <x:v>867.2487487055266</x:v>
      </x:c>
      <x:c r="T58" s="56" t="n">
        <x:f>Project_CF!T24-(Energy_Revenue!T19*0.05)*(1-Dep_Tax!T24)</x:f>
        <x:v>820.0500018244257</x:v>
      </x:c>
      <x:c r="U58" s="56" t="n">
        <x:f>Project_CF!U24-(Energy_Revenue!U19*0.05)*(1-Dep_Tax!U24)</x:f>
        <x:v>833.3285978130818</x:v>
      </x:c>
      <x:c r="V58" s="56" t="n">
        <x:f>Project_CF!V24-(Energy_Revenue!V19*0.05)*(1-Dep_Tax!V24)</x:f>
        <x:v>846.840036224852</x:v>
      </x:c>
      <x:c r="W58" s="56" t="n">
        <x:f>Project_CF!W24-(Energy_Revenue!W19*0.05)*(1-Dep_Tax!W24)</x:f>
        <x:v>860.5883860864379</x:v>
      </x:c>
      <x:c r="X58" s="56" t="n">
        <x:f>Project_CF!X24-(Energy_Revenue!X19*0.05)*(1-Dep_Tax!X24)</x:f>
        <x:v>874.577787247798</x:v>
      </x:c>
      <x:c r="Y58" s="56" t="n">
        <x:f>Project_CF!Y24-(Energy_Revenue!Y19*0.05)*(1-Dep_Tax!Y24)</x:f>
        <x:v>0</x:v>
      </x:c>
      <x:c r="Z58" s="56" t="n">
        <x:f>Project_CF!Z24-(Energy_Revenue!Z19*0.05)*(1-Dep_Tax!Z24)</x:f>
        <x:v>0</x:v>
      </x:c>
      <x:c r="AA58" s="56" t="n">
        <x:f>Project_CF!AA24-(Energy_Revenue!AA19*0.05)*(1-Dep_Tax!AA24)</x:f>
        <x:v>0</x:v>
      </x:c>
      <x:c r="AB58" s="56" t="n">
        <x:f>Project_CF!AB24-(Energy_Revenue!AB19*0.05)*(1-Dep_Tax!AB24)</x:f>
        <x:v>0</x:v>
      </x:c>
      <x:c r="AC58" s="56" t="n">
        <x:f>Project_CF!AC24-(Energy_Revenue!AC19*0.05)*(1-Dep_Tax!AC24)</x:f>
        <x:v>0</x:v>
      </x:c>
      <x:c r="AD58" s="56" t="n">
        <x:f>Project_CF!AD24-(Energy_Revenue!AD19*0.05)*(1-Dep_Tax!AD24)</x:f>
        <x:v>0</x:v>
      </x:c>
      <x:c r="AE58" s="56" t="n">
        <x:f>Project_CF!AE24-(Energy_Revenue!AE19*0.05)*(1-Dep_Tax!AE24)</x:f>
        <x:v>0</x:v>
      </x:c>
      <x:c r="AF58" s="56" t="n">
        <x:f>Project_CF!AF24-(Energy_Revenue!AF19*0.05)*(1-Dep_Tax!AF24)</x:f>
        <x:v>0</x:v>
      </x:c>
    </x:row>
    <x:row r="59">
      <x:c r="A59" s="41" t="s">
        <x:v>677</x:v>
      </x:c>
      <x:c r="B59" s="41" t="s">
        <x:v>662</x:v>
      </x:c>
      <x:c r="C59" s="56" t="n">
        <x:f>Project_CF!C24-(Energy_Revenue!C19*0.1)*(1-Dep_Tax!C24)</x:f>
        <x:v>-2690.6</x:v>
      </x:c>
      <x:c r="D59" s="56" t="n">
        <x:f>Project_CF!D24-(Energy_Revenue!D19*0.1)*(1-Dep_Tax!D24)</x:f>
        <x:v>-3791.3</x:v>
      </x:c>
      <x:c r="E59" s="56" t="n">
        <x:f>Project_CF!E24-(Energy_Revenue!E19*0.1)*(1-Dep_Tax!E24)</x:f>
        <x:v>1087.342496</x:v>
      </x:c>
      <x:c r="F59" s="56" t="n">
        <x:f>Project_CF!F24-(Energy_Revenue!F19*0.1)*(1-Dep_Tax!F24)</x:f>
        <x:v>733.1072020281601</x:v>
      </x:c>
      <x:c r="G59" s="56" t="n">
        <x:f>Project_CF!G24-(Energy_Revenue!G19*0.1)*(1-Dep_Tax!G24)</x:f>
        <x:v>745.9938773525859</x:v>
      </x:c>
      <x:c r="H59" s="56" t="n">
        <x:f>Project_CF!H24-(Energy_Revenue!H19*0.1)*(1-Dep_Tax!H24)</x:f>
        <x:v>759.1063987653582</x:v>
      </x:c>
      <x:c r="I59" s="56" t="n">
        <x:f>Project_CF!I24-(Energy_Revenue!I19*0.1)*(1-Dep_Tax!I24)</x:f>
        <x:v>750.0768874657037</x:v>
      </x:c>
      <x:c r="J59" s="56" t="n">
        <x:f>Project_CF!J24-(Energy_Revenue!J19*0.1)*(1-Dep_Tax!J24)</x:f>
        <x:v>762.9741965822243</x:v>
      </x:c>
      <x:c r="K59" s="56" t="n">
        <x:f>Project_CF!K24-(Energy_Revenue!K19*0.1)*(1-Dep_Tax!K24)</x:f>
        <x:v>776.0974971548403</x:v>
      </x:c>
      <x:c r="L59" s="56" t="n">
        <x:f>Project_CF!L24-(Energy_Revenue!L19*0.1)*(1-Dep_Tax!L24)</x:f>
        <x:v>789.4507351057903</x:v>
      </x:c>
      <x:c r="M59" s="56" t="n">
        <x:f>Project_CF!M24-(Energy_Revenue!M19*0.1)*(1-Dep_Tax!M24)</x:f>
        <x:v>803.0379249683905</x:v>
      </x:c>
      <x:c r="N59" s="56" t="n">
        <x:f>Project_CF!N24-(Energy_Revenue!N19*0.1)*(1-Dep_Tax!N24)</x:f>
        <x:v>816.863151074135</x:v>
      </x:c>
      <x:c r="O59" s="56" t="n">
        <x:f>Project_CF!O24-(Energy_Revenue!O19*0.1)*(1-Dep_Tax!O24)</x:f>
        <x:v>830.9305687602149</x:v>
      </x:c>
      <x:c r="P59" s="56" t="n">
        <x:f>Project_CF!P24-(Energy_Revenue!P19*0.1)*(1-Dep_Tax!P24)</x:f>
        <x:v>845.2444055978023</x:v>
      </x:c>
      <x:c r="Q59" s="56" t="n">
        <x:f>Project_CF!Q24-(Energy_Revenue!Q19*0.1)*(1-Dep_Tax!Q24)</x:f>
        <x:v>859.8089626414563</x:v>
      </x:c>
      <x:c r="R59" s="56" t="n">
        <x:f>Project_CF!R24-(Energy_Revenue!R19*0.1)*(1-Dep_Tax!R24)</x:f>
        <x:v>845.7014385579005</x:v>
      </x:c>
      <x:c r="S59" s="56" t="n">
        <x:f>Project_CF!S24-(Energy_Revenue!S19*0.1)*(1-Dep_Tax!S24)</x:f>
        <x:v>859.9869973330101</x:v>
      </x:c>
      <x:c r="T59" s="56" t="n">
        <x:f>Project_CF!T24-(Energy_Revenue!T19*0.1)*(1-Dep_Tax!T24)</x:f>
        <x:v>813.4660139133441</x:v>
      </x:c>
      <x:c r="U59" s="56" t="n">
        <x:f>Project_CF!U24-(Energy_Revenue!U19*0.1)*(1-Dep_Tax!U24)</x:f>
        <x:v>826.6129301437785</x:v>
      </x:c>
      <x:c r="V59" s="56" t="n">
        <x:f>Project_CF!V24-(Energy_Revenue!V19*0.1)*(1-Dep_Tax!V24)</x:f>
        <x:v>839.9900552021627</x:v>
      </x:c>
      <x:c r="W59" s="56" t="n">
        <x:f>Project_CF!W24-(Energy_Revenue!W19*0.1)*(1-Dep_Tax!W24)</x:f>
        <x:v>853.6014054432949</x:v>
      </x:c>
      <x:c r="X59" s="56" t="n">
        <x:f>Project_CF!X24-(Energy_Revenue!X19*0.1)*(1-Dep_Tax!X24)</x:f>
        <x:v>867.4510669917921</x:v>
      </x:c>
      <x:c r="Y59" s="56" t="n">
        <x:f>Project_CF!Y24-(Energy_Revenue!Y19*0.1)*(1-Dep_Tax!Y24)</x:f>
        <x:v>0</x:v>
      </x:c>
      <x:c r="Z59" s="56" t="n">
        <x:f>Project_CF!Z24-(Energy_Revenue!Z19*0.1)*(1-Dep_Tax!Z24)</x:f>
        <x:v>0</x:v>
      </x:c>
      <x:c r="AA59" s="56" t="n">
        <x:f>Project_CF!AA24-(Energy_Revenue!AA19*0.1)*(1-Dep_Tax!AA24)</x:f>
        <x:v>0</x:v>
      </x:c>
      <x:c r="AB59" s="56" t="n">
        <x:f>Project_CF!AB24-(Energy_Revenue!AB19*0.1)*(1-Dep_Tax!AB24)</x:f>
        <x:v>0</x:v>
      </x:c>
      <x:c r="AC59" s="56" t="n">
        <x:f>Project_CF!AC24-(Energy_Revenue!AC19*0.1)*(1-Dep_Tax!AC24)</x:f>
        <x:v>0</x:v>
      </x:c>
      <x:c r="AD59" s="56" t="n">
        <x:f>Project_CF!AD24-(Energy_Revenue!AD19*0.1)*(1-Dep_Tax!AD24)</x:f>
        <x:v>0</x:v>
      </x:c>
      <x:c r="AE59" s="56" t="n">
        <x:f>Project_CF!AE24-(Energy_Revenue!AE19*0.1)*(1-Dep_Tax!AE24)</x:f>
        <x:v>0</x:v>
      </x:c>
      <x:c r="AF59" s="56" t="n">
        <x:f>Project_CF!AF24-(Energy_Revenue!AF19*0.1)*(1-Dep_Tax!AF24)</x:f>
        <x:v>0</x:v>
      </x:c>
    </x:row>
    <x:row r="60">
      <x:c r="A60" s="41" t="s">
        <x:v>678</x:v>
      </x:c>
      <x:c r="B60" s="41" t="s">
        <x:v>654</x:v>
      </x:c>
      <x:c r="C60" s="56" t="n">
        <x:f>Project_CF!C24</x:f>
        <x:v>-2690.6</x:v>
      </x:c>
      <x:c r="D60" s="56" t="n">
        <x:f>Project_CF!D24</x:f>
        <x:v>-3791.3</x:v>
      </x:c>
      <x:c r="E60" s="56" t="n">
        <x:f>Project_CF!E24</x:f>
        <x:v>1099.572496</x:v>
      </x:c>
      <x:c r="F60" s="56" t="n">
        <x:f>Project_CF!F24</x:f>
        <x:v>745.5818020281602</x:v>
      </x:c>
      <x:c r="G60" s="56" t="n">
        <x:f>Project_CF!G24</x:f>
        <x:v>758.7179693525859</x:v>
      </x:c>
      <x:c r="H60" s="56" t="n">
        <x:f>Project_CF!H24</x:f>
        <x:v>772.0849726053582</x:v>
      </x:c>
      <x:c r="I60" s="56" t="n">
        <x:f>Project_CF!I24</x:f>
        <x:v>762.6531255166637</x:v>
      </x:c>
      <x:c r="J60" s="56" t="n">
        <x:f>Project_CF!J24</x:f>
        <x:v>775.8019593942035</x:v>
      </x:c>
      <x:c r="K60" s="56" t="n">
        <x:f>Project_CF!K24</x:f>
        <x:v>789.1818152230591</x:v>
      </x:c>
      <x:c r="L60" s="56" t="n">
        <x:f>Project_CF!L24</x:f>
        <x:v>802.7967395353734</x:v>
      </x:c>
      <x:c r="M60" s="56" t="n">
        <x:f>Project_CF!M24</x:f>
        <x:v>816.6508494865653</x:v>
      </x:c>
      <x:c r="N60" s="56" t="n">
        <x:f>Project_CF!N24</x:f>
        <x:v>830.7483340826733</x:v>
      </x:c>
      <x:c r="O60" s="56" t="n">
        <x:f>Project_CF!O24</x:f>
        <x:v>845.093455428924</x:v>
      </x:c>
      <x:c r="P60" s="56" t="n">
        <x:f>Project_CF!P24</x:f>
        <x:v>859.6905499998855</x:v>
      </x:c>
      <x:c r="Q60" s="56" t="n">
        <x:f>Project_CF!Q24</x:f>
        <x:v>874.5440299315812</x:v>
      </x:c>
      <x:c r="R60" s="56" t="n">
        <x:f>Project_CF!R24</x:f>
        <x:v>859.9401667393054</x:v>
      </x:c>
      <x:c r="S60" s="56" t="n">
        <x:f>Project_CF!S24</x:f>
        <x:v>874.5105000780432</x:v>
      </x:c>
      <x:c r="T60" s="56" t="n">
        <x:f>Project_CF!T24</x:f>
        <x:v>826.6339897355074</x:v>
      </x:c>
      <x:c r="U60" s="56" t="n">
        <x:f>Project_CF!U24</x:f>
        <x:v>840.0442654823851</x:v>
      </x:c>
      <x:c r="V60" s="56" t="n">
        <x:f>Project_CF!V24</x:f>
        <x:v>853.6900172475414</x:v>
      </x:c>
      <x:c r="W60" s="56" t="n">
        <x:f>Project_CF!W24</x:f>
        <x:v>867.5753667295811</x:v>
      </x:c>
      <x:c r="X60" s="56" t="n">
        <x:f>Project_CF!X24</x:f>
        <x:v>881.704507503804</x:v>
      </x:c>
      <x:c r="Y60" s="56" t="n">
        <x:f>Project_CF!Y24</x:f>
        <x:v>0</x:v>
      </x:c>
      <x:c r="Z60" s="56" t="n">
        <x:f>Project_CF!Z24</x:f>
        <x:v>0</x:v>
      </x:c>
      <x:c r="AA60" s="56" t="n">
        <x:f>Project_CF!AA24</x:f>
        <x:v>0</x:v>
      </x:c>
      <x:c r="AB60" s="56" t="n">
        <x:f>Project_CF!AB24</x:f>
        <x:v>0</x:v>
      </x:c>
      <x:c r="AC60" s="56" t="n">
        <x:f>Project_CF!AC24</x:f>
        <x:v>0</x:v>
      </x:c>
      <x:c r="AD60" s="56" t="n">
        <x:f>Project_CF!AD24</x:f>
        <x:v>0</x:v>
      </x:c>
      <x:c r="AE60" s="56" t="n">
        <x:f>Project_CF!AE24</x:f>
        <x:v>0</x:v>
      </x:c>
      <x:c r="AF60" s="56" t="n">
        <x:f>Project_CF!AF24</x:f>
        <x:v>0</x:v>
      </x:c>
    </x:row>
    <x:row r="61">
      <x:c r="A61" s="41" t="s">
        <x:v>679</x:v>
      </x:c>
      <x:c r="B61" s="41" t="s">
        <x:v>656</x:v>
      </x:c>
      <x:c r="C61" s="56" t="n">
        <x:f>Project_CF!C24</x:f>
        <x:v>-2690.6</x:v>
      </x:c>
      <x:c r="D61" s="56" t="n">
        <x:f>Project_CF!D24</x:f>
        <x:v>-3791.3</x:v>
      </x:c>
      <x:c r="E61" s="56" t="n">
        <x:f>Project_CF!E24</x:f>
        <x:v>1099.572496</x:v>
      </x:c>
      <x:c r="F61" s="56" t="n">
        <x:f>Project_CF!F24</x:f>
        <x:v>745.5818020281602</x:v>
      </x:c>
      <x:c r="G61" s="56" t="n">
        <x:f>Project_CF!G24</x:f>
        <x:v>758.7179693525859</x:v>
      </x:c>
      <x:c r="H61" s="56" t="n">
        <x:f>Project_CF!H24</x:f>
        <x:v>772.0849726053582</x:v>
      </x:c>
      <x:c r="I61" s="56" t="n">
        <x:f>Project_CF!I24</x:f>
        <x:v>762.6531255166637</x:v>
      </x:c>
      <x:c r="J61" s="56" t="n">
        <x:f>Project_CF!J24</x:f>
        <x:v>775.8019593942035</x:v>
      </x:c>
      <x:c r="K61" s="56" t="n">
        <x:f>Project_CF!K24</x:f>
        <x:v>789.1818152230591</x:v>
      </x:c>
      <x:c r="L61" s="56" t="n">
        <x:f>Project_CF!L24</x:f>
        <x:v>802.7967395353734</x:v>
      </x:c>
      <x:c r="M61" s="56" t="n">
        <x:f>Project_CF!M24</x:f>
        <x:v>816.6508494865653</x:v>
      </x:c>
      <x:c r="N61" s="56" t="n">
        <x:f>Project_CF!N24</x:f>
        <x:v>830.7483340826733</x:v>
      </x:c>
      <x:c r="O61" s="56" t="n">
        <x:f>Project_CF!O24</x:f>
        <x:v>845.093455428924</x:v>
      </x:c>
      <x:c r="P61" s="56" t="n">
        <x:f>Project_CF!P24</x:f>
        <x:v>859.6905499998855</x:v>
      </x:c>
      <x:c r="Q61" s="56" t="n">
        <x:f>Project_CF!Q24</x:f>
        <x:v>874.5440299315812</x:v>
      </x:c>
      <x:c r="R61" s="56" t="n">
        <x:f>Project_CF!R24</x:f>
        <x:v>859.9401667393054</x:v>
      </x:c>
      <x:c r="S61" s="56" t="n">
        <x:f>Project_CF!S24</x:f>
        <x:v>874.5105000780432</x:v>
      </x:c>
      <x:c r="T61" s="56" t="n">
        <x:f>Project_CF!T24</x:f>
        <x:v>826.6339897355074</x:v>
      </x:c>
      <x:c r="U61" s="56" t="n">
        <x:f>Project_CF!U24</x:f>
        <x:v>840.0442654823851</x:v>
      </x:c>
      <x:c r="V61" s="56" t="n">
        <x:f>Project_CF!V24</x:f>
        <x:v>853.6900172475414</x:v>
      </x:c>
      <x:c r="W61" s="56" t="n">
        <x:f>Project_CF!W24</x:f>
        <x:v>867.5753667295811</x:v>
      </x:c>
      <x:c r="X61" s="56" t="n">
        <x:f>Project_CF!X24</x:f>
        <x:v>881.704507503804</x:v>
      </x:c>
      <x:c r="Y61" s="56" t="n">
        <x:f>Project_CF!Y24</x:f>
        <x:v>0</x:v>
      </x:c>
      <x:c r="Z61" s="56" t="n">
        <x:f>Project_CF!Z24</x:f>
        <x:v>0</x:v>
      </x:c>
      <x:c r="AA61" s="56" t="n">
        <x:f>Project_CF!AA24</x:f>
        <x:v>0</x:v>
      </x:c>
      <x:c r="AB61" s="56" t="n">
        <x:f>Project_CF!AB24</x:f>
        <x:v>0</x:v>
      </x:c>
      <x:c r="AC61" s="56" t="n">
        <x:f>Project_CF!AC24</x:f>
        <x:v>0</x:v>
      </x:c>
      <x:c r="AD61" s="56" t="n">
        <x:f>Project_CF!AD24</x:f>
        <x:v>0</x:v>
      </x:c>
      <x:c r="AE61" s="56" t="n">
        <x:f>Project_CF!AE24</x:f>
        <x:v>0</x:v>
      </x:c>
      <x:c r="AF61" s="56" t="n">
        <x:f>Project_CF!AF24</x:f>
        <x:v>0</x:v>
      </x:c>
    </x:row>
    <x:row r="62">
      <x:c r="A62" s="41" t="s">
        <x:v>680</x:v>
      </x:c>
      <x:c r="B62" s="41" t="s">
        <x:v>658</x:v>
      </x:c>
      <x:c r="C62" s="56" t="n">
        <x:f>Project_CF!C24</x:f>
        <x:v>-2690.6</x:v>
      </x:c>
      <x:c r="D62" s="56" t="n">
        <x:f>Project_CF!D24</x:f>
        <x:v>-3791.3</x:v>
      </x:c>
      <x:c r="E62" s="56" t="n">
        <x:f>Project_CF!E24</x:f>
        <x:v>1099.572496</x:v>
      </x:c>
      <x:c r="F62" s="56" t="n">
        <x:f>Project_CF!F24</x:f>
        <x:v>745.5818020281602</x:v>
      </x:c>
      <x:c r="G62" s="56" t="n">
        <x:f>Project_CF!G24</x:f>
        <x:v>758.7179693525859</x:v>
      </x:c>
      <x:c r="H62" s="56" t="n">
        <x:f>Project_CF!H24</x:f>
        <x:v>772.0849726053582</x:v>
      </x:c>
      <x:c r="I62" s="56" t="n">
        <x:f>Project_CF!I24</x:f>
        <x:v>762.6531255166637</x:v>
      </x:c>
      <x:c r="J62" s="56" t="n">
        <x:f>Project_CF!J24</x:f>
        <x:v>775.8019593942035</x:v>
      </x:c>
      <x:c r="K62" s="56" t="n">
        <x:f>Project_CF!K24</x:f>
        <x:v>789.1818152230591</x:v>
      </x:c>
      <x:c r="L62" s="56" t="n">
        <x:f>Project_CF!L24</x:f>
        <x:v>802.7967395353734</x:v>
      </x:c>
      <x:c r="M62" s="56" t="n">
        <x:f>Project_CF!M24</x:f>
        <x:v>816.6508494865653</x:v>
      </x:c>
      <x:c r="N62" s="56" t="n">
        <x:f>Project_CF!N24</x:f>
        <x:v>830.7483340826733</x:v>
      </x:c>
      <x:c r="O62" s="56" t="n">
        <x:f>Project_CF!O24</x:f>
        <x:v>845.093455428924</x:v>
      </x:c>
      <x:c r="P62" s="56" t="n">
        <x:f>Project_CF!P24</x:f>
        <x:v>859.6905499998855</x:v>
      </x:c>
      <x:c r="Q62" s="56" t="n">
        <x:f>Project_CF!Q24</x:f>
        <x:v>874.5440299315812</x:v>
      </x:c>
      <x:c r="R62" s="56" t="n">
        <x:f>Project_CF!R24</x:f>
        <x:v>859.9401667393054</x:v>
      </x:c>
      <x:c r="S62" s="56" t="n">
        <x:f>Project_CF!S24</x:f>
        <x:v>874.5105000780432</x:v>
      </x:c>
      <x:c r="T62" s="56" t="n">
        <x:f>Project_CF!T24</x:f>
        <x:v>826.6339897355074</x:v>
      </x:c>
      <x:c r="U62" s="56" t="n">
        <x:f>Project_CF!U24</x:f>
        <x:v>840.0442654823851</x:v>
      </x:c>
      <x:c r="V62" s="56" t="n">
        <x:f>Project_CF!V24</x:f>
        <x:v>853.6900172475414</x:v>
      </x:c>
      <x:c r="W62" s="56" t="n">
        <x:f>Project_CF!W24</x:f>
        <x:v>867.5753667295811</x:v>
      </x:c>
      <x:c r="X62" s="56" t="n">
        <x:f>Project_CF!X24</x:f>
        <x:v>881.704507503804</x:v>
      </x:c>
      <x:c r="Y62" s="56" t="n">
        <x:f>Project_CF!Y24</x:f>
        <x:v>0</x:v>
      </x:c>
      <x:c r="Z62" s="56" t="n">
        <x:f>Project_CF!Z24</x:f>
        <x:v>0</x:v>
      </x:c>
      <x:c r="AA62" s="56" t="n">
        <x:f>Project_CF!AA24</x:f>
        <x:v>0</x:v>
      </x:c>
      <x:c r="AB62" s="56" t="n">
        <x:f>Project_CF!AB24</x:f>
        <x:v>0</x:v>
      </x:c>
      <x:c r="AC62" s="56" t="n">
        <x:f>Project_CF!AC24</x:f>
        <x:v>0</x:v>
      </x:c>
      <x:c r="AD62" s="56" t="n">
        <x:f>Project_CF!AD24</x:f>
        <x:v>0</x:v>
      </x:c>
      <x:c r="AE62" s="56" t="n">
        <x:f>Project_CF!AE24</x:f>
        <x:v>0</x:v>
      </x:c>
      <x:c r="AF62" s="56" t="n">
        <x:f>Project_CF!AF24</x:f>
        <x:v>0</x:v>
      </x:c>
    </x:row>
    <x:row r="63">
      <x:c r="A63" s="41" t="s">
        <x:v>681</x:v>
      </x:c>
      <x:c r="B63" s="41" t="s">
        <x:v>660</x:v>
      </x:c>
      <x:c r="C63" s="56" t="n">
        <x:f>Project_CF!C24</x:f>
        <x:v>-2690.6</x:v>
      </x:c>
      <x:c r="D63" s="56" t="n">
        <x:f>Project_CF!D24</x:f>
        <x:v>-3791.3</x:v>
      </x:c>
      <x:c r="E63" s="56" t="n">
        <x:f>Project_CF!E24</x:f>
        <x:v>1099.572496</x:v>
      </x:c>
      <x:c r="F63" s="56" t="n">
        <x:f>Project_CF!F24</x:f>
        <x:v>745.5818020281602</x:v>
      </x:c>
      <x:c r="G63" s="56" t="n">
        <x:f>Project_CF!G24</x:f>
        <x:v>758.7179693525859</x:v>
      </x:c>
      <x:c r="H63" s="56" t="n">
        <x:f>Project_CF!H24</x:f>
        <x:v>772.0849726053582</x:v>
      </x:c>
      <x:c r="I63" s="56" t="n">
        <x:f>Project_CF!I24</x:f>
        <x:v>762.6531255166637</x:v>
      </x:c>
      <x:c r="J63" s="56" t="n">
        <x:f>Project_CF!J24</x:f>
        <x:v>775.8019593942035</x:v>
      </x:c>
      <x:c r="K63" s="56" t="n">
        <x:f>Project_CF!K24</x:f>
        <x:v>789.1818152230591</x:v>
      </x:c>
      <x:c r="L63" s="56" t="n">
        <x:f>Project_CF!L24</x:f>
        <x:v>802.7967395353734</x:v>
      </x:c>
      <x:c r="M63" s="56" t="n">
        <x:f>Project_CF!M24</x:f>
        <x:v>816.6508494865653</x:v>
      </x:c>
      <x:c r="N63" s="56" t="n">
        <x:f>Project_CF!N24</x:f>
        <x:v>830.7483340826733</x:v>
      </x:c>
      <x:c r="O63" s="56" t="n">
        <x:f>Project_CF!O24</x:f>
        <x:v>845.093455428924</x:v>
      </x:c>
      <x:c r="P63" s="56" t="n">
        <x:f>Project_CF!P24</x:f>
        <x:v>859.6905499998855</x:v>
      </x:c>
      <x:c r="Q63" s="56" t="n">
        <x:f>Project_CF!Q24</x:f>
        <x:v>874.5440299315812</x:v>
      </x:c>
      <x:c r="R63" s="56" t="n">
        <x:f>Project_CF!R24</x:f>
        <x:v>859.9401667393054</x:v>
      </x:c>
      <x:c r="S63" s="56" t="n">
        <x:f>Project_CF!S24</x:f>
        <x:v>874.5105000780432</x:v>
      </x:c>
      <x:c r="T63" s="56" t="n">
        <x:f>Project_CF!T24</x:f>
        <x:v>826.6339897355074</x:v>
      </x:c>
      <x:c r="U63" s="56" t="n">
        <x:f>Project_CF!U24</x:f>
        <x:v>840.0442654823851</x:v>
      </x:c>
      <x:c r="V63" s="56" t="n">
        <x:f>Project_CF!V24</x:f>
        <x:v>853.6900172475414</x:v>
      </x:c>
      <x:c r="W63" s="56" t="n">
        <x:f>Project_CF!W24</x:f>
        <x:v>867.5753667295811</x:v>
      </x:c>
      <x:c r="X63" s="56" t="n">
        <x:f>Project_CF!X24</x:f>
        <x:v>881.704507503804</x:v>
      </x:c>
      <x:c r="Y63" s="56" t="n">
        <x:f>Project_CF!Y24</x:f>
        <x:v>0</x:v>
      </x:c>
      <x:c r="Z63" s="56" t="n">
        <x:f>Project_CF!Z24</x:f>
        <x:v>0</x:v>
      </x:c>
      <x:c r="AA63" s="56" t="n">
        <x:f>Project_CF!AA24</x:f>
        <x:v>0</x:v>
      </x:c>
      <x:c r="AB63" s="56" t="n">
        <x:f>Project_CF!AB24</x:f>
        <x:v>0</x:v>
      </x:c>
      <x:c r="AC63" s="56" t="n">
        <x:f>Project_CF!AC24</x:f>
        <x:v>0</x:v>
      </x:c>
      <x:c r="AD63" s="56" t="n">
        <x:f>Project_CF!AD24</x:f>
        <x:v>0</x:v>
      </x:c>
      <x:c r="AE63" s="56" t="n">
        <x:f>Project_CF!AE24</x:f>
        <x:v>0</x:v>
      </x:c>
      <x:c r="AF63" s="56" t="n">
        <x:f>Project_CF!AF24</x:f>
        <x:v>0</x:v>
      </x:c>
    </x:row>
    <x:row r="64">
      <x:c r="A64" s="41" t="s">
        <x:v>682</x:v>
      </x:c>
      <x:c r="B64" s="41" t="s">
        <x:v>662</x:v>
      </x:c>
      <x:c r="C64" s="56" t="n">
        <x:f>Project_CF!C24</x:f>
        <x:v>-2690.6</x:v>
      </x:c>
      <x:c r="D64" s="56" t="n">
        <x:f>Project_CF!D24</x:f>
        <x:v>-3791.3</x:v>
      </x:c>
      <x:c r="E64" s="56" t="n">
        <x:f>Project_CF!E24</x:f>
        <x:v>1099.572496</x:v>
      </x:c>
      <x:c r="F64" s="56" t="n">
        <x:f>Project_CF!F24</x:f>
        <x:v>745.5818020281602</x:v>
      </x:c>
      <x:c r="G64" s="56" t="n">
        <x:f>Project_CF!G24</x:f>
        <x:v>758.7179693525859</x:v>
      </x:c>
      <x:c r="H64" s="56" t="n">
        <x:f>Project_CF!H24</x:f>
        <x:v>772.0849726053582</x:v>
      </x:c>
      <x:c r="I64" s="56" t="n">
        <x:f>Project_CF!I24</x:f>
        <x:v>762.6531255166637</x:v>
      </x:c>
      <x:c r="J64" s="56" t="n">
        <x:f>Project_CF!J24</x:f>
        <x:v>775.8019593942035</x:v>
      </x:c>
      <x:c r="K64" s="56" t="n">
        <x:f>Project_CF!K24</x:f>
        <x:v>789.1818152230591</x:v>
      </x:c>
      <x:c r="L64" s="56" t="n">
        <x:f>Project_CF!L24</x:f>
        <x:v>802.7967395353734</x:v>
      </x:c>
      <x:c r="M64" s="56" t="n">
        <x:f>Project_CF!M24</x:f>
        <x:v>816.6508494865653</x:v>
      </x:c>
      <x:c r="N64" s="56" t="n">
        <x:f>Project_CF!N24</x:f>
        <x:v>830.7483340826733</x:v>
      </x:c>
      <x:c r="O64" s="56" t="n">
        <x:f>Project_CF!O24</x:f>
        <x:v>845.093455428924</x:v>
      </x:c>
      <x:c r="P64" s="56" t="n">
        <x:f>Project_CF!P24</x:f>
        <x:v>859.6905499998855</x:v>
      </x:c>
      <x:c r="Q64" s="56" t="n">
        <x:f>Project_CF!Q24</x:f>
        <x:v>874.5440299315812</x:v>
      </x:c>
      <x:c r="R64" s="56" t="n">
        <x:f>Project_CF!R24</x:f>
        <x:v>859.9401667393054</x:v>
      </x:c>
      <x:c r="S64" s="56" t="n">
        <x:f>Project_CF!S24</x:f>
        <x:v>874.5105000780432</x:v>
      </x:c>
      <x:c r="T64" s="56" t="n">
        <x:f>Project_CF!T24</x:f>
        <x:v>826.6339897355074</x:v>
      </x:c>
      <x:c r="U64" s="56" t="n">
        <x:f>Project_CF!U24</x:f>
        <x:v>840.0442654823851</x:v>
      </x:c>
      <x:c r="V64" s="56" t="n">
        <x:f>Project_CF!V24</x:f>
        <x:v>853.6900172475414</x:v>
      </x:c>
      <x:c r="W64" s="56" t="n">
        <x:f>Project_CF!W24</x:f>
        <x:v>867.5753667295811</x:v>
      </x:c>
      <x:c r="X64" s="56" t="n">
        <x:f>Project_CF!X24</x:f>
        <x:v>881.704507503804</x:v>
      </x:c>
      <x:c r="Y64" s="56" t="n">
        <x:f>Project_CF!Y24</x:f>
        <x:v>0</x:v>
      </x:c>
      <x:c r="Z64" s="56" t="n">
        <x:f>Project_CF!Z24</x:f>
        <x:v>0</x:v>
      </x:c>
      <x:c r="AA64" s="56" t="n">
        <x:f>Project_CF!AA24</x:f>
        <x:v>0</x:v>
      </x:c>
      <x:c r="AB64" s="56" t="n">
        <x:f>Project_CF!AB24</x:f>
        <x:v>0</x:v>
      </x:c>
      <x:c r="AC64" s="56" t="n">
        <x:f>Project_CF!AC24</x:f>
        <x:v>0</x:v>
      </x:c>
      <x:c r="AD64" s="56" t="n">
        <x:f>Project_CF!AD24</x:f>
        <x:v>0</x:v>
      </x:c>
      <x:c r="AE64" s="56" t="n">
        <x:f>Project_CF!AE24</x:f>
        <x:v>0</x:v>
      </x:c>
      <x:c r="AF64" s="56" t="n">
        <x:f>Project_CF!AF24</x:f>
        <x:v>0</x:v>
      </x:c>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c r="AA65" s="41"/>
      <x:c r="AB65" s="41"/>
      <x:c r="AC65" s="41"/>
      <x:c r="AD65" s="41"/>
      <x:c r="AE65" s="41"/>
      <x:c r="AF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c r="AA66" s="41"/>
      <x:c r="AB66" s="41"/>
      <x:c r="AC66" s="41"/>
      <x:c r="AD66" s="41"/>
      <x:c r="AE66" s="41"/>
      <x:c r="AF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c r="AA67" s="41"/>
      <x:c r="AB67" s="41"/>
      <x:c r="AC67" s="41"/>
      <x:c r="AD67" s="41"/>
      <x:c r="AE67" s="41"/>
      <x:c r="AF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c r="AA68" s="41"/>
      <x:c r="AB68" s="41"/>
      <x:c r="AC68" s="41"/>
      <x:c r="AD68" s="41"/>
      <x:c r="AE68" s="41"/>
      <x:c r="AF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c r="AA69" s="41"/>
      <x:c r="AB69" s="41"/>
      <x:c r="AC69" s="41"/>
      <x:c r="AD69" s="41"/>
      <x:c r="AE69" s="41"/>
      <x:c r="AF69" s="41"/>
    </x:row>
    <x:row r="70">
      <x:c r="A70" s="41" t="s">
        <x:v>653</x:v>
      </x:c>
      <x:c r="B70" s="41" t="s">
        <x:v>683</x:v>
      </x:c>
      <x:c r="C70" s="56" t="n">
        <x:f>Equity_CF!C20+(Energy_Revenue!C14*-0.0999999999999999)*(1-Dep_Tax!C24)</x:f>
        <x:v>-1106.815</x:v>
      </x:c>
      <x:c r="D70" s="56" t="n">
        <x:f>Equity_CF!D20+(Energy_Revenue!D14*-0.0999999999999999)*(1-Dep_Tax!D24)</x:f>
        <x:v>-1522.6350000000004</x:v>
      </x:c>
      <x:c r="E70" s="56" t="n">
        <x:f>Equity_CF!E20+(Energy_Revenue!E14*-0.0999999999999999)*(1-Dep_Tax!E24)</x:f>
        <x:v>229.3169130666668</x:v>
      </x:c>
      <x:c r="F70" s="56" t="n">
        <x:f>Equity_CF!F20+(Energy_Revenue!F14*-0.0999999999999999)*(1-Dep_Tax!F24)</x:f>
        <x:v>-90.53847817465575</x:v>
      </x:c>
      <x:c r="G70" s="56" t="n">
        <x:f>Equity_CF!G20+(Energy_Revenue!G14*-0.0999999999999999)*(1-Dep_Tax!G24)</x:f>
        <x:v>-43.29458624933922</x:v>
      </x:c>
      <x:c r="H70" s="56" t="n">
        <x:f>Equity_CF!H20+(Energy_Revenue!H14*-0.0999999999999999)*(1-Dep_Tax!H24)</x:f>
        <x:v>4.1520681714891765</x:v>
      </x:c>
      <x:c r="I70" s="56" t="n">
        <x:f>Equity_CF!I20+(Energy_Revenue!I14*-0.0999999999999999)*(1-Dep_Tax!I24)</x:f>
        <x:v>47.62996949737085</x:v>
      </x:c>
      <x:c r="J70" s="56" t="n">
        <x:f>Equity_CF!J20+(Energy_Revenue!J14*-0.0999999999999999)*(1-Dep_Tax!J24)</x:f>
        <x:v>93.0996868928042</x:v>
      </x:c>
      <x:c r="K70" s="56" t="n">
        <x:f>Equity_CF!K20+(Energy_Revenue!K14*-0.0999999999999999)*(1-Dep_Tax!K24)</x:f>
        <x:v>138.77229354920115</x:v>
      </x:c>
      <x:c r="L70" s="56" t="n">
        <x:f>Equity_CF!L20+(Energy_Revenue!L14*-0.0999999999999999)*(1-Dep_Tax!L24)</x:f>
        <x:v>184.65133073558638</x:v>
      </x:c>
      <x:c r="M70" s="56" t="n">
        <x:f>Equity_CF!M20+(Energy_Revenue!M14*-0.0999999999999999)*(1-Dep_Tax!M24)</x:f>
        <x:v>230.74040126973415</x:v>
      </x:c>
      <x:c r="N70" s="56" t="n">
        <x:f>Equity_CF!N20+(Energy_Revenue!N14*-0.0999999999999999)*(1-Dep_Tax!N24)</x:f>
        <x:v>277.0431705825346</x:v>
      </x:c>
      <x:c r="O70" s="56" t="n">
        <x:f>Equity_CF!O20+(Energy_Revenue!O14*-0.0999999999999999)*(1-Dep_Tax!O24)</x:f>
        <x:v>323.56336780065607</x:v>
      </x:c>
      <x:c r="P70" s="56" t="n">
        <x:f>Equity_CF!P20+(Energy_Revenue!P14*-0.0999999999999999)*(1-Dep_Tax!P24)</x:f>
        <x:v>370.3047868478145</x:v>
      </x:c>
      <x:c r="Q70" s="56" t="n">
        <x:f>Equity_CF!Q20+(Energy_Revenue!Q14*-0.0999999999999999)*(1-Dep_Tax!Q24)</x:f>
        <x:v>773.9796208982983</x:v>
      </x:c>
      <x:c r="R70" s="56" t="n">
        <x:f>Equity_CF!R20+(Energy_Revenue!R14*-0.0999999999999999)*(1-Dep_Tax!R24)</x:f>
        <x:v>762.95754438397</x:v>
      </x:c>
      <x:c r="S70" s="56" t="n">
        <x:f>Equity_CF!S20+(Energy_Revenue!S14*-0.0999999999999999)*(1-Dep_Tax!S24)</x:f>
        <x:v>775.7860698252059</x:v>
      </x:c>
      <x:c r="T70" s="56" t="n">
        <x:f>Equity_CF!T20+(Energy_Revenue!T14*-0.0999999999999999)*(1-Dep_Tax!T24)</x:f>
        <x:v>737.3028599397935</x:v>
      </x:c>
      <x:c r="U70" s="56" t="n">
        <x:f>Equity_CF!U20+(Energy_Revenue!U14*-0.0999999999999999)*(1-Dep_Tax!U24)</x:f>
        <x:v>749.1087485955401</x:v>
      </x:c>
      <x:c r="V70" s="56" t="n">
        <x:f>Equity_CF!V20+(Energy_Revenue!V14*-0.0999999999999999)*(1-Dep_Tax!V24)</x:f>
        <x:v>761.1212984774087</x:v>
      </x:c>
      <x:c r="W70" s="56" t="n">
        <x:f>Equity_CF!W20+(Energy_Revenue!W14*-0.0999999999999999)*(1-Dep_Tax!W24)</x:f>
        <x:v>773.3441137703369</x:v>
      </x:c>
      <x:c r="X70" s="56" t="n">
        <x:f>Equity_CF!X20+(Energy_Revenue!X14*-0.0999999999999999)*(1-Dep_Tax!X24)</x:f>
        <x:v>785.7808612414118</x:v>
      </x:c>
      <x:c r="Y70" s="56" t="n">
        <x:f>Equity_CF!Y20+(Energy_Revenue!Y14*-0.0999999999999999)*(1-Dep_Tax!Y24)</x:f>
        <x:v>0</x:v>
      </x:c>
      <x:c r="Z70" s="56" t="n">
        <x:f>Equity_CF!Z20+(Energy_Revenue!Z14*-0.0999999999999999)*(1-Dep_Tax!Z24)</x:f>
        <x:v>0</x:v>
      </x:c>
      <x:c r="AA70" s="56" t="n">
        <x:f>Equity_CF!AA20+(Energy_Revenue!AA14*-0.0999999999999999)*(1-Dep_Tax!AA24)</x:f>
        <x:v>0</x:v>
      </x:c>
      <x:c r="AB70" s="56" t="n">
        <x:f>Equity_CF!AB20+(Energy_Revenue!AB14*-0.0999999999999999)*(1-Dep_Tax!AB24)</x:f>
        <x:v>0</x:v>
      </x:c>
      <x:c r="AC70" s="56" t="n">
        <x:f>Equity_CF!AC20+(Energy_Revenue!AC14*-0.0999999999999999)*(1-Dep_Tax!AC24)</x:f>
        <x:v>0</x:v>
      </x:c>
      <x:c r="AD70" s="56" t="n">
        <x:f>Equity_CF!AD20+(Energy_Revenue!AD14*-0.0999999999999999)*(1-Dep_Tax!AD24)</x:f>
        <x:v>0</x:v>
      </x:c>
      <x:c r="AE70" s="56" t="n">
        <x:f>Equity_CF!AE20+(Energy_Revenue!AE14*-0.0999999999999999)*(1-Dep_Tax!AE24)</x:f>
        <x:v>0</x:v>
      </x:c>
      <x:c r="AF70" s="56" t="n">
        <x:f>Equity_CF!AF20+(Energy_Revenue!AF14*-0.0999999999999999)*(1-Dep_Tax!AF24)</x:f>
        <x:v>0</x:v>
      </x:c>
    </x:row>
    <x:row r="71">
      <x:c r="A71" s="41" t="s">
        <x:v>655</x:v>
      </x:c>
      <x:c r="B71" s="41" t="s">
        <x:v>684</x:v>
      </x:c>
      <x:c r="C71" s="56" t="n">
        <x:f>Equity_CF!C20+(Energy_Revenue!C14*-0.05)*(1-Dep_Tax!C24)</x:f>
        <x:v>-1106.815</x:v>
      </x:c>
      <x:c r="D71" s="56" t="n">
        <x:f>Equity_CF!D20+(Energy_Revenue!D14*-0.05)*(1-Dep_Tax!D24)</x:f>
        <x:v>-1522.6350000000004</x:v>
      </x:c>
      <x:c r="E71" s="56" t="n">
        <x:f>Equity_CF!E20+(Energy_Revenue!E14*-0.05)*(1-Dep_Tax!E24)</x:f>
        <x:v>272.0655378666667</x:v>
      </x:c>
      <x:c r="F71" s="56" t="n">
        <x:f>Equity_CF!F20+(Energy_Revenue!F14*-0.05)*(1-Dep_Tax!F24)</x:f>
        <x:v>-47.02208807324783</x:v>
      </x:c>
      <x:c r="G71" s="56" t="n">
        <x:f>Equity_CF!G20+(Energy_Revenue!G14*-0.05)*(1-Dep_Tax!G24)</x:f>
        <x:v>1.003358218289975</x:v>
      </x:c>
      <x:c r="H71" s="56" t="n">
        <x:f>Equity_CF!H20+(Energy_Revenue!H14*-0.05)*(1-Dep_Tax!H24)</x:f>
        <x:v>49.24560372175699</x:v>
      </x:c>
      <x:c r="I71" s="56" t="n">
        <x:f>Equity_CF!I20+(Energy_Revenue!I14*-0.05)*(1-Dep_Tax!I24)</x:f>
        <x:v>91.23821417368394</x:v>
      </x:c>
      <x:c r="J71" s="56" t="n">
        <x:f>Equity_CF!J20+(Energy_Revenue!J14*-0.05)*(1-Dep_Tax!J24)</x:f>
        <x:v>137.49113564350387</x:v>
      </x:c>
      <x:c r="K71" s="56" t="n">
        <x:f>Equity_CF!K20+(Energy_Revenue!K14*-0.05)*(1-Dep_Tax!K24)</x:f>
        <x:v>183.9610127194634</x:v>
      </x:c>
      <x:c r="L71" s="56" t="n">
        <x:f>Equity_CF!L20+(Energy_Revenue!L14*-0.05)*(1-Dep_Tax!L24)</x:f>
        <x:v>230.65163930214652</x:v>
      </x:c>
      <x:c r="M71" s="56" t="n">
        <x:f>Equity_CF!M20+(Energy_Revenue!M14*-0.05)*(1-Dep_Tax!M24)</x:f>
        <x:v>277.56687537814975</x:v>
      </x:c>
      <x:c r="N71" s="56" t="n">
        <x:f>Equity_CF!N20+(Energy_Revenue!N14*-0.05)*(1-Dep_Tax!N24)</x:f>
        <x:v>324.71064816593724</x:v>
      </x:c>
      <x:c r="O71" s="56" t="n">
        <x:f>Equity_CF!O20+(Energy_Revenue!O14*-0.05)*(1-Dep_Tax!O24)</x:f>
        <x:v>372.08695328145666</x:v>
      </x:c>
      <x:c r="P71" s="56" t="n">
        <x:f>Equity_CF!P20+(Energy_Revenue!P14*-0.05)*(1-Dep_Tax!P24)</x:f>
        <x:v>419.6998559238503</x:v>
      </x:c>
      <x:c r="Q71" s="56" t="n">
        <x:f>Equity_CF!Q20+(Energy_Revenue!Q14*-0.05)*(1-Dep_Tax!Q24)</x:f>
        <x:v>824.2618254149397</x:v>
      </x:c>
      <x:c r="R71" s="56" t="n">
        <x:f>Equity_CF!R20+(Energy_Revenue!R14*-0.05)*(1-Dep_Tax!R24)</x:f>
        <x:v>811.4488555616376</x:v>
      </x:c>
      <x:c r="S71" s="56" t="n">
        <x:f>Equity_CF!S20+(Energy_Revenue!S14*-0.05)*(1-Dep_Tax!S24)</x:f>
        <x:v>825.1482849516244</x:v>
      </x:c>
      <x:c r="T71" s="56" t="n">
        <x:f>Equity_CF!T20+(Energy_Revenue!T14*-0.05)*(1-Dep_Tax!T24)</x:f>
        <x:v>781.9684248376503</x:v>
      </x:c>
      <x:c r="U71" s="56" t="n">
        <x:f>Equity_CF!U20+(Energy_Revenue!U14*-0.05)*(1-Dep_Tax!U24)</x:f>
        <x:v>794.5765070389625</x:v>
      </x:c>
      <x:c r="V71" s="56" t="n">
        <x:f>Equity_CF!V20+(Energy_Revenue!V14*-0.05)*(1-Dep_Tax!V24)</x:f>
        <x:v>807.405657862475</x:v>
      </x:c>
      <x:c r="W71" s="56" t="n">
        <x:f>Equity_CF!W20+(Energy_Revenue!W14*-0.05)*(1-Dep_Tax!W24)</x:f>
        <x:v>820.4597402499589</x:v>
      </x:c>
      <x:c r="X71" s="56" t="n">
        <x:f>Equity_CF!X20+(Energy_Revenue!X14*-0.05)*(1-Dep_Tax!X24)</x:f>
        <x:v>833.7426843726079</x:v>
      </x:c>
      <x:c r="Y71" s="56" t="n">
        <x:f>Equity_CF!Y20+(Energy_Revenue!Y14*-0.05)*(1-Dep_Tax!Y24)</x:f>
        <x:v>0</x:v>
      </x:c>
      <x:c r="Z71" s="56" t="n">
        <x:f>Equity_CF!Z20+(Energy_Revenue!Z14*-0.05)*(1-Dep_Tax!Z24)</x:f>
        <x:v>0</x:v>
      </x:c>
      <x:c r="AA71" s="56" t="n">
        <x:f>Equity_CF!AA20+(Energy_Revenue!AA14*-0.05)*(1-Dep_Tax!AA24)</x:f>
        <x:v>0</x:v>
      </x:c>
      <x:c r="AB71" s="56" t="n">
        <x:f>Equity_CF!AB20+(Energy_Revenue!AB14*-0.05)*(1-Dep_Tax!AB24)</x:f>
        <x:v>0</x:v>
      </x:c>
      <x:c r="AC71" s="56" t="n">
        <x:f>Equity_CF!AC20+(Energy_Revenue!AC14*-0.05)*(1-Dep_Tax!AC24)</x:f>
        <x:v>0</x:v>
      </x:c>
      <x:c r="AD71" s="56" t="n">
        <x:f>Equity_CF!AD20+(Energy_Revenue!AD14*-0.05)*(1-Dep_Tax!AD24)</x:f>
        <x:v>0</x:v>
      </x:c>
      <x:c r="AE71" s="56" t="n">
        <x:f>Equity_CF!AE20+(Energy_Revenue!AE14*-0.05)*(1-Dep_Tax!AE24)</x:f>
        <x:v>0</x:v>
      </x:c>
      <x:c r="AF71" s="56" t="n">
        <x:f>Equity_CF!AF20+(Energy_Revenue!AF14*-0.05)*(1-Dep_Tax!AF24)</x:f>
        <x:v>0</x:v>
      </x:c>
    </x:row>
    <x:row r="72">
      <x:c r="A72" s="41" t="s">
        <x:v>657</x:v>
      </x:c>
      <x:c r="B72" s="41" t="s">
        <x:v>685</x:v>
      </x:c>
      <x:c r="C72" s="56" t="n">
        <x:f>Equity_CF!C20+(Energy_Revenue!C14*0)*(1-Dep_Tax!C24)</x:f>
        <x:v>-1106.815</x:v>
      </x:c>
      <x:c r="D72" s="56" t="n">
        <x:f>Equity_CF!D20+(Energy_Revenue!D14*0)*(1-Dep_Tax!D24)</x:f>
        <x:v>-1522.6350000000004</x:v>
      </x:c>
      <x:c r="E72" s="56" t="n">
        <x:f>Equity_CF!E20+(Energy_Revenue!E14*0)*(1-Dep_Tax!E24)</x:f>
        <x:v>314.81416266666673</x:v>
      </x:c>
      <x:c r="F72" s="56" t="n">
        <x:f>Equity_CF!F20+(Energy_Revenue!F14*0)*(1-Dep_Tax!F24)</x:f>
        <x:v>-3.5056979718398225</x:v>
      </x:c>
      <x:c r="G72" s="56" t="n">
        <x:f>Equity_CF!G20+(Energy_Revenue!G14*0)*(1-Dep_Tax!G24)</x:f>
        <x:v>45.30130268591927</x:v>
      </x:c>
      <x:c r="H72" s="56" t="n">
        <x:f>Equity_CF!H20+(Energy_Revenue!H14*0)*(1-Dep_Tax!H24)</x:f>
        <x:v>94.33913927202491</x:v>
      </x:c>
      <x:c r="I72" s="56" t="n">
        <x:f>Equity_CF!I20+(Energy_Revenue!I14*0)*(1-Dep_Tax!I24)</x:f>
        <x:v>134.84645884999713</x:v>
      </x:c>
      <x:c r="J72" s="56" t="n">
        <x:f>Equity_CF!J20+(Energy_Revenue!J14*0)*(1-Dep_Tax!J24)</x:f>
        <x:v>181.88258439420366</x:v>
      </x:c>
      <x:c r="K72" s="56" t="n">
        <x:f>Equity_CF!K20+(Energy_Revenue!K14*0)*(1-Dep_Tax!K24)</x:f>
        <x:v>229.14973188972576</x:v>
      </x:c>
      <x:c r="L72" s="56" t="n">
        <x:f>Equity_CF!L20+(Energy_Revenue!L14*0)*(1-Dep_Tax!L24)</x:f>
        <x:v>276.65194786870677</x:v>
      </x:c>
      <x:c r="M72" s="56" t="n">
        <x:f>Equity_CF!M20+(Energy_Revenue!M14*0)*(1-Dep_Tax!M24)</x:f>
        <x:v>324.3933494865654</x:v>
      </x:c>
      <x:c r="N72" s="56" t="n">
        <x:f>Equity_CF!N20+(Energy_Revenue!N14*0)*(1-Dep_Tax!N24)</x:f>
        <x:v>372.3781257493401</x:v>
      </x:c>
      <x:c r="O72" s="56" t="n">
        <x:f>Equity_CF!O20+(Energy_Revenue!O14*0)*(1-Dep_Tax!O24)</x:f>
        <x:v>420.6105387622574</x:v>
      </x:c>
      <x:c r="P72" s="56" t="n">
        <x:f>Equity_CF!P20+(Energy_Revenue!P14*0)*(1-Dep_Tax!P24)</x:f>
        <x:v>469.0949249998862</x:v>
      </x:c>
      <x:c r="Q72" s="56" t="n">
        <x:f>Equity_CF!Q20+(Energy_Revenue!Q14*0)*(1-Dep_Tax!Q24)</x:f>
        <x:v>874.5440299315812</x:v>
      </x:c>
      <x:c r="R72" s="56" t="n">
        <x:f>Equity_CF!R20+(Energy_Revenue!R14*0)*(1-Dep_Tax!R24)</x:f>
        <x:v>859.9401667393054</x:v>
      </x:c>
      <x:c r="S72" s="56" t="n">
        <x:f>Equity_CF!S20+(Energy_Revenue!S14*0)*(1-Dep_Tax!S24)</x:f>
        <x:v>874.5105000780432</x:v>
      </x:c>
      <x:c r="T72" s="56" t="n">
        <x:f>Equity_CF!T20+(Energy_Revenue!T14*0)*(1-Dep_Tax!T24)</x:f>
        <x:v>826.6339897355074</x:v>
      </x:c>
      <x:c r="U72" s="56" t="n">
        <x:f>Equity_CF!U20+(Energy_Revenue!U14*0)*(1-Dep_Tax!U24)</x:f>
        <x:v>840.0442654823851</x:v>
      </x:c>
      <x:c r="V72" s="56" t="n">
        <x:f>Equity_CF!V20+(Energy_Revenue!V14*0)*(1-Dep_Tax!V24)</x:f>
        <x:v>853.6900172475414</x:v>
      </x:c>
      <x:c r="W72" s="56" t="n">
        <x:f>Equity_CF!W20+(Energy_Revenue!W14*0)*(1-Dep_Tax!W24)</x:f>
        <x:v>867.5753667295811</x:v>
      </x:c>
      <x:c r="X72" s="56" t="n">
        <x:f>Equity_CF!X20+(Energy_Revenue!X14*0)*(1-Dep_Tax!X24)</x:f>
        <x:v>881.704507503804</x:v>
      </x:c>
      <x:c r="Y72" s="56" t="n">
        <x:f>Equity_CF!Y20+(Energy_Revenue!Y14*0)*(1-Dep_Tax!Y24)</x:f>
        <x:v>0</x:v>
      </x:c>
      <x:c r="Z72" s="56" t="n">
        <x:f>Equity_CF!Z20+(Energy_Revenue!Z14*0)*(1-Dep_Tax!Z24)</x:f>
        <x:v>0</x:v>
      </x:c>
      <x:c r="AA72" s="56" t="n">
        <x:f>Equity_CF!AA20+(Energy_Revenue!AA14*0)*(1-Dep_Tax!AA24)</x:f>
        <x:v>0</x:v>
      </x:c>
      <x:c r="AB72" s="56" t="n">
        <x:f>Equity_CF!AB20+(Energy_Revenue!AB14*0)*(1-Dep_Tax!AB24)</x:f>
        <x:v>0</x:v>
      </x:c>
      <x:c r="AC72" s="56" t="n">
        <x:f>Equity_CF!AC20+(Energy_Revenue!AC14*0)*(1-Dep_Tax!AC24)</x:f>
        <x:v>0</x:v>
      </x:c>
      <x:c r="AD72" s="56" t="n">
        <x:f>Equity_CF!AD20+(Energy_Revenue!AD14*0)*(1-Dep_Tax!AD24)</x:f>
        <x:v>0</x:v>
      </x:c>
      <x:c r="AE72" s="56" t="n">
        <x:f>Equity_CF!AE20+(Energy_Revenue!AE14*0)*(1-Dep_Tax!AE24)</x:f>
        <x:v>0</x:v>
      </x:c>
      <x:c r="AF72" s="56" t="n">
        <x:f>Equity_CF!AF20+(Energy_Revenue!AF14*0)*(1-Dep_Tax!AF24)</x:f>
        <x:v>0</x:v>
      </x:c>
    </x:row>
    <x:row r="73">
      <x:c r="A73" s="41" t="s">
        <x:v>659</x:v>
      </x:c>
      <x:c r="B73" s="41" t="s">
        <x:v>686</x:v>
      </x:c>
      <x:c r="C73" s="56" t="n">
        <x:f>Equity_CF!C20+(Energy_Revenue!C14*0.05)*(1-Dep_Tax!C24)</x:f>
        <x:v>-1106.815</x:v>
      </x:c>
      <x:c r="D73" s="56" t="n">
        <x:f>Equity_CF!D20+(Energy_Revenue!D14*0.05)*(1-Dep_Tax!D24)</x:f>
        <x:v>-1522.6350000000004</x:v>
      </x:c>
      <x:c r="E73" s="56" t="n">
        <x:f>Equity_CF!E20+(Energy_Revenue!E14*0.05)*(1-Dep_Tax!E24)</x:f>
        <x:v>357.56278746666675</x:v>
      </x:c>
      <x:c r="F73" s="56" t="n">
        <x:f>Equity_CF!F20+(Energy_Revenue!F14*0.05)*(1-Dep_Tax!F24)</x:f>
        <x:v>40.010692129568184</x:v>
      </x:c>
      <x:c r="G73" s="56" t="n">
        <x:f>Equity_CF!G20+(Energy_Revenue!G14*0.05)*(1-Dep_Tax!G24)</x:f>
        <x:v>89.59924715354856</x:v>
      </x:c>
      <x:c r="H73" s="56" t="n">
        <x:f>Equity_CF!H20+(Energy_Revenue!H14*0.05)*(1-Dep_Tax!H24)</x:f>
        <x:v>139.43267482229282</x:v>
      </x:c>
      <x:c r="I73" s="56" t="n">
        <x:f>Equity_CF!I20+(Energy_Revenue!I14*0.05)*(1-Dep_Tax!I24)</x:f>
        <x:v>178.4547035263103</x:v>
      </x:c>
      <x:c r="J73" s="56" t="n">
        <x:f>Equity_CF!J20+(Energy_Revenue!J14*0.05)*(1-Dep_Tax!J24)</x:f>
        <x:v>226.27403314490346</x:v>
      </x:c>
      <x:c r="K73" s="56" t="n">
        <x:f>Equity_CF!K20+(Energy_Revenue!K14*0.05)*(1-Dep_Tax!K24)</x:f>
        <x:v>274.3384510599881</x:v>
      </x:c>
      <x:c r="L73" s="56" t="n">
        <x:f>Equity_CF!L20+(Energy_Revenue!L14*0.05)*(1-Dep_Tax!L24)</x:f>
        <x:v>322.652256435267</x:v>
      </x:c>
      <x:c r="M73" s="56" t="n">
        <x:f>Equity_CF!M20+(Energy_Revenue!M14*0.05)*(1-Dep_Tax!M24)</x:f>
        <x:v>371.21982359498105</x:v>
      </x:c>
      <x:c r="N73" s="56" t="n">
        <x:f>Equity_CF!N20+(Energy_Revenue!N14*0.05)*(1-Dep_Tax!N24)</x:f>
        <x:v>420.0456033327429</x:v>
      </x:c>
      <x:c r="O73" s="56" t="n">
        <x:f>Equity_CF!O20+(Energy_Revenue!O14*0.05)*(1-Dep_Tax!O24)</x:f>
        <x:v>469.1341242430582</x:v>
      </x:c>
      <x:c r="P73" s="56" t="n">
        <x:f>Equity_CF!P20+(Energy_Revenue!P14*0.05)*(1-Dep_Tax!P24)</x:f>
        <x:v>518.4899940759221</x:v>
      </x:c>
      <x:c r="Q73" s="56" t="n">
        <x:f>Equity_CF!Q20+(Energy_Revenue!Q14*0.05)*(1-Dep_Tax!Q24)</x:f>
        <x:v>924.8262344482227</x:v>
      </x:c>
      <x:c r="R73" s="56" t="n">
        <x:f>Equity_CF!R20+(Energy_Revenue!R14*0.05)*(1-Dep_Tax!R24)</x:f>
        <x:v>908.4314779169731</x:v>
      </x:c>
      <x:c r="S73" s="56" t="n">
        <x:f>Equity_CF!S20+(Energy_Revenue!S14*0.05)*(1-Dep_Tax!S24)</x:f>
        <x:v>923.8727152044619</x:v>
      </x:c>
      <x:c r="T73" s="56" t="n">
        <x:f>Equity_CF!T20+(Energy_Revenue!T14*0.05)*(1-Dep_Tax!T24)</x:f>
        <x:v>871.2995546333644</x:v>
      </x:c>
      <x:c r="U73" s="56" t="n">
        <x:f>Equity_CF!U20+(Energy_Revenue!U14*0.05)*(1-Dep_Tax!U24)</x:f>
        <x:v>885.5120239258076</x:v>
      </x:c>
      <x:c r="V73" s="56" t="n">
        <x:f>Equity_CF!V20+(Energy_Revenue!V14*0.05)*(1-Dep_Tax!V24)</x:f>
        <x:v>899.9743766326078</x:v>
      </x:c>
      <x:c r="W73" s="56" t="n">
        <x:f>Equity_CF!W20+(Energy_Revenue!W14*0.05)*(1-Dep_Tax!W24)</x:f>
        <x:v>914.6909932092033</x:v>
      </x:c>
      <x:c r="X73" s="56" t="n">
        <x:f>Equity_CF!X20+(Energy_Revenue!X14*0.05)*(1-Dep_Tax!X24)</x:f>
        <x:v>929.6663306350002</x:v>
      </x:c>
      <x:c r="Y73" s="56" t="n">
        <x:f>Equity_CF!Y20+(Energy_Revenue!Y14*0.05)*(1-Dep_Tax!Y24)</x:f>
        <x:v>0</x:v>
      </x:c>
      <x:c r="Z73" s="56" t="n">
        <x:f>Equity_CF!Z20+(Energy_Revenue!Z14*0.05)*(1-Dep_Tax!Z24)</x:f>
        <x:v>0</x:v>
      </x:c>
      <x:c r="AA73" s="56" t="n">
        <x:f>Equity_CF!AA20+(Energy_Revenue!AA14*0.05)*(1-Dep_Tax!AA24)</x:f>
        <x:v>0</x:v>
      </x:c>
      <x:c r="AB73" s="56" t="n">
        <x:f>Equity_CF!AB20+(Energy_Revenue!AB14*0.05)*(1-Dep_Tax!AB24)</x:f>
        <x:v>0</x:v>
      </x:c>
      <x:c r="AC73" s="56" t="n">
        <x:f>Equity_CF!AC20+(Energy_Revenue!AC14*0.05)*(1-Dep_Tax!AC24)</x:f>
        <x:v>0</x:v>
      </x:c>
      <x:c r="AD73" s="56" t="n">
        <x:f>Equity_CF!AD20+(Energy_Revenue!AD14*0.05)*(1-Dep_Tax!AD24)</x:f>
        <x:v>0</x:v>
      </x:c>
      <x:c r="AE73" s="56" t="n">
        <x:f>Equity_CF!AE20+(Energy_Revenue!AE14*0.05)*(1-Dep_Tax!AE24)</x:f>
        <x:v>0</x:v>
      </x:c>
      <x:c r="AF73" s="56" t="n">
        <x:f>Equity_CF!AF20+(Energy_Revenue!AF14*0.05)*(1-Dep_Tax!AF24)</x:f>
        <x:v>0</x:v>
      </x:c>
    </x:row>
    <x:row r="74">
      <x:c r="A74" s="41" t="s">
        <x:v>661</x:v>
      </x:c>
      <x:c r="B74" s="41" t="s">
        <x:v>687</x:v>
      </x:c>
      <x:c r="C74" s="56" t="n">
        <x:f>Equity_CF!C20+(Energy_Revenue!C14*0.1)*(1-Dep_Tax!C24)</x:f>
        <x:v>-1106.815</x:v>
      </x:c>
      <x:c r="D74" s="56" t="n">
        <x:f>Equity_CF!D20+(Energy_Revenue!D14*0.1)*(1-Dep_Tax!D24)</x:f>
        <x:v>-1522.6350000000004</x:v>
      </x:c>
      <x:c r="E74" s="56" t="n">
        <x:f>Equity_CF!E20+(Energy_Revenue!E14*0.1)*(1-Dep_Tax!E24)</x:f>
        <x:v>400.3114122666667</x:v>
      </x:c>
      <x:c r="F74" s="56" t="n">
        <x:f>Equity_CF!F20+(Energy_Revenue!F14*0.1)*(1-Dep_Tax!F24)</x:f>
        <x:v>83.52708223097619</x:v>
      </x:c>
      <x:c r="G74" s="56" t="n">
        <x:f>Equity_CF!G20+(Energy_Revenue!G14*0.1)*(1-Dep_Tax!G24)</x:f>
        <x:v>133.89719162117785</x:v>
      </x:c>
      <x:c r="H74" s="56" t="n">
        <x:f>Equity_CF!H20+(Energy_Revenue!H14*0.1)*(1-Dep_Tax!H24)</x:f>
        <x:v>184.52621037256074</x:v>
      </x:c>
      <x:c r="I74" s="56" t="n">
        <x:f>Equity_CF!I20+(Energy_Revenue!I14*0.1)*(1-Dep_Tax!I24)</x:f>
        <x:v>222.06294820262352</x:v>
      </x:c>
      <x:c r="J74" s="56" t="n">
        <x:f>Equity_CF!J20+(Energy_Revenue!J14*0.1)*(1-Dep_Tax!J24)</x:f>
        <x:v>270.6654818956032</x:v>
      </x:c>
      <x:c r="K74" s="56" t="n">
        <x:f>Equity_CF!K20+(Energy_Revenue!K14*0.1)*(1-Dep_Tax!K24)</x:f>
        <x:v>319.5271702302505</x:v>
      </x:c>
      <x:c r="L74" s="56" t="n">
        <x:f>Equity_CF!L20+(Energy_Revenue!L14*0.1)*(1-Dep_Tax!L24)</x:f>
        <x:v>368.65256500182727</x:v>
      </x:c>
      <x:c r="M74" s="56" t="n">
        <x:f>Equity_CF!M20+(Energy_Revenue!M14*0.1)*(1-Dep_Tax!M24)</x:f>
        <x:v>418.04629770339676</x:v>
      </x:c>
      <x:c r="N74" s="56" t="n">
        <x:f>Equity_CF!N20+(Energy_Revenue!N14*0.1)*(1-Dep_Tax!N24)</x:f>
        <x:v>467.7130809161457</x:v>
      </x:c>
      <x:c r="O74" s="56" t="n">
        <x:f>Equity_CF!O20+(Energy_Revenue!O14*0.1)*(1-Dep_Tax!O24)</x:f>
        <x:v>517.6577097238589</x:v>
      </x:c>
      <x:c r="P74" s="56" t="n">
        <x:f>Equity_CF!P20+(Energy_Revenue!P14*0.1)*(1-Dep_Tax!P24)</x:f>
        <x:v>567.885063151958</x:v>
      </x:c>
      <x:c r="Q74" s="56" t="n">
        <x:f>Equity_CF!Q20+(Energy_Revenue!Q14*0.1)*(1-Dep_Tax!Q24)</x:f>
        <x:v>975.1084389648643</x:v>
      </x:c>
      <x:c r="R74" s="56" t="n">
        <x:f>Equity_CF!R20+(Energy_Revenue!R14*0.1)*(1-Dep_Tax!R24)</x:f>
        <x:v>956.9227890946408</x:v>
      </x:c>
      <x:c r="S74" s="56" t="n">
        <x:f>Equity_CF!S20+(Energy_Revenue!S14*0.1)*(1-Dep_Tax!S24)</x:f>
        <x:v>973.2349303308805</x:v>
      </x:c>
      <x:c r="T74" s="56" t="n">
        <x:f>Equity_CF!T20+(Energy_Revenue!T14*0.1)*(1-Dep_Tax!T24)</x:f>
        <x:v>915.9651195312214</x:v>
      </x:c>
      <x:c r="U74" s="56" t="n">
        <x:f>Equity_CF!U20+(Energy_Revenue!U14*0.1)*(1-Dep_Tax!U24)</x:f>
        <x:v>930.9797823692302</x:v>
      </x:c>
      <x:c r="V74" s="56" t="n">
        <x:f>Equity_CF!V20+(Energy_Revenue!V14*0.1)*(1-Dep_Tax!V24)</x:f>
        <x:v>946.2587360176742</x:v>
      </x:c>
      <x:c r="W74" s="56" t="n">
        <x:f>Equity_CF!W20+(Energy_Revenue!W14*0.1)*(1-Dep_Tax!W24)</x:f>
        <x:v>961.8066196888254</x:v>
      </x:c>
      <x:c r="X74" s="56" t="n">
        <x:f>Equity_CF!X20+(Energy_Revenue!X14*0.1)*(1-Dep_Tax!X24)</x:f>
        <x:v>977.6281537661964</x:v>
      </x:c>
      <x:c r="Y74" s="56" t="n">
        <x:f>Equity_CF!Y20+(Energy_Revenue!Y14*0.1)*(1-Dep_Tax!Y24)</x:f>
        <x:v>0</x:v>
      </x:c>
      <x:c r="Z74" s="56" t="n">
        <x:f>Equity_CF!Z20+(Energy_Revenue!Z14*0.1)*(1-Dep_Tax!Z24)</x:f>
        <x:v>0</x:v>
      </x:c>
      <x:c r="AA74" s="56" t="n">
        <x:f>Equity_CF!AA20+(Energy_Revenue!AA14*0.1)*(1-Dep_Tax!AA24)</x:f>
        <x:v>0</x:v>
      </x:c>
      <x:c r="AB74" s="56" t="n">
        <x:f>Equity_CF!AB20+(Energy_Revenue!AB14*0.1)*(1-Dep_Tax!AB24)</x:f>
        <x:v>0</x:v>
      </x:c>
      <x:c r="AC74" s="56" t="n">
        <x:f>Equity_CF!AC20+(Energy_Revenue!AC14*0.1)*(1-Dep_Tax!AC24)</x:f>
        <x:v>0</x:v>
      </x:c>
      <x:c r="AD74" s="56" t="n">
        <x:f>Equity_CF!AD20+(Energy_Revenue!AD14*0.1)*(1-Dep_Tax!AD24)</x:f>
        <x:v>0</x:v>
      </x:c>
      <x:c r="AE74" s="56" t="n">
        <x:f>Equity_CF!AE20+(Energy_Revenue!AE14*0.1)*(1-Dep_Tax!AE24)</x:f>
        <x:v>0</x:v>
      </x:c>
      <x:c r="AF74" s="56" t="n">
        <x:f>Equity_CF!AF20+(Energy_Revenue!AF14*0.1)*(1-Dep_Tax!AF24)</x:f>
        <x:v>0</x:v>
      </x:c>
    </x:row>
    <x:row r="75">
      <x:c r="A75" s="41" t="s">
        <x:v>663</x:v>
      </x:c>
      <x:c r="B75" s="41" t="s">
        <x:v>683</x:v>
      </x:c>
      <x:c r="C75" s="56" t="n">
        <x:f>Equity_CF!C20+(Energy_Revenue!C14*-0.0999999999999999)*(1-Dep_Tax!C24)</x:f>
        <x:v>-1106.815</x:v>
      </x:c>
      <x:c r="D75" s="56" t="n">
        <x:f>Equity_CF!D20+(Energy_Revenue!D14*-0.0999999999999999)*(1-Dep_Tax!D24)</x:f>
        <x:v>-1522.6350000000004</x:v>
      </x:c>
      <x:c r="E75" s="56" t="n">
        <x:f>Equity_CF!E20+(Energy_Revenue!E14*-0.0999999999999999)*(1-Dep_Tax!E24)</x:f>
        <x:v>229.3169130666668</x:v>
      </x:c>
      <x:c r="F75" s="56" t="n">
        <x:f>Equity_CF!F20+(Energy_Revenue!F14*-0.0999999999999999)*(1-Dep_Tax!F24)</x:f>
        <x:v>-90.53847817465575</x:v>
      </x:c>
      <x:c r="G75" s="56" t="n">
        <x:f>Equity_CF!G20+(Energy_Revenue!G14*-0.0999999999999999)*(1-Dep_Tax!G24)</x:f>
        <x:v>-43.29458624933922</x:v>
      </x:c>
      <x:c r="H75" s="56" t="n">
        <x:f>Equity_CF!H20+(Energy_Revenue!H14*-0.0999999999999999)*(1-Dep_Tax!H24)</x:f>
        <x:v>4.1520681714891765</x:v>
      </x:c>
      <x:c r="I75" s="56" t="n">
        <x:f>Equity_CF!I20+(Energy_Revenue!I14*-0.0999999999999999)*(1-Dep_Tax!I24)</x:f>
        <x:v>47.62996949737085</x:v>
      </x:c>
      <x:c r="J75" s="56" t="n">
        <x:f>Equity_CF!J20+(Energy_Revenue!J14*-0.0999999999999999)*(1-Dep_Tax!J24)</x:f>
        <x:v>93.0996868928042</x:v>
      </x:c>
      <x:c r="K75" s="56" t="n">
        <x:f>Equity_CF!K20+(Energy_Revenue!K14*-0.0999999999999999)*(1-Dep_Tax!K24)</x:f>
        <x:v>138.77229354920115</x:v>
      </x:c>
      <x:c r="L75" s="56" t="n">
        <x:f>Equity_CF!L20+(Energy_Revenue!L14*-0.0999999999999999)*(1-Dep_Tax!L24)</x:f>
        <x:v>184.65133073558638</x:v>
      </x:c>
      <x:c r="M75" s="56" t="n">
        <x:f>Equity_CF!M20+(Energy_Revenue!M14*-0.0999999999999999)*(1-Dep_Tax!M24)</x:f>
        <x:v>230.74040126973415</x:v>
      </x:c>
      <x:c r="N75" s="56" t="n">
        <x:f>Equity_CF!N20+(Energy_Revenue!N14*-0.0999999999999999)*(1-Dep_Tax!N24)</x:f>
        <x:v>277.0431705825346</x:v>
      </x:c>
      <x:c r="O75" s="56" t="n">
        <x:f>Equity_CF!O20+(Energy_Revenue!O14*-0.0999999999999999)*(1-Dep_Tax!O24)</x:f>
        <x:v>323.56336780065607</x:v>
      </x:c>
      <x:c r="P75" s="56" t="n">
        <x:f>Equity_CF!P20+(Energy_Revenue!P14*-0.0999999999999999)*(1-Dep_Tax!P24)</x:f>
        <x:v>370.3047868478145</x:v>
      </x:c>
      <x:c r="Q75" s="56" t="n">
        <x:f>Equity_CF!Q20+(Energy_Revenue!Q14*-0.0999999999999999)*(1-Dep_Tax!Q24)</x:f>
        <x:v>773.9796208982983</x:v>
      </x:c>
      <x:c r="R75" s="56" t="n">
        <x:f>Equity_CF!R20+(Energy_Revenue!R14*-0.0999999999999999)*(1-Dep_Tax!R24)</x:f>
        <x:v>762.95754438397</x:v>
      </x:c>
      <x:c r="S75" s="56" t="n">
        <x:f>Equity_CF!S20+(Energy_Revenue!S14*-0.0999999999999999)*(1-Dep_Tax!S24)</x:f>
        <x:v>775.7860698252059</x:v>
      </x:c>
      <x:c r="T75" s="56" t="n">
        <x:f>Equity_CF!T20+(Energy_Revenue!T14*-0.0999999999999999)*(1-Dep_Tax!T24)</x:f>
        <x:v>737.3028599397935</x:v>
      </x:c>
      <x:c r="U75" s="56" t="n">
        <x:f>Equity_CF!U20+(Energy_Revenue!U14*-0.0999999999999999)*(1-Dep_Tax!U24)</x:f>
        <x:v>749.1087485955401</x:v>
      </x:c>
      <x:c r="V75" s="56" t="n">
        <x:f>Equity_CF!V20+(Energy_Revenue!V14*-0.0999999999999999)*(1-Dep_Tax!V24)</x:f>
        <x:v>761.1212984774087</x:v>
      </x:c>
      <x:c r="W75" s="56" t="n">
        <x:f>Equity_CF!W20+(Energy_Revenue!W14*-0.0999999999999999)*(1-Dep_Tax!W24)</x:f>
        <x:v>773.3441137703369</x:v>
      </x:c>
      <x:c r="X75" s="56" t="n">
        <x:f>Equity_CF!X20+(Energy_Revenue!X14*-0.0999999999999999)*(1-Dep_Tax!X24)</x:f>
        <x:v>785.7808612414118</x:v>
      </x:c>
      <x:c r="Y75" s="56" t="n">
        <x:f>Equity_CF!Y20+(Energy_Revenue!Y14*-0.0999999999999999)*(1-Dep_Tax!Y24)</x:f>
        <x:v>0</x:v>
      </x:c>
      <x:c r="Z75" s="56" t="n">
        <x:f>Equity_CF!Z20+(Energy_Revenue!Z14*-0.0999999999999999)*(1-Dep_Tax!Z24)</x:f>
        <x:v>0</x:v>
      </x:c>
      <x:c r="AA75" s="56" t="n">
        <x:f>Equity_CF!AA20+(Energy_Revenue!AA14*-0.0999999999999999)*(1-Dep_Tax!AA24)</x:f>
        <x:v>0</x:v>
      </x:c>
      <x:c r="AB75" s="56" t="n">
        <x:f>Equity_CF!AB20+(Energy_Revenue!AB14*-0.0999999999999999)*(1-Dep_Tax!AB24)</x:f>
        <x:v>0</x:v>
      </x:c>
      <x:c r="AC75" s="56" t="n">
        <x:f>Equity_CF!AC20+(Energy_Revenue!AC14*-0.0999999999999999)*(1-Dep_Tax!AC24)</x:f>
        <x:v>0</x:v>
      </x:c>
      <x:c r="AD75" s="56" t="n">
        <x:f>Equity_CF!AD20+(Energy_Revenue!AD14*-0.0999999999999999)*(1-Dep_Tax!AD24)</x:f>
        <x:v>0</x:v>
      </x:c>
      <x:c r="AE75" s="56" t="n">
        <x:f>Equity_CF!AE20+(Energy_Revenue!AE14*-0.0999999999999999)*(1-Dep_Tax!AE24)</x:f>
        <x:v>0</x:v>
      </x:c>
      <x:c r="AF75" s="56" t="n">
        <x:f>Equity_CF!AF20+(Energy_Revenue!AF14*-0.0999999999999999)*(1-Dep_Tax!AF24)</x:f>
        <x:v>0</x:v>
      </x:c>
    </x:row>
    <x:row r="76">
      <x:c r="A76" s="41" t="s">
        <x:v>664</x:v>
      </x:c>
      <x:c r="B76" s="41" t="s">
        <x:v>684</x:v>
      </x:c>
      <x:c r="C76" s="56" t="n">
        <x:f>Equity_CF!C20+(Energy_Revenue!C14*-0.05)*(1-Dep_Tax!C24)</x:f>
        <x:v>-1106.815</x:v>
      </x:c>
      <x:c r="D76" s="56" t="n">
        <x:f>Equity_CF!D20+(Energy_Revenue!D14*-0.05)*(1-Dep_Tax!D24)</x:f>
        <x:v>-1522.6350000000004</x:v>
      </x:c>
      <x:c r="E76" s="56" t="n">
        <x:f>Equity_CF!E20+(Energy_Revenue!E14*-0.05)*(1-Dep_Tax!E24)</x:f>
        <x:v>272.0655378666667</x:v>
      </x:c>
      <x:c r="F76" s="56" t="n">
        <x:f>Equity_CF!F20+(Energy_Revenue!F14*-0.05)*(1-Dep_Tax!F24)</x:f>
        <x:v>-47.02208807324783</x:v>
      </x:c>
      <x:c r="G76" s="56" t="n">
        <x:f>Equity_CF!G20+(Energy_Revenue!G14*-0.05)*(1-Dep_Tax!G24)</x:f>
        <x:v>1.003358218289975</x:v>
      </x:c>
      <x:c r="H76" s="56" t="n">
        <x:f>Equity_CF!H20+(Energy_Revenue!H14*-0.05)*(1-Dep_Tax!H24)</x:f>
        <x:v>49.24560372175699</x:v>
      </x:c>
      <x:c r="I76" s="56" t="n">
        <x:f>Equity_CF!I20+(Energy_Revenue!I14*-0.05)*(1-Dep_Tax!I24)</x:f>
        <x:v>91.23821417368394</x:v>
      </x:c>
      <x:c r="J76" s="56" t="n">
        <x:f>Equity_CF!J20+(Energy_Revenue!J14*-0.05)*(1-Dep_Tax!J24)</x:f>
        <x:v>137.49113564350387</x:v>
      </x:c>
      <x:c r="K76" s="56" t="n">
        <x:f>Equity_CF!K20+(Energy_Revenue!K14*-0.05)*(1-Dep_Tax!K24)</x:f>
        <x:v>183.9610127194634</x:v>
      </x:c>
      <x:c r="L76" s="56" t="n">
        <x:f>Equity_CF!L20+(Energy_Revenue!L14*-0.05)*(1-Dep_Tax!L24)</x:f>
        <x:v>230.65163930214652</x:v>
      </x:c>
      <x:c r="M76" s="56" t="n">
        <x:f>Equity_CF!M20+(Energy_Revenue!M14*-0.05)*(1-Dep_Tax!M24)</x:f>
        <x:v>277.56687537814975</x:v>
      </x:c>
      <x:c r="N76" s="56" t="n">
        <x:f>Equity_CF!N20+(Energy_Revenue!N14*-0.05)*(1-Dep_Tax!N24)</x:f>
        <x:v>324.71064816593724</x:v>
      </x:c>
      <x:c r="O76" s="56" t="n">
        <x:f>Equity_CF!O20+(Energy_Revenue!O14*-0.05)*(1-Dep_Tax!O24)</x:f>
        <x:v>372.08695328145666</x:v>
      </x:c>
      <x:c r="P76" s="56" t="n">
        <x:f>Equity_CF!P20+(Energy_Revenue!P14*-0.05)*(1-Dep_Tax!P24)</x:f>
        <x:v>419.6998559238503</x:v>
      </x:c>
      <x:c r="Q76" s="56" t="n">
        <x:f>Equity_CF!Q20+(Energy_Revenue!Q14*-0.05)*(1-Dep_Tax!Q24)</x:f>
        <x:v>824.2618254149397</x:v>
      </x:c>
      <x:c r="R76" s="56" t="n">
        <x:f>Equity_CF!R20+(Energy_Revenue!R14*-0.05)*(1-Dep_Tax!R24)</x:f>
        <x:v>811.4488555616376</x:v>
      </x:c>
      <x:c r="S76" s="56" t="n">
        <x:f>Equity_CF!S20+(Energy_Revenue!S14*-0.05)*(1-Dep_Tax!S24)</x:f>
        <x:v>825.1482849516244</x:v>
      </x:c>
      <x:c r="T76" s="56" t="n">
        <x:f>Equity_CF!T20+(Energy_Revenue!T14*-0.05)*(1-Dep_Tax!T24)</x:f>
        <x:v>781.9684248376503</x:v>
      </x:c>
      <x:c r="U76" s="56" t="n">
        <x:f>Equity_CF!U20+(Energy_Revenue!U14*-0.05)*(1-Dep_Tax!U24)</x:f>
        <x:v>794.5765070389625</x:v>
      </x:c>
      <x:c r="V76" s="56" t="n">
        <x:f>Equity_CF!V20+(Energy_Revenue!V14*-0.05)*(1-Dep_Tax!V24)</x:f>
        <x:v>807.405657862475</x:v>
      </x:c>
      <x:c r="W76" s="56" t="n">
        <x:f>Equity_CF!W20+(Energy_Revenue!W14*-0.05)*(1-Dep_Tax!W24)</x:f>
        <x:v>820.4597402499589</x:v>
      </x:c>
      <x:c r="X76" s="56" t="n">
        <x:f>Equity_CF!X20+(Energy_Revenue!X14*-0.05)*(1-Dep_Tax!X24)</x:f>
        <x:v>833.7426843726079</x:v>
      </x:c>
      <x:c r="Y76" s="56" t="n">
        <x:f>Equity_CF!Y20+(Energy_Revenue!Y14*-0.05)*(1-Dep_Tax!Y24)</x:f>
        <x:v>0</x:v>
      </x:c>
      <x:c r="Z76" s="56" t="n">
        <x:f>Equity_CF!Z20+(Energy_Revenue!Z14*-0.05)*(1-Dep_Tax!Z24)</x:f>
        <x:v>0</x:v>
      </x:c>
      <x:c r="AA76" s="56" t="n">
        <x:f>Equity_CF!AA20+(Energy_Revenue!AA14*-0.05)*(1-Dep_Tax!AA24)</x:f>
        <x:v>0</x:v>
      </x:c>
      <x:c r="AB76" s="56" t="n">
        <x:f>Equity_CF!AB20+(Energy_Revenue!AB14*-0.05)*(1-Dep_Tax!AB24)</x:f>
        <x:v>0</x:v>
      </x:c>
      <x:c r="AC76" s="56" t="n">
        <x:f>Equity_CF!AC20+(Energy_Revenue!AC14*-0.05)*(1-Dep_Tax!AC24)</x:f>
        <x:v>0</x:v>
      </x:c>
      <x:c r="AD76" s="56" t="n">
        <x:f>Equity_CF!AD20+(Energy_Revenue!AD14*-0.05)*(1-Dep_Tax!AD24)</x:f>
        <x:v>0</x:v>
      </x:c>
      <x:c r="AE76" s="56" t="n">
        <x:f>Equity_CF!AE20+(Energy_Revenue!AE14*-0.05)*(1-Dep_Tax!AE24)</x:f>
        <x:v>0</x:v>
      </x:c>
      <x:c r="AF76" s="56" t="n">
        <x:f>Equity_CF!AF20+(Energy_Revenue!AF14*-0.05)*(1-Dep_Tax!AF24)</x:f>
        <x:v>0</x:v>
      </x:c>
    </x:row>
    <x:row r="77">
      <x:c r="A77" s="41" t="s">
        <x:v>665</x:v>
      </x:c>
      <x:c r="B77" s="41" t="s">
        <x:v>685</x:v>
      </x:c>
      <x:c r="C77" s="56" t="n">
        <x:f>Equity_CF!C20+(Energy_Revenue!C14*0)*(1-Dep_Tax!C24)</x:f>
        <x:v>-1106.815</x:v>
      </x:c>
      <x:c r="D77" s="56" t="n">
        <x:f>Equity_CF!D20+(Energy_Revenue!D14*0)*(1-Dep_Tax!D24)</x:f>
        <x:v>-1522.6350000000004</x:v>
      </x:c>
      <x:c r="E77" s="56" t="n">
        <x:f>Equity_CF!E20+(Energy_Revenue!E14*0)*(1-Dep_Tax!E24)</x:f>
        <x:v>314.81416266666673</x:v>
      </x:c>
      <x:c r="F77" s="56" t="n">
        <x:f>Equity_CF!F20+(Energy_Revenue!F14*0)*(1-Dep_Tax!F24)</x:f>
        <x:v>-3.5056979718398225</x:v>
      </x:c>
      <x:c r="G77" s="56" t="n">
        <x:f>Equity_CF!G20+(Energy_Revenue!G14*0)*(1-Dep_Tax!G24)</x:f>
        <x:v>45.30130268591927</x:v>
      </x:c>
      <x:c r="H77" s="56" t="n">
        <x:f>Equity_CF!H20+(Energy_Revenue!H14*0)*(1-Dep_Tax!H24)</x:f>
        <x:v>94.33913927202491</x:v>
      </x:c>
      <x:c r="I77" s="56" t="n">
        <x:f>Equity_CF!I20+(Energy_Revenue!I14*0)*(1-Dep_Tax!I24)</x:f>
        <x:v>134.84645884999713</x:v>
      </x:c>
      <x:c r="J77" s="56" t="n">
        <x:f>Equity_CF!J20+(Energy_Revenue!J14*0)*(1-Dep_Tax!J24)</x:f>
        <x:v>181.88258439420366</x:v>
      </x:c>
      <x:c r="K77" s="56" t="n">
        <x:f>Equity_CF!K20+(Energy_Revenue!K14*0)*(1-Dep_Tax!K24)</x:f>
        <x:v>229.14973188972576</x:v>
      </x:c>
      <x:c r="L77" s="56" t="n">
        <x:f>Equity_CF!L20+(Energy_Revenue!L14*0)*(1-Dep_Tax!L24)</x:f>
        <x:v>276.65194786870677</x:v>
      </x:c>
      <x:c r="M77" s="56" t="n">
        <x:f>Equity_CF!M20+(Energy_Revenue!M14*0)*(1-Dep_Tax!M24)</x:f>
        <x:v>324.3933494865654</x:v>
      </x:c>
      <x:c r="N77" s="56" t="n">
        <x:f>Equity_CF!N20+(Energy_Revenue!N14*0)*(1-Dep_Tax!N24)</x:f>
        <x:v>372.3781257493401</x:v>
      </x:c>
      <x:c r="O77" s="56" t="n">
        <x:f>Equity_CF!O20+(Energy_Revenue!O14*0)*(1-Dep_Tax!O24)</x:f>
        <x:v>420.6105387622574</x:v>
      </x:c>
      <x:c r="P77" s="56" t="n">
        <x:f>Equity_CF!P20+(Energy_Revenue!P14*0)*(1-Dep_Tax!P24)</x:f>
        <x:v>469.0949249998862</x:v>
      </x:c>
      <x:c r="Q77" s="56" t="n">
        <x:f>Equity_CF!Q20+(Energy_Revenue!Q14*0)*(1-Dep_Tax!Q24)</x:f>
        <x:v>874.5440299315812</x:v>
      </x:c>
      <x:c r="R77" s="56" t="n">
        <x:f>Equity_CF!R20+(Energy_Revenue!R14*0)*(1-Dep_Tax!R24)</x:f>
        <x:v>859.9401667393054</x:v>
      </x:c>
      <x:c r="S77" s="56" t="n">
        <x:f>Equity_CF!S20+(Energy_Revenue!S14*0)*(1-Dep_Tax!S24)</x:f>
        <x:v>874.5105000780432</x:v>
      </x:c>
      <x:c r="T77" s="56" t="n">
        <x:f>Equity_CF!T20+(Energy_Revenue!T14*0)*(1-Dep_Tax!T24)</x:f>
        <x:v>826.6339897355074</x:v>
      </x:c>
      <x:c r="U77" s="56" t="n">
        <x:f>Equity_CF!U20+(Energy_Revenue!U14*0)*(1-Dep_Tax!U24)</x:f>
        <x:v>840.0442654823851</x:v>
      </x:c>
      <x:c r="V77" s="56" t="n">
        <x:f>Equity_CF!V20+(Energy_Revenue!V14*0)*(1-Dep_Tax!V24)</x:f>
        <x:v>853.6900172475414</x:v>
      </x:c>
      <x:c r="W77" s="56" t="n">
        <x:f>Equity_CF!W20+(Energy_Revenue!W14*0)*(1-Dep_Tax!W24)</x:f>
        <x:v>867.5753667295811</x:v>
      </x:c>
      <x:c r="X77" s="56" t="n">
        <x:f>Equity_CF!X20+(Energy_Revenue!X14*0)*(1-Dep_Tax!X24)</x:f>
        <x:v>881.704507503804</x:v>
      </x:c>
      <x:c r="Y77" s="56" t="n">
        <x:f>Equity_CF!Y20+(Energy_Revenue!Y14*0)*(1-Dep_Tax!Y24)</x:f>
        <x:v>0</x:v>
      </x:c>
      <x:c r="Z77" s="56" t="n">
        <x:f>Equity_CF!Z20+(Energy_Revenue!Z14*0)*(1-Dep_Tax!Z24)</x:f>
        <x:v>0</x:v>
      </x:c>
      <x:c r="AA77" s="56" t="n">
        <x:f>Equity_CF!AA20+(Energy_Revenue!AA14*0)*(1-Dep_Tax!AA24)</x:f>
        <x:v>0</x:v>
      </x:c>
      <x:c r="AB77" s="56" t="n">
        <x:f>Equity_CF!AB20+(Energy_Revenue!AB14*0)*(1-Dep_Tax!AB24)</x:f>
        <x:v>0</x:v>
      </x:c>
      <x:c r="AC77" s="56" t="n">
        <x:f>Equity_CF!AC20+(Energy_Revenue!AC14*0)*(1-Dep_Tax!AC24)</x:f>
        <x:v>0</x:v>
      </x:c>
      <x:c r="AD77" s="56" t="n">
        <x:f>Equity_CF!AD20+(Energy_Revenue!AD14*0)*(1-Dep_Tax!AD24)</x:f>
        <x:v>0</x:v>
      </x:c>
      <x:c r="AE77" s="56" t="n">
        <x:f>Equity_CF!AE20+(Energy_Revenue!AE14*0)*(1-Dep_Tax!AE24)</x:f>
        <x:v>0</x:v>
      </x:c>
      <x:c r="AF77" s="56" t="n">
        <x:f>Equity_CF!AF20+(Energy_Revenue!AF14*0)*(1-Dep_Tax!AF24)</x:f>
        <x:v>0</x:v>
      </x:c>
    </x:row>
    <x:row r="78">
      <x:c r="A78" s="41" t="s">
        <x:v>666</x:v>
      </x:c>
      <x:c r="B78" s="41" t="s">
        <x:v>686</x:v>
      </x:c>
      <x:c r="C78" s="56" t="n">
        <x:f>Equity_CF!C20+(Energy_Revenue!C14*0.05)*(1-Dep_Tax!C24)</x:f>
        <x:v>-1106.815</x:v>
      </x:c>
      <x:c r="D78" s="56" t="n">
        <x:f>Equity_CF!D20+(Energy_Revenue!D14*0.05)*(1-Dep_Tax!D24)</x:f>
        <x:v>-1522.6350000000004</x:v>
      </x:c>
      <x:c r="E78" s="56" t="n">
        <x:f>Equity_CF!E20+(Energy_Revenue!E14*0.05)*(1-Dep_Tax!E24)</x:f>
        <x:v>357.56278746666675</x:v>
      </x:c>
      <x:c r="F78" s="56" t="n">
        <x:f>Equity_CF!F20+(Energy_Revenue!F14*0.05)*(1-Dep_Tax!F24)</x:f>
        <x:v>40.010692129568184</x:v>
      </x:c>
      <x:c r="G78" s="56" t="n">
        <x:f>Equity_CF!G20+(Energy_Revenue!G14*0.05)*(1-Dep_Tax!G24)</x:f>
        <x:v>89.59924715354856</x:v>
      </x:c>
      <x:c r="H78" s="56" t="n">
        <x:f>Equity_CF!H20+(Energy_Revenue!H14*0.05)*(1-Dep_Tax!H24)</x:f>
        <x:v>139.43267482229282</x:v>
      </x:c>
      <x:c r="I78" s="56" t="n">
        <x:f>Equity_CF!I20+(Energy_Revenue!I14*0.05)*(1-Dep_Tax!I24)</x:f>
        <x:v>178.4547035263103</x:v>
      </x:c>
      <x:c r="J78" s="56" t="n">
        <x:f>Equity_CF!J20+(Energy_Revenue!J14*0.05)*(1-Dep_Tax!J24)</x:f>
        <x:v>226.27403314490346</x:v>
      </x:c>
      <x:c r="K78" s="56" t="n">
        <x:f>Equity_CF!K20+(Energy_Revenue!K14*0.05)*(1-Dep_Tax!K24)</x:f>
        <x:v>274.3384510599881</x:v>
      </x:c>
      <x:c r="L78" s="56" t="n">
        <x:f>Equity_CF!L20+(Energy_Revenue!L14*0.05)*(1-Dep_Tax!L24)</x:f>
        <x:v>322.652256435267</x:v>
      </x:c>
      <x:c r="M78" s="56" t="n">
        <x:f>Equity_CF!M20+(Energy_Revenue!M14*0.05)*(1-Dep_Tax!M24)</x:f>
        <x:v>371.21982359498105</x:v>
      </x:c>
      <x:c r="N78" s="56" t="n">
        <x:f>Equity_CF!N20+(Energy_Revenue!N14*0.05)*(1-Dep_Tax!N24)</x:f>
        <x:v>420.0456033327429</x:v>
      </x:c>
      <x:c r="O78" s="56" t="n">
        <x:f>Equity_CF!O20+(Energy_Revenue!O14*0.05)*(1-Dep_Tax!O24)</x:f>
        <x:v>469.1341242430582</x:v>
      </x:c>
      <x:c r="P78" s="56" t="n">
        <x:f>Equity_CF!P20+(Energy_Revenue!P14*0.05)*(1-Dep_Tax!P24)</x:f>
        <x:v>518.4899940759221</x:v>
      </x:c>
      <x:c r="Q78" s="56" t="n">
        <x:f>Equity_CF!Q20+(Energy_Revenue!Q14*0.05)*(1-Dep_Tax!Q24)</x:f>
        <x:v>924.8262344482227</x:v>
      </x:c>
      <x:c r="R78" s="56" t="n">
        <x:f>Equity_CF!R20+(Energy_Revenue!R14*0.05)*(1-Dep_Tax!R24)</x:f>
        <x:v>908.4314779169731</x:v>
      </x:c>
      <x:c r="S78" s="56" t="n">
        <x:f>Equity_CF!S20+(Energy_Revenue!S14*0.05)*(1-Dep_Tax!S24)</x:f>
        <x:v>923.8727152044619</x:v>
      </x:c>
      <x:c r="T78" s="56" t="n">
        <x:f>Equity_CF!T20+(Energy_Revenue!T14*0.05)*(1-Dep_Tax!T24)</x:f>
        <x:v>871.2995546333644</x:v>
      </x:c>
      <x:c r="U78" s="56" t="n">
        <x:f>Equity_CF!U20+(Energy_Revenue!U14*0.05)*(1-Dep_Tax!U24)</x:f>
        <x:v>885.5120239258076</x:v>
      </x:c>
      <x:c r="V78" s="56" t="n">
        <x:f>Equity_CF!V20+(Energy_Revenue!V14*0.05)*(1-Dep_Tax!V24)</x:f>
        <x:v>899.9743766326078</x:v>
      </x:c>
      <x:c r="W78" s="56" t="n">
        <x:f>Equity_CF!W20+(Energy_Revenue!W14*0.05)*(1-Dep_Tax!W24)</x:f>
        <x:v>914.6909932092033</x:v>
      </x:c>
      <x:c r="X78" s="56" t="n">
        <x:f>Equity_CF!X20+(Energy_Revenue!X14*0.05)*(1-Dep_Tax!X24)</x:f>
        <x:v>929.6663306350002</x:v>
      </x:c>
      <x:c r="Y78" s="56" t="n">
        <x:f>Equity_CF!Y20+(Energy_Revenue!Y14*0.05)*(1-Dep_Tax!Y24)</x:f>
        <x:v>0</x:v>
      </x:c>
      <x:c r="Z78" s="56" t="n">
        <x:f>Equity_CF!Z20+(Energy_Revenue!Z14*0.05)*(1-Dep_Tax!Z24)</x:f>
        <x:v>0</x:v>
      </x:c>
      <x:c r="AA78" s="56" t="n">
        <x:f>Equity_CF!AA20+(Energy_Revenue!AA14*0.05)*(1-Dep_Tax!AA24)</x:f>
        <x:v>0</x:v>
      </x:c>
      <x:c r="AB78" s="56" t="n">
        <x:f>Equity_CF!AB20+(Energy_Revenue!AB14*0.05)*(1-Dep_Tax!AB24)</x:f>
        <x:v>0</x:v>
      </x:c>
      <x:c r="AC78" s="56" t="n">
        <x:f>Equity_CF!AC20+(Energy_Revenue!AC14*0.05)*(1-Dep_Tax!AC24)</x:f>
        <x:v>0</x:v>
      </x:c>
      <x:c r="AD78" s="56" t="n">
        <x:f>Equity_CF!AD20+(Energy_Revenue!AD14*0.05)*(1-Dep_Tax!AD24)</x:f>
        <x:v>0</x:v>
      </x:c>
      <x:c r="AE78" s="56" t="n">
        <x:f>Equity_CF!AE20+(Energy_Revenue!AE14*0.05)*(1-Dep_Tax!AE24)</x:f>
        <x:v>0</x:v>
      </x:c>
      <x:c r="AF78" s="56" t="n">
        <x:f>Equity_CF!AF20+(Energy_Revenue!AF14*0.05)*(1-Dep_Tax!AF24)</x:f>
        <x:v>0</x:v>
      </x:c>
    </x:row>
    <x:row r="79">
      <x:c r="A79" s="41" t="s">
        <x:v>667</x:v>
      </x:c>
      <x:c r="B79" s="41" t="s">
        <x:v>687</x:v>
      </x:c>
      <x:c r="C79" s="56" t="n">
        <x:f>Equity_CF!C20+(Energy_Revenue!C14*0.1)*(1-Dep_Tax!C24)</x:f>
        <x:v>-1106.815</x:v>
      </x:c>
      <x:c r="D79" s="56" t="n">
        <x:f>Equity_CF!D20+(Energy_Revenue!D14*0.1)*(1-Dep_Tax!D24)</x:f>
        <x:v>-1522.6350000000004</x:v>
      </x:c>
      <x:c r="E79" s="56" t="n">
        <x:f>Equity_CF!E20+(Energy_Revenue!E14*0.1)*(1-Dep_Tax!E24)</x:f>
        <x:v>400.3114122666667</x:v>
      </x:c>
      <x:c r="F79" s="56" t="n">
        <x:f>Equity_CF!F20+(Energy_Revenue!F14*0.1)*(1-Dep_Tax!F24)</x:f>
        <x:v>83.52708223097619</x:v>
      </x:c>
      <x:c r="G79" s="56" t="n">
        <x:f>Equity_CF!G20+(Energy_Revenue!G14*0.1)*(1-Dep_Tax!G24)</x:f>
        <x:v>133.89719162117785</x:v>
      </x:c>
      <x:c r="H79" s="56" t="n">
        <x:f>Equity_CF!H20+(Energy_Revenue!H14*0.1)*(1-Dep_Tax!H24)</x:f>
        <x:v>184.52621037256074</x:v>
      </x:c>
      <x:c r="I79" s="56" t="n">
        <x:f>Equity_CF!I20+(Energy_Revenue!I14*0.1)*(1-Dep_Tax!I24)</x:f>
        <x:v>222.06294820262352</x:v>
      </x:c>
      <x:c r="J79" s="56" t="n">
        <x:f>Equity_CF!J20+(Energy_Revenue!J14*0.1)*(1-Dep_Tax!J24)</x:f>
        <x:v>270.6654818956032</x:v>
      </x:c>
      <x:c r="K79" s="56" t="n">
        <x:f>Equity_CF!K20+(Energy_Revenue!K14*0.1)*(1-Dep_Tax!K24)</x:f>
        <x:v>319.5271702302505</x:v>
      </x:c>
      <x:c r="L79" s="56" t="n">
        <x:f>Equity_CF!L20+(Energy_Revenue!L14*0.1)*(1-Dep_Tax!L24)</x:f>
        <x:v>368.65256500182727</x:v>
      </x:c>
      <x:c r="M79" s="56" t="n">
        <x:f>Equity_CF!M20+(Energy_Revenue!M14*0.1)*(1-Dep_Tax!M24)</x:f>
        <x:v>418.04629770339676</x:v>
      </x:c>
      <x:c r="N79" s="56" t="n">
        <x:f>Equity_CF!N20+(Energy_Revenue!N14*0.1)*(1-Dep_Tax!N24)</x:f>
        <x:v>467.7130809161457</x:v>
      </x:c>
      <x:c r="O79" s="56" t="n">
        <x:f>Equity_CF!O20+(Energy_Revenue!O14*0.1)*(1-Dep_Tax!O24)</x:f>
        <x:v>517.6577097238589</x:v>
      </x:c>
      <x:c r="P79" s="56" t="n">
        <x:f>Equity_CF!P20+(Energy_Revenue!P14*0.1)*(1-Dep_Tax!P24)</x:f>
        <x:v>567.885063151958</x:v>
      </x:c>
      <x:c r="Q79" s="56" t="n">
        <x:f>Equity_CF!Q20+(Energy_Revenue!Q14*0.1)*(1-Dep_Tax!Q24)</x:f>
        <x:v>975.1084389648643</x:v>
      </x:c>
      <x:c r="R79" s="56" t="n">
        <x:f>Equity_CF!R20+(Energy_Revenue!R14*0.1)*(1-Dep_Tax!R24)</x:f>
        <x:v>956.9227890946408</x:v>
      </x:c>
      <x:c r="S79" s="56" t="n">
        <x:f>Equity_CF!S20+(Energy_Revenue!S14*0.1)*(1-Dep_Tax!S24)</x:f>
        <x:v>973.2349303308805</x:v>
      </x:c>
      <x:c r="T79" s="56" t="n">
        <x:f>Equity_CF!T20+(Energy_Revenue!T14*0.1)*(1-Dep_Tax!T24)</x:f>
        <x:v>915.9651195312214</x:v>
      </x:c>
      <x:c r="U79" s="56" t="n">
        <x:f>Equity_CF!U20+(Energy_Revenue!U14*0.1)*(1-Dep_Tax!U24)</x:f>
        <x:v>930.9797823692302</x:v>
      </x:c>
      <x:c r="V79" s="56" t="n">
        <x:f>Equity_CF!V20+(Energy_Revenue!V14*0.1)*(1-Dep_Tax!V24)</x:f>
        <x:v>946.2587360176742</x:v>
      </x:c>
      <x:c r="W79" s="56" t="n">
        <x:f>Equity_CF!W20+(Energy_Revenue!W14*0.1)*(1-Dep_Tax!W24)</x:f>
        <x:v>961.8066196888254</x:v>
      </x:c>
      <x:c r="X79" s="56" t="n">
        <x:f>Equity_CF!X20+(Energy_Revenue!X14*0.1)*(1-Dep_Tax!X24)</x:f>
        <x:v>977.6281537661964</x:v>
      </x:c>
      <x:c r="Y79" s="56" t="n">
        <x:f>Equity_CF!Y20+(Energy_Revenue!Y14*0.1)*(1-Dep_Tax!Y24)</x:f>
        <x:v>0</x:v>
      </x:c>
      <x:c r="Z79" s="56" t="n">
        <x:f>Equity_CF!Z20+(Energy_Revenue!Z14*0.1)*(1-Dep_Tax!Z24)</x:f>
        <x:v>0</x:v>
      </x:c>
      <x:c r="AA79" s="56" t="n">
        <x:f>Equity_CF!AA20+(Energy_Revenue!AA14*0.1)*(1-Dep_Tax!AA24)</x:f>
        <x:v>0</x:v>
      </x:c>
      <x:c r="AB79" s="56" t="n">
        <x:f>Equity_CF!AB20+(Energy_Revenue!AB14*0.1)*(1-Dep_Tax!AB24)</x:f>
        <x:v>0</x:v>
      </x:c>
      <x:c r="AC79" s="56" t="n">
        <x:f>Equity_CF!AC20+(Energy_Revenue!AC14*0.1)*(1-Dep_Tax!AC24)</x:f>
        <x:v>0</x:v>
      </x:c>
      <x:c r="AD79" s="56" t="n">
        <x:f>Equity_CF!AD20+(Energy_Revenue!AD14*0.1)*(1-Dep_Tax!AD24)</x:f>
        <x:v>0</x:v>
      </x:c>
      <x:c r="AE79" s="56" t="n">
        <x:f>Equity_CF!AE20+(Energy_Revenue!AE14*0.1)*(1-Dep_Tax!AE24)</x:f>
        <x:v>0</x:v>
      </x:c>
      <x:c r="AF79" s="56" t="n">
        <x:f>Equity_CF!AF20+(Energy_Revenue!AF14*0.1)*(1-Dep_Tax!AF24)</x:f>
        <x:v>0</x:v>
      </x:c>
    </x:row>
    <x:row r="80">
      <x:c r="A80" s="41" t="s">
        <x:v>668</x:v>
      </x:c>
      <x:c r="B80" s="41" t="s">
        <x:v>683</x:v>
      </x:c>
      <x:c r="C80" s="56" t="n">
        <x:f>Equity_CF!C20-((CAPEX!C15-CAPEX!C17-Debt!C12)*-0.0999999999999999)</x:f>
        <x:v>-1008.9750000000001</x:v>
      </x:c>
      <x:c r="D80" s="56" t="n">
        <x:f>Equity_CF!D20-((CAPEX!D15-CAPEX!D17-Debt!D12)*-0.0999999999999999)</x:f>
        <x:v>-1400.3350000000005</x:v>
      </x:c>
      <x:c r="E80" s="56" t="n">
        <x:f>Equity_CF!E20-((CAPEX!E15-CAPEX!E17-Debt!E12)*-0.0999999999999999)</x:f>
        <x:v>278.1241626666668</x:v>
      </x:c>
      <x:c r="F80" s="56" t="n">
        <x:f>Equity_CF!F20-((CAPEX!F15-CAPEX!F17-Debt!F12)*-0.0999999999999999)</x:f>
        <x:v>-3.5056979718398225</x:v>
      </x:c>
      <x:c r="G80" s="56" t="n">
        <x:f>Equity_CF!G20-((CAPEX!G15-CAPEX!G17-Debt!G12)*-0.0999999999999999)</x:f>
        <x:v>45.30130268591927</x:v>
      </x:c>
      <x:c r="H80" s="56" t="n">
        <x:f>Equity_CF!H20-((CAPEX!H15-CAPEX!H17-Debt!H12)*-0.0999999999999999)</x:f>
        <x:v>94.33913927202491</x:v>
      </x:c>
      <x:c r="I80" s="56" t="n">
        <x:f>Equity_CF!I20-((CAPEX!I15-CAPEX!I17-Debt!I12)*-0.0999999999999999)</x:f>
        <x:v>134.84645884999713</x:v>
      </x:c>
      <x:c r="J80" s="56" t="n">
        <x:f>Equity_CF!J20-((CAPEX!J15-CAPEX!J17-Debt!J12)*-0.0999999999999999)</x:f>
        <x:v>181.88258439420366</x:v>
      </x:c>
      <x:c r="K80" s="56" t="n">
        <x:f>Equity_CF!K20-((CAPEX!K15-CAPEX!K17-Debt!K12)*-0.0999999999999999)</x:f>
        <x:v>229.14973188972576</x:v>
      </x:c>
      <x:c r="L80" s="56" t="n">
        <x:f>Equity_CF!L20-((CAPEX!L15-CAPEX!L17-Debt!L12)*-0.0999999999999999)</x:f>
        <x:v>276.65194786870677</x:v>
      </x:c>
      <x:c r="M80" s="56" t="n">
        <x:f>Equity_CF!M20-((CAPEX!M15-CAPEX!M17-Debt!M12)*-0.0999999999999999)</x:f>
        <x:v>324.3933494865654</x:v>
      </x:c>
      <x:c r="N80" s="56" t="n">
        <x:f>Equity_CF!N20-((CAPEX!N15-CAPEX!N17-Debt!N12)*-0.0999999999999999)</x:f>
        <x:v>372.3781257493401</x:v>
      </x:c>
      <x:c r="O80" s="56" t="n">
        <x:f>Equity_CF!O20-((CAPEX!O15-CAPEX!O17-Debt!O12)*-0.0999999999999999)</x:f>
        <x:v>420.6105387622574</x:v>
      </x:c>
      <x:c r="P80" s="56" t="n">
        <x:f>Equity_CF!P20-((CAPEX!P15-CAPEX!P17-Debt!P12)*-0.0999999999999999)</x:f>
        <x:v>469.0949249998862</x:v>
      </x:c>
      <x:c r="Q80" s="56" t="n">
        <x:f>Equity_CF!Q20-((CAPEX!Q15-CAPEX!Q17-Debt!Q12)*-0.0999999999999999)</x:f>
        <x:v>874.5440299315812</x:v>
      </x:c>
      <x:c r="R80" s="56" t="n">
        <x:f>Equity_CF!R20-((CAPEX!R15-CAPEX!R17-Debt!R12)*-0.0999999999999999)</x:f>
        <x:v>859.9401667393054</x:v>
      </x:c>
      <x:c r="S80" s="56" t="n">
        <x:f>Equity_CF!S20-((CAPEX!S15-CAPEX!S17-Debt!S12)*-0.0999999999999999)</x:f>
        <x:v>874.5105000780432</x:v>
      </x:c>
      <x:c r="T80" s="56" t="n">
        <x:f>Equity_CF!T20-((CAPEX!T15-CAPEX!T17-Debt!T12)*-0.0999999999999999)</x:f>
        <x:v>826.6339897355074</x:v>
      </x:c>
      <x:c r="U80" s="56" t="n">
        <x:f>Equity_CF!U20-((CAPEX!U15-CAPEX!U17-Debt!U12)*-0.0999999999999999)</x:f>
        <x:v>840.0442654823851</x:v>
      </x:c>
      <x:c r="V80" s="56" t="n">
        <x:f>Equity_CF!V20-((CAPEX!V15-CAPEX!V17-Debt!V12)*-0.0999999999999999)</x:f>
        <x:v>853.6900172475414</x:v>
      </x:c>
      <x:c r="W80" s="56" t="n">
        <x:f>Equity_CF!W20-((CAPEX!W15-CAPEX!W17-Debt!W12)*-0.0999999999999999)</x:f>
        <x:v>867.5753667295811</x:v>
      </x:c>
      <x:c r="X80" s="56" t="n">
        <x:f>Equity_CF!X20-((CAPEX!X15-CAPEX!X17-Debt!X12)*-0.0999999999999999)</x:f>
        <x:v>881.704507503804</x:v>
      </x:c>
      <x:c r="Y80" s="56" t="n">
        <x:f>Equity_CF!Y20-((CAPEX!Y15-CAPEX!Y17-Debt!Y12)*-0.0999999999999999)</x:f>
        <x:v>0</x:v>
      </x:c>
      <x:c r="Z80" s="56" t="n">
        <x:f>Equity_CF!Z20-((CAPEX!Z15-CAPEX!Z17-Debt!Z12)*-0.0999999999999999)</x:f>
        <x:v>0</x:v>
      </x:c>
      <x:c r="AA80" s="56" t="n">
        <x:f>Equity_CF!AA20-((CAPEX!AA15-CAPEX!AA17-Debt!AA12)*-0.0999999999999999)</x:f>
        <x:v>0</x:v>
      </x:c>
      <x:c r="AB80" s="56" t="n">
        <x:f>Equity_CF!AB20-((CAPEX!AB15-CAPEX!AB17-Debt!AB12)*-0.0999999999999999)</x:f>
        <x:v>0</x:v>
      </x:c>
      <x:c r="AC80" s="56" t="n">
        <x:f>Equity_CF!AC20-((CAPEX!AC15-CAPEX!AC17-Debt!AC12)*-0.0999999999999999)</x:f>
        <x:v>0</x:v>
      </x:c>
      <x:c r="AD80" s="56" t="n">
        <x:f>Equity_CF!AD20-((CAPEX!AD15-CAPEX!AD17-Debt!AD12)*-0.0999999999999999)</x:f>
        <x:v>0</x:v>
      </x:c>
      <x:c r="AE80" s="56" t="n">
        <x:f>Equity_CF!AE20-((CAPEX!AE15-CAPEX!AE17-Debt!AE12)*-0.0999999999999999)</x:f>
        <x:v>0</x:v>
      </x:c>
      <x:c r="AF80" s="56" t="n">
        <x:f>Equity_CF!AF20-((CAPEX!AF15-CAPEX!AF17-Debt!AF12)*-0.0999999999999999)</x:f>
        <x:v>0</x:v>
      </x:c>
    </x:row>
    <x:row r="81">
      <x:c r="A81" t="s">
        <x:v>669</x:v>
      </x:c>
      <x:c r="B81" t="s">
        <x:v>684</x:v>
      </x:c>
      <x:c r="C81" s="57" t="n">
        <x:f>Equity_CF!C20-((CAPEX!C15-CAPEX!C17-Debt!C12)*-0.05)</x:f>
        <x:v>-1057.895</x:v>
      </x:c>
      <x:c r="D81" s="57" t="n">
        <x:f>Equity_CF!D20-((CAPEX!D15-CAPEX!D17-Debt!D12)*-0.05)</x:f>
        <x:v>-1461.4850000000004</x:v>
      </x:c>
      <x:c r="E81" s="57" t="n">
        <x:f>Equity_CF!E20-((CAPEX!E15-CAPEX!E17-Debt!E12)*-0.05)</x:f>
        <x:v>296.4691626666667</x:v>
      </x:c>
      <x:c r="F81" s="57" t="n">
        <x:f>Equity_CF!F20-((CAPEX!F15-CAPEX!F17-Debt!F12)*-0.05)</x:f>
        <x:v>-3.5056979718398225</x:v>
      </x:c>
      <x:c r="G81" s="57" t="n">
        <x:f>Equity_CF!G20-((CAPEX!G15-CAPEX!G17-Debt!G12)*-0.05)</x:f>
        <x:v>45.30130268591927</x:v>
      </x:c>
      <x:c r="H81" s="57" t="n">
        <x:f>Equity_CF!H20-((CAPEX!H15-CAPEX!H17-Debt!H12)*-0.05)</x:f>
        <x:v>94.33913927202491</x:v>
      </x:c>
      <x:c r="I81" s="57" t="n">
        <x:f>Equity_CF!I20-((CAPEX!I15-CAPEX!I17-Debt!I12)*-0.05)</x:f>
        <x:v>134.84645884999713</x:v>
      </x:c>
      <x:c r="J81" s="57" t="n">
        <x:f>Equity_CF!J20-((CAPEX!J15-CAPEX!J17-Debt!J12)*-0.05)</x:f>
        <x:v>181.88258439420366</x:v>
      </x:c>
      <x:c r="K81" s="57" t="n">
        <x:f>Equity_CF!K20-((CAPEX!K15-CAPEX!K17-Debt!K12)*-0.05)</x:f>
        <x:v>229.14973188972576</x:v>
      </x:c>
      <x:c r="L81" s="57" t="n">
        <x:f>Equity_CF!L20-((CAPEX!L15-CAPEX!L17-Debt!L12)*-0.05)</x:f>
        <x:v>276.65194786870677</x:v>
      </x:c>
      <x:c r="M81" s="57" t="n">
        <x:f>Equity_CF!M20-((CAPEX!M15-CAPEX!M17-Debt!M12)*-0.05)</x:f>
        <x:v>324.3933494865654</x:v>
      </x:c>
      <x:c r="N81" s="57" t="n">
        <x:f>Equity_CF!N20-((CAPEX!N15-CAPEX!N17-Debt!N12)*-0.05)</x:f>
        <x:v>372.3781257493401</x:v>
      </x:c>
      <x:c r="O81" s="57" t="n">
        <x:f>Equity_CF!O20-((CAPEX!O15-CAPEX!O17-Debt!O12)*-0.05)</x:f>
        <x:v>420.6105387622574</x:v>
      </x:c>
      <x:c r="P81" s="57" t="n">
        <x:f>Equity_CF!P20-((CAPEX!P15-CAPEX!P17-Debt!P12)*-0.05)</x:f>
        <x:v>469.0949249998862</x:v>
      </x:c>
      <x:c r="Q81" s="57" t="n">
        <x:f>Equity_CF!Q20-((CAPEX!Q15-CAPEX!Q17-Debt!Q12)*-0.05)</x:f>
        <x:v>874.5440299315812</x:v>
      </x:c>
      <x:c r="R81" s="57" t="n">
        <x:f>Equity_CF!R20-((CAPEX!R15-CAPEX!R17-Debt!R12)*-0.05)</x:f>
        <x:v>859.9401667393054</x:v>
      </x:c>
      <x:c r="S81" s="57" t="n">
        <x:f>Equity_CF!S20-((CAPEX!S15-CAPEX!S17-Debt!S12)*-0.05)</x:f>
        <x:v>874.5105000780432</x:v>
      </x:c>
      <x:c r="T81" s="57" t="n">
        <x:f>Equity_CF!T20-((CAPEX!T15-CAPEX!T17-Debt!T12)*-0.05)</x:f>
        <x:v>826.6339897355074</x:v>
      </x:c>
      <x:c r="U81" s="57" t="n">
        <x:f>Equity_CF!U20-((CAPEX!U15-CAPEX!U17-Debt!U12)*-0.05)</x:f>
        <x:v>840.0442654823851</x:v>
      </x:c>
      <x:c r="V81" s="57" t="n">
        <x:f>Equity_CF!V20-((CAPEX!V15-CAPEX!V17-Debt!V12)*-0.05)</x:f>
        <x:v>853.6900172475414</x:v>
      </x:c>
      <x:c r="W81" s="57" t="n">
        <x:f>Equity_CF!W20-((CAPEX!W15-CAPEX!W17-Debt!W12)*-0.05)</x:f>
        <x:v>867.5753667295811</x:v>
      </x:c>
      <x:c r="X81" s="57" t="n">
        <x:f>Equity_CF!X20-((CAPEX!X15-CAPEX!X17-Debt!X12)*-0.05)</x:f>
        <x:v>881.704507503804</x:v>
      </x:c>
      <x:c r="Y81" s="57" t="n">
        <x:f>Equity_CF!Y20-((CAPEX!Y15-CAPEX!Y17-Debt!Y12)*-0.05)</x:f>
        <x:v>0</x:v>
      </x:c>
      <x:c r="Z81" s="57" t="n">
        <x:f>Equity_CF!Z20-((CAPEX!Z15-CAPEX!Z17-Debt!Z12)*-0.05)</x:f>
        <x:v>0</x:v>
      </x:c>
      <x:c r="AA81" s="57" t="n">
        <x:f>Equity_CF!AA20-((CAPEX!AA15-CAPEX!AA17-Debt!AA12)*-0.05)</x:f>
        <x:v>0</x:v>
      </x:c>
      <x:c r="AB81" s="57" t="n">
        <x:f>Equity_CF!AB20-((CAPEX!AB15-CAPEX!AB17-Debt!AB12)*-0.05)</x:f>
        <x:v>0</x:v>
      </x:c>
      <x:c r="AC81" s="57" t="n">
        <x:f>Equity_CF!AC20-((CAPEX!AC15-CAPEX!AC17-Debt!AC12)*-0.05)</x:f>
        <x:v>0</x:v>
      </x:c>
      <x:c r="AD81" s="57" t="n">
        <x:f>Equity_CF!AD20-((CAPEX!AD15-CAPEX!AD17-Debt!AD12)*-0.05)</x:f>
        <x:v>0</x:v>
      </x:c>
      <x:c r="AE81" s="57" t="n">
        <x:f>Equity_CF!AE20-((CAPEX!AE15-CAPEX!AE17-Debt!AE12)*-0.05)</x:f>
        <x:v>0</x:v>
      </x:c>
      <x:c r="AF81" s="57" t="n">
        <x:f>Equity_CF!AF20-((CAPEX!AF15-CAPEX!AF17-Debt!AF12)*-0.05)</x:f>
        <x:v>0</x:v>
      </x:c>
    </x:row>
    <x:row r="82">
      <x:c r="A82" t="s">
        <x:v>670</x:v>
      </x:c>
      <x:c r="B82" t="s">
        <x:v>685</x:v>
      </x:c>
      <x:c r="C82" s="57" t="n">
        <x:f>Equity_CF!C20-((CAPEX!C15-CAPEX!C17-Debt!C12)*0)</x:f>
        <x:v>-1106.815</x:v>
      </x:c>
      <x:c r="D82" s="57" t="n">
        <x:f>Equity_CF!D20-((CAPEX!D15-CAPEX!D17-Debt!D12)*0)</x:f>
        <x:v>-1522.6350000000004</x:v>
      </x:c>
      <x:c r="E82" s="57" t="n">
        <x:f>Equity_CF!E20-((CAPEX!E15-CAPEX!E17-Debt!E12)*0)</x:f>
        <x:v>314.81416266666673</x:v>
      </x:c>
      <x:c r="F82" s="57" t="n">
        <x:f>Equity_CF!F20-((CAPEX!F15-CAPEX!F17-Debt!F12)*0)</x:f>
        <x:v>-3.5056979718398225</x:v>
      </x:c>
      <x:c r="G82" s="57" t="n">
        <x:f>Equity_CF!G20-((CAPEX!G15-CAPEX!G17-Debt!G12)*0)</x:f>
        <x:v>45.30130268591927</x:v>
      </x:c>
      <x:c r="H82" s="57" t="n">
        <x:f>Equity_CF!H20-((CAPEX!H15-CAPEX!H17-Debt!H12)*0)</x:f>
        <x:v>94.33913927202491</x:v>
      </x:c>
      <x:c r="I82" s="57" t="n">
        <x:f>Equity_CF!I20-((CAPEX!I15-CAPEX!I17-Debt!I12)*0)</x:f>
        <x:v>134.84645884999713</x:v>
      </x:c>
      <x:c r="J82" s="57" t="n">
        <x:f>Equity_CF!J20-((CAPEX!J15-CAPEX!J17-Debt!J12)*0)</x:f>
        <x:v>181.88258439420366</x:v>
      </x:c>
      <x:c r="K82" s="57" t="n">
        <x:f>Equity_CF!K20-((CAPEX!K15-CAPEX!K17-Debt!K12)*0)</x:f>
        <x:v>229.14973188972576</x:v>
      </x:c>
      <x:c r="L82" s="57" t="n">
        <x:f>Equity_CF!L20-((CAPEX!L15-CAPEX!L17-Debt!L12)*0)</x:f>
        <x:v>276.65194786870677</x:v>
      </x:c>
      <x:c r="M82" s="57" t="n">
        <x:f>Equity_CF!M20-((CAPEX!M15-CAPEX!M17-Debt!M12)*0)</x:f>
        <x:v>324.3933494865654</x:v>
      </x:c>
      <x:c r="N82" s="57" t="n">
        <x:f>Equity_CF!N20-((CAPEX!N15-CAPEX!N17-Debt!N12)*0)</x:f>
        <x:v>372.3781257493401</x:v>
      </x:c>
      <x:c r="O82" s="57" t="n">
        <x:f>Equity_CF!O20-((CAPEX!O15-CAPEX!O17-Debt!O12)*0)</x:f>
        <x:v>420.6105387622574</x:v>
      </x:c>
      <x:c r="P82" s="57" t="n">
        <x:f>Equity_CF!P20-((CAPEX!P15-CAPEX!P17-Debt!P12)*0)</x:f>
        <x:v>469.0949249998862</x:v>
      </x:c>
      <x:c r="Q82" s="57" t="n">
        <x:f>Equity_CF!Q20-((CAPEX!Q15-CAPEX!Q17-Debt!Q12)*0)</x:f>
        <x:v>874.5440299315812</x:v>
      </x:c>
      <x:c r="R82" s="57" t="n">
        <x:f>Equity_CF!R20-((CAPEX!R15-CAPEX!R17-Debt!R12)*0)</x:f>
        <x:v>859.9401667393054</x:v>
      </x:c>
      <x:c r="S82" s="57" t="n">
        <x:f>Equity_CF!S20-((CAPEX!S15-CAPEX!S17-Debt!S12)*0)</x:f>
        <x:v>874.5105000780432</x:v>
      </x:c>
      <x:c r="T82" s="57" t="n">
        <x:f>Equity_CF!T20-((CAPEX!T15-CAPEX!T17-Debt!T12)*0)</x:f>
        <x:v>826.6339897355074</x:v>
      </x:c>
      <x:c r="U82" s="57" t="n">
        <x:f>Equity_CF!U20-((CAPEX!U15-CAPEX!U17-Debt!U12)*0)</x:f>
        <x:v>840.0442654823851</x:v>
      </x:c>
      <x:c r="V82" s="57" t="n">
        <x:f>Equity_CF!V20-((CAPEX!V15-CAPEX!V17-Debt!V12)*0)</x:f>
        <x:v>853.6900172475414</x:v>
      </x:c>
      <x:c r="W82" s="57" t="n">
        <x:f>Equity_CF!W20-((CAPEX!W15-CAPEX!W17-Debt!W12)*0)</x:f>
        <x:v>867.5753667295811</x:v>
      </x:c>
      <x:c r="X82" s="57" t="n">
        <x:f>Equity_CF!X20-((CAPEX!X15-CAPEX!X17-Debt!X12)*0)</x:f>
        <x:v>881.704507503804</x:v>
      </x:c>
      <x:c r="Y82" s="57" t="n">
        <x:f>Equity_CF!Y20-((CAPEX!Y15-CAPEX!Y17-Debt!Y12)*0)</x:f>
        <x:v>0</x:v>
      </x:c>
      <x:c r="Z82" s="57" t="n">
        <x:f>Equity_CF!Z20-((CAPEX!Z15-CAPEX!Z17-Debt!Z12)*0)</x:f>
        <x:v>0</x:v>
      </x:c>
      <x:c r="AA82" s="57" t="n">
        <x:f>Equity_CF!AA20-((CAPEX!AA15-CAPEX!AA17-Debt!AA12)*0)</x:f>
        <x:v>0</x:v>
      </x:c>
      <x:c r="AB82" s="57" t="n">
        <x:f>Equity_CF!AB20-((CAPEX!AB15-CAPEX!AB17-Debt!AB12)*0)</x:f>
        <x:v>0</x:v>
      </x:c>
      <x:c r="AC82" s="57" t="n">
        <x:f>Equity_CF!AC20-((CAPEX!AC15-CAPEX!AC17-Debt!AC12)*0)</x:f>
        <x:v>0</x:v>
      </x:c>
      <x:c r="AD82" s="57" t="n">
        <x:f>Equity_CF!AD20-((CAPEX!AD15-CAPEX!AD17-Debt!AD12)*0)</x:f>
        <x:v>0</x:v>
      </x:c>
      <x:c r="AE82" s="57" t="n">
        <x:f>Equity_CF!AE20-((CAPEX!AE15-CAPEX!AE17-Debt!AE12)*0)</x:f>
        <x:v>0</x:v>
      </x:c>
      <x:c r="AF82" s="57" t="n">
        <x:f>Equity_CF!AF20-((CAPEX!AF15-CAPEX!AF17-Debt!AF12)*0)</x:f>
        <x:v>0</x:v>
      </x:c>
    </x:row>
    <x:row r="83">
      <x:c r="A83" t="s">
        <x:v>671</x:v>
      </x:c>
      <x:c r="B83" t="s">
        <x:v>686</x:v>
      </x:c>
      <x:c r="C83" s="57" t="n">
        <x:f>Equity_CF!C20-((CAPEX!C15-CAPEX!C17-Debt!C12)*0.05)</x:f>
        <x:v>-1155.7350000000001</x:v>
      </x:c>
      <x:c r="D83" s="57" t="n">
        <x:f>Equity_CF!D20-((CAPEX!D15-CAPEX!D17-Debt!D12)*0.05)</x:f>
        <x:v>-1583.7850000000005</x:v>
      </x:c>
      <x:c r="E83" s="57" t="n">
        <x:f>Equity_CF!E20-((CAPEX!E15-CAPEX!E17-Debt!E12)*0.05)</x:f>
        <x:v>333.15916266666676</x:v>
      </x:c>
      <x:c r="F83" s="57" t="n">
        <x:f>Equity_CF!F20-((CAPEX!F15-CAPEX!F17-Debt!F12)*0.05)</x:f>
        <x:v>-3.5056979718398225</x:v>
      </x:c>
      <x:c r="G83" s="57" t="n">
        <x:f>Equity_CF!G20-((CAPEX!G15-CAPEX!G17-Debt!G12)*0.05)</x:f>
        <x:v>45.30130268591927</x:v>
      </x:c>
      <x:c r="H83" s="57" t="n">
        <x:f>Equity_CF!H20-((CAPEX!H15-CAPEX!H17-Debt!H12)*0.05)</x:f>
        <x:v>94.33913927202491</x:v>
      </x:c>
      <x:c r="I83" s="57" t="n">
        <x:f>Equity_CF!I20-((CAPEX!I15-CAPEX!I17-Debt!I12)*0.05)</x:f>
        <x:v>134.84645884999713</x:v>
      </x:c>
      <x:c r="J83" s="57" t="n">
        <x:f>Equity_CF!J20-((CAPEX!J15-CAPEX!J17-Debt!J12)*0.05)</x:f>
        <x:v>181.88258439420366</x:v>
      </x:c>
      <x:c r="K83" s="57" t="n">
        <x:f>Equity_CF!K20-((CAPEX!K15-CAPEX!K17-Debt!K12)*0.05)</x:f>
        <x:v>229.14973188972576</x:v>
      </x:c>
      <x:c r="L83" s="57" t="n">
        <x:f>Equity_CF!L20-((CAPEX!L15-CAPEX!L17-Debt!L12)*0.05)</x:f>
        <x:v>276.65194786870677</x:v>
      </x:c>
      <x:c r="M83" s="57" t="n">
        <x:f>Equity_CF!M20-((CAPEX!M15-CAPEX!M17-Debt!M12)*0.05)</x:f>
        <x:v>324.3933494865654</x:v>
      </x:c>
      <x:c r="N83" s="57" t="n">
        <x:f>Equity_CF!N20-((CAPEX!N15-CAPEX!N17-Debt!N12)*0.05)</x:f>
        <x:v>372.3781257493401</x:v>
      </x:c>
      <x:c r="O83" s="57" t="n">
        <x:f>Equity_CF!O20-((CAPEX!O15-CAPEX!O17-Debt!O12)*0.05)</x:f>
        <x:v>420.6105387622574</x:v>
      </x:c>
      <x:c r="P83" s="57" t="n">
        <x:f>Equity_CF!P20-((CAPEX!P15-CAPEX!P17-Debt!P12)*0.05)</x:f>
        <x:v>469.0949249998862</x:v>
      </x:c>
      <x:c r="Q83" s="57" t="n">
        <x:f>Equity_CF!Q20-((CAPEX!Q15-CAPEX!Q17-Debt!Q12)*0.05)</x:f>
        <x:v>874.5440299315812</x:v>
      </x:c>
      <x:c r="R83" s="57" t="n">
        <x:f>Equity_CF!R20-((CAPEX!R15-CAPEX!R17-Debt!R12)*0.05)</x:f>
        <x:v>859.9401667393054</x:v>
      </x:c>
      <x:c r="S83" s="57" t="n">
        <x:f>Equity_CF!S20-((CAPEX!S15-CAPEX!S17-Debt!S12)*0.05)</x:f>
        <x:v>874.5105000780432</x:v>
      </x:c>
      <x:c r="T83" s="57" t="n">
        <x:f>Equity_CF!T20-((CAPEX!T15-CAPEX!T17-Debt!T12)*0.05)</x:f>
        <x:v>826.6339897355074</x:v>
      </x:c>
      <x:c r="U83" s="57" t="n">
        <x:f>Equity_CF!U20-((CAPEX!U15-CAPEX!U17-Debt!U12)*0.05)</x:f>
        <x:v>840.0442654823851</x:v>
      </x:c>
      <x:c r="V83" s="57" t="n">
        <x:f>Equity_CF!V20-((CAPEX!V15-CAPEX!V17-Debt!V12)*0.05)</x:f>
        <x:v>853.6900172475414</x:v>
      </x:c>
      <x:c r="W83" s="57" t="n">
        <x:f>Equity_CF!W20-((CAPEX!W15-CAPEX!W17-Debt!W12)*0.05)</x:f>
        <x:v>867.5753667295811</x:v>
      </x:c>
      <x:c r="X83" s="57" t="n">
        <x:f>Equity_CF!X20-((CAPEX!X15-CAPEX!X17-Debt!X12)*0.05)</x:f>
        <x:v>881.704507503804</x:v>
      </x:c>
      <x:c r="Y83" s="57" t="n">
        <x:f>Equity_CF!Y20-((CAPEX!Y15-CAPEX!Y17-Debt!Y12)*0.05)</x:f>
        <x:v>0</x:v>
      </x:c>
      <x:c r="Z83" s="57" t="n">
        <x:f>Equity_CF!Z20-((CAPEX!Z15-CAPEX!Z17-Debt!Z12)*0.05)</x:f>
        <x:v>0</x:v>
      </x:c>
      <x:c r="AA83" s="57" t="n">
        <x:f>Equity_CF!AA20-((CAPEX!AA15-CAPEX!AA17-Debt!AA12)*0.05)</x:f>
        <x:v>0</x:v>
      </x:c>
      <x:c r="AB83" s="57" t="n">
        <x:f>Equity_CF!AB20-((CAPEX!AB15-CAPEX!AB17-Debt!AB12)*0.05)</x:f>
        <x:v>0</x:v>
      </x:c>
      <x:c r="AC83" s="57" t="n">
        <x:f>Equity_CF!AC20-((CAPEX!AC15-CAPEX!AC17-Debt!AC12)*0.05)</x:f>
        <x:v>0</x:v>
      </x:c>
      <x:c r="AD83" s="57" t="n">
        <x:f>Equity_CF!AD20-((CAPEX!AD15-CAPEX!AD17-Debt!AD12)*0.05)</x:f>
        <x:v>0</x:v>
      </x:c>
      <x:c r="AE83" s="57" t="n">
        <x:f>Equity_CF!AE20-((CAPEX!AE15-CAPEX!AE17-Debt!AE12)*0.05)</x:f>
        <x:v>0</x:v>
      </x:c>
      <x:c r="AF83" s="57" t="n">
        <x:f>Equity_CF!AF20-((CAPEX!AF15-CAPEX!AF17-Debt!AF12)*0.05)</x:f>
        <x:v>0</x:v>
      </x:c>
    </x:row>
    <x:row r="84">
      <x:c r="A84" t="s">
        <x:v>672</x:v>
      </x:c>
      <x:c r="B84" t="s">
        <x:v>687</x:v>
      </x:c>
      <x:c r="C84" s="57" t="n">
        <x:f>Equity_CF!C20-((CAPEX!C15-CAPEX!C17-Debt!C12)*0.1)</x:f>
        <x:v>-1204.655</x:v>
      </x:c>
      <x:c r="D84" s="57" t="n">
        <x:f>Equity_CF!D20-((CAPEX!D15-CAPEX!D17-Debt!D12)*0.1)</x:f>
        <x:v>-1644.9350000000004</x:v>
      </x:c>
      <x:c r="E84" s="57" t="n">
        <x:f>Equity_CF!E20-((CAPEX!E15-CAPEX!E17-Debt!E12)*0.1)</x:f>
        <x:v>351.50416266666673</x:v>
      </x:c>
      <x:c r="F84" s="57" t="n">
        <x:f>Equity_CF!F20-((CAPEX!F15-CAPEX!F17-Debt!F12)*0.1)</x:f>
        <x:v>-3.5056979718398225</x:v>
      </x:c>
      <x:c r="G84" s="57" t="n">
        <x:f>Equity_CF!G20-((CAPEX!G15-CAPEX!G17-Debt!G12)*0.1)</x:f>
        <x:v>45.30130268591927</x:v>
      </x:c>
      <x:c r="H84" s="57" t="n">
        <x:f>Equity_CF!H20-((CAPEX!H15-CAPEX!H17-Debt!H12)*0.1)</x:f>
        <x:v>94.33913927202491</x:v>
      </x:c>
      <x:c r="I84" s="57" t="n">
        <x:f>Equity_CF!I20-((CAPEX!I15-CAPEX!I17-Debt!I12)*0.1)</x:f>
        <x:v>134.84645884999713</x:v>
      </x:c>
      <x:c r="J84" s="57" t="n">
        <x:f>Equity_CF!J20-((CAPEX!J15-CAPEX!J17-Debt!J12)*0.1)</x:f>
        <x:v>181.88258439420366</x:v>
      </x:c>
      <x:c r="K84" s="57" t="n">
        <x:f>Equity_CF!K20-((CAPEX!K15-CAPEX!K17-Debt!K12)*0.1)</x:f>
        <x:v>229.14973188972576</x:v>
      </x:c>
      <x:c r="L84" s="57" t="n">
        <x:f>Equity_CF!L20-((CAPEX!L15-CAPEX!L17-Debt!L12)*0.1)</x:f>
        <x:v>276.65194786870677</x:v>
      </x:c>
      <x:c r="M84" s="57" t="n">
        <x:f>Equity_CF!M20-((CAPEX!M15-CAPEX!M17-Debt!M12)*0.1)</x:f>
        <x:v>324.3933494865654</x:v>
      </x:c>
      <x:c r="N84" s="57" t="n">
        <x:f>Equity_CF!N20-((CAPEX!N15-CAPEX!N17-Debt!N12)*0.1)</x:f>
        <x:v>372.3781257493401</x:v>
      </x:c>
      <x:c r="O84" s="57" t="n">
        <x:f>Equity_CF!O20-((CAPEX!O15-CAPEX!O17-Debt!O12)*0.1)</x:f>
        <x:v>420.6105387622574</x:v>
      </x:c>
      <x:c r="P84" s="57" t="n">
        <x:f>Equity_CF!P20-((CAPEX!P15-CAPEX!P17-Debt!P12)*0.1)</x:f>
        <x:v>469.0949249998862</x:v>
      </x:c>
      <x:c r="Q84" s="57" t="n">
        <x:f>Equity_CF!Q20-((CAPEX!Q15-CAPEX!Q17-Debt!Q12)*0.1)</x:f>
        <x:v>874.5440299315812</x:v>
      </x:c>
      <x:c r="R84" s="57" t="n">
        <x:f>Equity_CF!R20-((CAPEX!R15-CAPEX!R17-Debt!R12)*0.1)</x:f>
        <x:v>859.9401667393054</x:v>
      </x:c>
      <x:c r="S84" s="57" t="n">
        <x:f>Equity_CF!S20-((CAPEX!S15-CAPEX!S17-Debt!S12)*0.1)</x:f>
        <x:v>874.5105000780432</x:v>
      </x:c>
      <x:c r="T84" s="57" t="n">
        <x:f>Equity_CF!T20-((CAPEX!T15-CAPEX!T17-Debt!T12)*0.1)</x:f>
        <x:v>826.6339897355074</x:v>
      </x:c>
      <x:c r="U84" s="57" t="n">
        <x:f>Equity_CF!U20-((CAPEX!U15-CAPEX!U17-Debt!U12)*0.1)</x:f>
        <x:v>840.0442654823851</x:v>
      </x:c>
      <x:c r="V84" s="57" t="n">
        <x:f>Equity_CF!V20-((CAPEX!V15-CAPEX!V17-Debt!V12)*0.1)</x:f>
        <x:v>853.6900172475414</x:v>
      </x:c>
      <x:c r="W84" s="57" t="n">
        <x:f>Equity_CF!W20-((CAPEX!W15-CAPEX!W17-Debt!W12)*0.1)</x:f>
        <x:v>867.5753667295811</x:v>
      </x:c>
      <x:c r="X84" s="57" t="n">
        <x:f>Equity_CF!X20-((CAPEX!X15-CAPEX!X17-Debt!X12)*0.1)</x:f>
        <x:v>881.704507503804</x:v>
      </x:c>
      <x:c r="Y84" s="57" t="n">
        <x:f>Equity_CF!Y20-((CAPEX!Y15-CAPEX!Y17-Debt!Y12)*0.1)</x:f>
        <x:v>0</x:v>
      </x:c>
      <x:c r="Z84" s="57" t="n">
        <x:f>Equity_CF!Z20-((CAPEX!Z15-CAPEX!Z17-Debt!Z12)*0.1)</x:f>
        <x:v>0</x:v>
      </x:c>
      <x:c r="AA84" s="57" t="n">
        <x:f>Equity_CF!AA20-((CAPEX!AA15-CAPEX!AA17-Debt!AA12)*0.1)</x:f>
        <x:v>0</x:v>
      </x:c>
      <x:c r="AB84" s="57" t="n">
        <x:f>Equity_CF!AB20-((CAPEX!AB15-CAPEX!AB17-Debt!AB12)*0.1)</x:f>
        <x:v>0</x:v>
      </x:c>
      <x:c r="AC84" s="57" t="n">
        <x:f>Equity_CF!AC20-((CAPEX!AC15-CAPEX!AC17-Debt!AC12)*0.1)</x:f>
        <x:v>0</x:v>
      </x:c>
      <x:c r="AD84" s="57" t="n">
        <x:f>Equity_CF!AD20-((CAPEX!AD15-CAPEX!AD17-Debt!AD12)*0.1)</x:f>
        <x:v>0</x:v>
      </x:c>
      <x:c r="AE84" s="57" t="n">
        <x:f>Equity_CF!AE20-((CAPEX!AE15-CAPEX!AE17-Debt!AE12)*0.1)</x:f>
        <x:v>0</x:v>
      </x:c>
      <x:c r="AF84" s="57" t="n">
        <x:f>Equity_CF!AF20-((CAPEX!AF15-CAPEX!AF17-Debt!AF12)*0.1)</x:f>
        <x:v>0</x:v>
      </x:c>
    </x:row>
    <x:row r="85">
      <x:c r="A85" t="s">
        <x:v>673</x:v>
      </x:c>
      <x:c r="B85" t="s">
        <x:v>683</x:v>
      </x:c>
      <x:c r="C85" s="57" t="n">
        <x:f>Equity_CF!C20-(Energy_Revenue!C19*-0.0999999999999999)*(1-Dep_Tax!C24)</x:f>
        <x:v>-1106.815</x:v>
      </x:c>
      <x:c r="D85" s="57" t="n">
        <x:f>Equity_CF!D20-(Energy_Revenue!D19*-0.0999999999999999)*(1-Dep_Tax!D24)</x:f>
        <x:v>-1522.6350000000004</x:v>
      </x:c>
      <x:c r="E85" s="57" t="n">
        <x:f>Equity_CF!E20-(Energy_Revenue!E19*-0.0999999999999999)*(1-Dep_Tax!E24)</x:f>
        <x:v>327.0441626666667</x:v>
      </x:c>
      <x:c r="F85" s="57" t="n">
        <x:f>Equity_CF!F20-(Energy_Revenue!F19*-0.0999999999999999)*(1-Dep_Tax!F24)</x:f>
        <x:v>8.968902028160164</x:v>
      </x:c>
      <x:c r="G85" s="57" t="n">
        <x:f>Equity_CF!G20-(Energy_Revenue!G19*-0.0999999999999999)*(1-Dep_Tax!G24)</x:f>
        <x:v>58.02539468591925</x:v>
      </x:c>
      <x:c r="H85" s="57" t="n">
        <x:f>Equity_CF!H20-(Energy_Revenue!H19*-0.0999999999999999)*(1-Dep_Tax!H24)</x:f>
        <x:v>107.31771311202489</x:v>
      </x:c>
      <x:c r="I85" s="57" t="n">
        <x:f>Equity_CF!I20-(Energy_Revenue!I19*-0.0999999999999999)*(1-Dep_Tax!I24)</x:f>
        <x:v>147.42269690095713</x:v>
      </x:c>
      <x:c r="J85" s="57" t="n">
        <x:f>Equity_CF!J20-(Energy_Revenue!J19*-0.0999999999999999)*(1-Dep_Tax!J24)</x:f>
        <x:v>194.71034720618286</x:v>
      </x:c>
      <x:c r="K85" s="57" t="n">
        <x:f>Equity_CF!K20-(Energy_Revenue!K19*-0.0999999999999999)*(1-Dep_Tax!K24)</x:f>
        <x:v>242.23404995794453</x:v>
      </x:c>
      <x:c r="L85" s="57" t="n">
        <x:f>Equity_CF!L20-(Energy_Revenue!L19*-0.0999999999999999)*(1-Dep_Tax!L24)</x:f>
        <x:v>289.99795229828993</x:v>
      </x:c>
      <x:c r="M85" s="57" t="n">
        <x:f>Equity_CF!M20-(Energy_Revenue!M19*-0.0999999999999999)*(1-Dep_Tax!M24)</x:f>
        <x:v>338.0062740047402</x:v>
      </x:c>
      <x:c r="N85" s="57" t="n">
        <x:f>Equity_CF!N20-(Energy_Revenue!N19*-0.0999999999999999)*(1-Dep_Tax!N24)</x:f>
        <x:v>386.2633087578784</x:v>
      </x:c>
      <x:c r="O85" s="57" t="n">
        <x:f>Equity_CF!O20-(Energy_Revenue!O19*-0.0999999999999999)*(1-Dep_Tax!O24)</x:f>
        <x:v>434.7734254309665</x:v>
      </x:c>
      <x:c r="P85" s="57" t="n">
        <x:f>Equity_CF!P20-(Energy_Revenue!P19*-0.0999999999999999)*(1-Dep_Tax!P24)</x:f>
        <x:v>483.5410694019694</x:v>
      </x:c>
      <x:c r="Q85" s="57" t="n">
        <x:f>Equity_CF!Q20-(Energy_Revenue!Q19*-0.0999999999999999)*(1-Dep_Tax!Q24)</x:f>
        <x:v>889.2790972217061</x:v>
      </x:c>
      <x:c r="R85" s="57" t="n">
        <x:f>Equity_CF!R20-(Energy_Revenue!R19*-0.0999999999999999)*(1-Dep_Tax!R24)</x:f>
        <x:v>874.1788949207103</x:v>
      </x:c>
      <x:c r="S85" s="57" t="n">
        <x:f>Equity_CF!S20-(Energy_Revenue!S19*-0.0999999999999999)*(1-Dep_Tax!S24)</x:f>
        <x:v>889.0340028230762</x:v>
      </x:c>
      <x:c r="T85" s="57" t="n">
        <x:f>Equity_CF!T20-(Energy_Revenue!T19*-0.0999999999999999)*(1-Dep_Tax!T24)</x:f>
        <x:v>839.8019655576707</x:v>
      </x:c>
      <x:c r="U85" s="57" t="n">
        <x:f>Equity_CF!U20-(Energy_Revenue!U19*-0.0999999999999999)*(1-Dep_Tax!U24)</x:f>
        <x:v>853.4756008209916</x:v>
      </x:c>
      <x:c r="V85" s="57" t="n">
        <x:f>Equity_CF!V20-(Energy_Revenue!V19*-0.0999999999999999)*(1-Dep_Tax!V24)</x:f>
        <x:v>867.3899792929201</x:v>
      </x:c>
      <x:c r="W85" s="57" t="n">
        <x:f>Equity_CF!W20-(Energy_Revenue!W19*-0.0999999999999999)*(1-Dep_Tax!W24)</x:f>
        <x:v>881.5493280158673</x:v>
      </x:c>
      <x:c r="X85" s="57" t="n">
        <x:f>Equity_CF!X20-(Energy_Revenue!X19*-0.0999999999999999)*(1-Dep_Tax!X24)</x:f>
        <x:v>895.957948015816</x:v>
      </x:c>
      <x:c r="Y85" s="57" t="n">
        <x:f>Equity_CF!Y20-(Energy_Revenue!Y19*-0.0999999999999999)*(1-Dep_Tax!Y24)</x:f>
        <x:v>0</x:v>
      </x:c>
      <x:c r="Z85" s="57" t="n">
        <x:f>Equity_CF!Z20-(Energy_Revenue!Z19*-0.0999999999999999)*(1-Dep_Tax!Z24)</x:f>
        <x:v>0</x:v>
      </x:c>
      <x:c r="AA85" s="57" t="n">
        <x:f>Equity_CF!AA20-(Energy_Revenue!AA19*-0.0999999999999999)*(1-Dep_Tax!AA24)</x:f>
        <x:v>0</x:v>
      </x:c>
      <x:c r="AB85" s="57" t="n">
        <x:f>Equity_CF!AB20-(Energy_Revenue!AB19*-0.0999999999999999)*(1-Dep_Tax!AB24)</x:f>
        <x:v>0</x:v>
      </x:c>
      <x:c r="AC85" s="57" t="n">
        <x:f>Equity_CF!AC20-(Energy_Revenue!AC19*-0.0999999999999999)*(1-Dep_Tax!AC24)</x:f>
        <x:v>0</x:v>
      </x:c>
      <x:c r="AD85" s="57" t="n">
        <x:f>Equity_CF!AD20-(Energy_Revenue!AD19*-0.0999999999999999)*(1-Dep_Tax!AD24)</x:f>
        <x:v>0</x:v>
      </x:c>
      <x:c r="AE85" s="57" t="n">
        <x:f>Equity_CF!AE20-(Energy_Revenue!AE19*-0.0999999999999999)*(1-Dep_Tax!AE24)</x:f>
        <x:v>0</x:v>
      </x:c>
      <x:c r="AF85" s="57" t="n">
        <x:f>Equity_CF!AF20-(Energy_Revenue!AF19*-0.0999999999999999)*(1-Dep_Tax!AF24)</x:f>
        <x:v>0</x:v>
      </x:c>
    </x:row>
    <x:row r="86">
      <x:c r="A86" t="s">
        <x:v>674</x:v>
      </x:c>
      <x:c r="B86" t="s">
        <x:v>684</x:v>
      </x:c>
      <x:c r="C86" s="57" t="n">
        <x:f>Equity_CF!C20-(Energy_Revenue!C19*-0.05)*(1-Dep_Tax!C24)</x:f>
        <x:v>-1106.815</x:v>
      </x:c>
      <x:c r="D86" s="57" t="n">
        <x:f>Equity_CF!D20-(Energy_Revenue!D19*-0.05)*(1-Dep_Tax!D24)</x:f>
        <x:v>-1522.6350000000004</x:v>
      </x:c>
      <x:c r="E86" s="57" t="n">
        <x:f>Equity_CF!E20-(Energy_Revenue!E19*-0.05)*(1-Dep_Tax!E24)</x:f>
        <x:v>320.92916266666674</x:v>
      </x:c>
      <x:c r="F86" s="57" t="n">
        <x:f>Equity_CF!F20-(Energy_Revenue!F19*-0.05)*(1-Dep_Tax!F24)</x:f>
        <x:v>2.731602028160178</x:v>
      </x:c>
      <x:c r="G86" s="57" t="n">
        <x:f>Equity_CF!G20-(Energy_Revenue!G19*-0.05)*(1-Dep_Tax!G24)</x:f>
        <x:v>51.66334868591927</x:v>
      </x:c>
      <x:c r="H86" s="57" t="n">
        <x:f>Equity_CF!H20-(Energy_Revenue!H19*-0.05)*(1-Dep_Tax!H24)</x:f>
        <x:v>100.8284261920249</x:v>
      </x:c>
      <x:c r="I86" s="57" t="n">
        <x:f>Equity_CF!I20-(Energy_Revenue!I19*-0.05)*(1-Dep_Tax!I24)</x:f>
        <x:v>141.13457787547713</x:v>
      </x:c>
      <x:c r="J86" s="57" t="n">
        <x:f>Equity_CF!J20-(Energy_Revenue!J19*-0.05)*(1-Dep_Tax!J24)</x:f>
        <x:v>188.29646580019326</x:v>
      </x:c>
      <x:c r="K86" s="57" t="n">
        <x:f>Equity_CF!K20-(Energy_Revenue!K19*-0.05)*(1-Dep_Tax!K24)</x:f>
        <x:v>235.69189092383516</x:v>
      </x:c>
      <x:c r="L86" s="57" t="n">
        <x:f>Equity_CF!L20-(Energy_Revenue!L19*-0.05)*(1-Dep_Tax!L24)</x:f>
        <x:v>283.3249500834984</x:v>
      </x:c>
      <x:c r="M86" s="57" t="n">
        <x:f>Equity_CF!M20-(Energy_Revenue!M19*-0.05)*(1-Dep_Tax!M24)</x:f>
        <x:v>331.1998117456528</x:v>
      </x:c>
      <x:c r="N86" s="57" t="n">
        <x:f>Equity_CF!N20-(Energy_Revenue!N19*-0.05)*(1-Dep_Tax!N24)</x:f>
        <x:v>379.32071725360925</x:v>
      </x:c>
      <x:c r="O86" s="57" t="n">
        <x:f>Equity_CF!O20-(Energy_Revenue!O19*-0.05)*(1-Dep_Tax!O24)</x:f>
        <x:v>427.691982096612</x:v>
      </x:c>
      <x:c r="P86" s="57" t="n">
        <x:f>Equity_CF!P20-(Energy_Revenue!P19*-0.05)*(1-Dep_Tax!P24)</x:f>
        <x:v>476.31799720092783</x:v>
      </x:c>
      <x:c r="Q86" s="57" t="n">
        <x:f>Equity_CF!Q20-(Energy_Revenue!Q19*-0.05)*(1-Dep_Tax!Q24)</x:f>
        <x:v>881.9115635766437</x:v>
      </x:c>
      <x:c r="R86" s="57" t="n">
        <x:f>Equity_CF!R20-(Energy_Revenue!R19*-0.05)*(1-Dep_Tax!R24)</x:f>
        <x:v>867.0595308300078</x:v>
      </x:c>
      <x:c r="S86" s="57" t="n">
        <x:f>Equity_CF!S20-(Energy_Revenue!S19*-0.05)*(1-Dep_Tax!S24)</x:f>
        <x:v>881.7722514505597</x:v>
      </x:c>
      <x:c r="T86" s="57" t="n">
        <x:f>Equity_CF!T20-(Energy_Revenue!T19*-0.05)*(1-Dep_Tax!T24)</x:f>
        <x:v>833.217977646589</x:v>
      </x:c>
      <x:c r="U86" s="57" t="n">
        <x:f>Equity_CF!U20-(Energy_Revenue!U19*-0.05)*(1-Dep_Tax!U24)</x:f>
        <x:v>846.7599331516883</x:v>
      </x:c>
      <x:c r="V86" s="57" t="n">
        <x:f>Equity_CF!V20-(Energy_Revenue!V19*-0.05)*(1-Dep_Tax!V24)</x:f>
        <x:v>860.5399982702307</x:v>
      </x:c>
      <x:c r="W86" s="57" t="n">
        <x:f>Equity_CF!W20-(Energy_Revenue!W19*-0.05)*(1-Dep_Tax!W24)</x:f>
        <x:v>874.5623473727243</x:v>
      </x:c>
      <x:c r="X86" s="57" t="n">
        <x:f>Equity_CF!X20-(Energy_Revenue!X19*-0.05)*(1-Dep_Tax!X24)</x:f>
        <x:v>888.8312277598101</x:v>
      </x:c>
      <x:c r="Y86" s="57" t="n">
        <x:f>Equity_CF!Y20-(Energy_Revenue!Y19*-0.05)*(1-Dep_Tax!Y24)</x:f>
        <x:v>0</x:v>
      </x:c>
      <x:c r="Z86" s="57" t="n">
        <x:f>Equity_CF!Z20-(Energy_Revenue!Z19*-0.05)*(1-Dep_Tax!Z24)</x:f>
        <x:v>0</x:v>
      </x:c>
      <x:c r="AA86" s="57" t="n">
        <x:f>Equity_CF!AA20-(Energy_Revenue!AA19*-0.05)*(1-Dep_Tax!AA24)</x:f>
        <x:v>0</x:v>
      </x:c>
      <x:c r="AB86" s="57" t="n">
        <x:f>Equity_CF!AB20-(Energy_Revenue!AB19*-0.05)*(1-Dep_Tax!AB24)</x:f>
        <x:v>0</x:v>
      </x:c>
      <x:c r="AC86" s="57" t="n">
        <x:f>Equity_CF!AC20-(Energy_Revenue!AC19*-0.05)*(1-Dep_Tax!AC24)</x:f>
        <x:v>0</x:v>
      </x:c>
      <x:c r="AD86" s="57" t="n">
        <x:f>Equity_CF!AD20-(Energy_Revenue!AD19*-0.05)*(1-Dep_Tax!AD24)</x:f>
        <x:v>0</x:v>
      </x:c>
      <x:c r="AE86" s="57" t="n">
        <x:f>Equity_CF!AE20-(Energy_Revenue!AE19*-0.05)*(1-Dep_Tax!AE24)</x:f>
        <x:v>0</x:v>
      </x:c>
      <x:c r="AF86" s="57" t="n">
        <x:f>Equity_CF!AF20-(Energy_Revenue!AF19*-0.05)*(1-Dep_Tax!AF24)</x:f>
        <x:v>0</x:v>
      </x:c>
    </x:row>
    <x:row r="87">
      <x:c r="A87" t="s">
        <x:v>675</x:v>
      </x:c>
      <x:c r="B87" t="s">
        <x:v>685</x:v>
      </x:c>
      <x:c r="C87" s="57" t="n">
        <x:f>Equity_CF!C20-(Energy_Revenue!C19*0)*(1-Dep_Tax!C24)</x:f>
        <x:v>-1106.815</x:v>
      </x:c>
      <x:c r="D87" s="57" t="n">
        <x:f>Equity_CF!D20-(Energy_Revenue!D19*0)*(1-Dep_Tax!D24)</x:f>
        <x:v>-1522.6350000000004</x:v>
      </x:c>
      <x:c r="E87" s="57" t="n">
        <x:f>Equity_CF!E20-(Energy_Revenue!E19*0)*(1-Dep_Tax!E24)</x:f>
        <x:v>314.81416266666673</x:v>
      </x:c>
      <x:c r="F87" s="57" t="n">
        <x:f>Equity_CF!F20-(Energy_Revenue!F19*0)*(1-Dep_Tax!F24)</x:f>
        <x:v>-3.5056979718398225</x:v>
      </x:c>
      <x:c r="G87" s="57" t="n">
        <x:f>Equity_CF!G20-(Energy_Revenue!G19*0)*(1-Dep_Tax!G24)</x:f>
        <x:v>45.30130268591927</x:v>
      </x:c>
      <x:c r="H87" s="57" t="n">
        <x:f>Equity_CF!H20-(Energy_Revenue!H19*0)*(1-Dep_Tax!H24)</x:f>
        <x:v>94.33913927202491</x:v>
      </x:c>
      <x:c r="I87" s="57" t="n">
        <x:f>Equity_CF!I20-(Energy_Revenue!I19*0)*(1-Dep_Tax!I24)</x:f>
        <x:v>134.84645884999713</x:v>
      </x:c>
      <x:c r="J87" s="57" t="n">
        <x:f>Equity_CF!J20-(Energy_Revenue!J19*0)*(1-Dep_Tax!J24)</x:f>
        <x:v>181.88258439420366</x:v>
      </x:c>
      <x:c r="K87" s="57" t="n">
        <x:f>Equity_CF!K20-(Energy_Revenue!K19*0)*(1-Dep_Tax!K24)</x:f>
        <x:v>229.14973188972576</x:v>
      </x:c>
      <x:c r="L87" s="57" t="n">
        <x:f>Equity_CF!L20-(Energy_Revenue!L19*0)*(1-Dep_Tax!L24)</x:f>
        <x:v>276.65194786870677</x:v>
      </x:c>
      <x:c r="M87" s="57" t="n">
        <x:f>Equity_CF!M20-(Energy_Revenue!M19*0)*(1-Dep_Tax!M24)</x:f>
        <x:v>324.3933494865654</x:v>
      </x:c>
      <x:c r="N87" s="57" t="n">
        <x:f>Equity_CF!N20-(Energy_Revenue!N19*0)*(1-Dep_Tax!N24)</x:f>
        <x:v>372.3781257493401</x:v>
      </x:c>
      <x:c r="O87" s="57" t="n">
        <x:f>Equity_CF!O20-(Energy_Revenue!O19*0)*(1-Dep_Tax!O24)</x:f>
        <x:v>420.6105387622574</x:v>
      </x:c>
      <x:c r="P87" s="57" t="n">
        <x:f>Equity_CF!P20-(Energy_Revenue!P19*0)*(1-Dep_Tax!P24)</x:f>
        <x:v>469.0949249998862</x:v>
      </x:c>
      <x:c r="Q87" s="57" t="n">
        <x:f>Equity_CF!Q20-(Energy_Revenue!Q19*0)*(1-Dep_Tax!Q24)</x:f>
        <x:v>874.5440299315812</x:v>
      </x:c>
      <x:c r="R87" s="57" t="n">
        <x:f>Equity_CF!R20-(Energy_Revenue!R19*0)*(1-Dep_Tax!R24)</x:f>
        <x:v>859.9401667393054</x:v>
      </x:c>
      <x:c r="S87" s="57" t="n">
        <x:f>Equity_CF!S20-(Energy_Revenue!S19*0)*(1-Dep_Tax!S24)</x:f>
        <x:v>874.5105000780432</x:v>
      </x:c>
      <x:c r="T87" s="57" t="n">
        <x:f>Equity_CF!T20-(Energy_Revenue!T19*0)*(1-Dep_Tax!T24)</x:f>
        <x:v>826.6339897355074</x:v>
      </x:c>
      <x:c r="U87" s="57" t="n">
        <x:f>Equity_CF!U20-(Energy_Revenue!U19*0)*(1-Dep_Tax!U24)</x:f>
        <x:v>840.0442654823851</x:v>
      </x:c>
      <x:c r="V87" s="57" t="n">
        <x:f>Equity_CF!V20-(Energy_Revenue!V19*0)*(1-Dep_Tax!V24)</x:f>
        <x:v>853.6900172475414</x:v>
      </x:c>
      <x:c r="W87" s="57" t="n">
        <x:f>Equity_CF!W20-(Energy_Revenue!W19*0)*(1-Dep_Tax!W24)</x:f>
        <x:v>867.5753667295811</x:v>
      </x:c>
      <x:c r="X87" s="57" t="n">
        <x:f>Equity_CF!X20-(Energy_Revenue!X19*0)*(1-Dep_Tax!X24)</x:f>
        <x:v>881.704507503804</x:v>
      </x:c>
      <x:c r="Y87" s="57" t="n">
        <x:f>Equity_CF!Y20-(Energy_Revenue!Y19*0)*(1-Dep_Tax!Y24)</x:f>
        <x:v>0</x:v>
      </x:c>
      <x:c r="Z87" s="57" t="n">
        <x:f>Equity_CF!Z20-(Energy_Revenue!Z19*0)*(1-Dep_Tax!Z24)</x:f>
        <x:v>0</x:v>
      </x:c>
      <x:c r="AA87" s="57" t="n">
        <x:f>Equity_CF!AA20-(Energy_Revenue!AA19*0)*(1-Dep_Tax!AA24)</x:f>
        <x:v>0</x:v>
      </x:c>
      <x:c r="AB87" s="57" t="n">
        <x:f>Equity_CF!AB20-(Energy_Revenue!AB19*0)*(1-Dep_Tax!AB24)</x:f>
        <x:v>0</x:v>
      </x:c>
      <x:c r="AC87" s="57" t="n">
        <x:f>Equity_CF!AC20-(Energy_Revenue!AC19*0)*(1-Dep_Tax!AC24)</x:f>
        <x:v>0</x:v>
      </x:c>
      <x:c r="AD87" s="57" t="n">
        <x:f>Equity_CF!AD20-(Energy_Revenue!AD19*0)*(1-Dep_Tax!AD24)</x:f>
        <x:v>0</x:v>
      </x:c>
      <x:c r="AE87" s="57" t="n">
        <x:f>Equity_CF!AE20-(Energy_Revenue!AE19*0)*(1-Dep_Tax!AE24)</x:f>
        <x:v>0</x:v>
      </x:c>
      <x:c r="AF87" s="57" t="n">
        <x:f>Equity_CF!AF20-(Energy_Revenue!AF19*0)*(1-Dep_Tax!AF24)</x:f>
        <x:v>0</x:v>
      </x:c>
    </x:row>
    <x:row r="88">
      <x:c r="A88" t="s">
        <x:v>676</x:v>
      </x:c>
      <x:c r="B88" t="s">
        <x:v>686</x:v>
      </x:c>
      <x:c r="C88" s="57" t="n">
        <x:f>Equity_CF!C20-(Energy_Revenue!C19*0.05)*(1-Dep_Tax!C24)</x:f>
        <x:v>-1106.815</x:v>
      </x:c>
      <x:c r="D88" s="57" t="n">
        <x:f>Equity_CF!D20-(Energy_Revenue!D19*0.05)*(1-Dep_Tax!D24)</x:f>
        <x:v>-1522.6350000000004</x:v>
      </x:c>
      <x:c r="E88" s="57" t="n">
        <x:f>Equity_CF!E20-(Energy_Revenue!E19*0.05)*(1-Dep_Tax!E24)</x:f>
        <x:v>308.6991626666667</x:v>
      </x:c>
      <x:c r="F88" s="57" t="n">
        <x:f>Equity_CF!F20-(Energy_Revenue!F19*0.05)*(1-Dep_Tax!F24)</x:f>
        <x:v>-9.742997971839824</x:v>
      </x:c>
      <x:c r="G88" s="57" t="n">
        <x:f>Equity_CF!G20-(Energy_Revenue!G19*0.05)*(1-Dep_Tax!G24)</x:f>
        <x:v>38.93925668591927</x:v>
      </x:c>
      <x:c r="H88" s="57" t="n">
        <x:f>Equity_CF!H20-(Energy_Revenue!H19*0.05)*(1-Dep_Tax!H24)</x:f>
        <x:v>87.84985235202491</x:v>
      </x:c>
      <x:c r="I88" s="57" t="n">
        <x:f>Equity_CF!I20-(Energy_Revenue!I19*0.05)*(1-Dep_Tax!I24)</x:f>
        <x:v>128.55833982451713</x:v>
      </x:c>
      <x:c r="J88" s="57" t="n">
        <x:f>Equity_CF!J20-(Energy_Revenue!J19*0.05)*(1-Dep_Tax!J24)</x:f>
        <x:v>175.46870298821406</x:v>
      </x:c>
      <x:c r="K88" s="57" t="n">
        <x:f>Equity_CF!K20-(Energy_Revenue!K19*0.05)*(1-Dep_Tax!K24)</x:f>
        <x:v>222.60757285561635</x:v>
      </x:c>
      <x:c r="L88" s="57" t="n">
        <x:f>Equity_CF!L20-(Energy_Revenue!L19*0.05)*(1-Dep_Tax!L24)</x:f>
        <x:v>269.97894565391516</x:v>
      </x:c>
      <x:c r="M88" s="57" t="n">
        <x:f>Equity_CF!M20-(Energy_Revenue!M19*0.05)*(1-Dep_Tax!M24)</x:f>
        <x:v>317.586887227478</x:v>
      </x:c>
      <x:c r="N88" s="57" t="n">
        <x:f>Equity_CF!N20-(Energy_Revenue!N19*0.05)*(1-Dep_Tax!N24)</x:f>
        <x:v>365.4355342450709</x:v>
      </x:c>
      <x:c r="O88" s="57" t="n">
        <x:f>Equity_CF!O20-(Energy_Revenue!O19*0.05)*(1-Dep_Tax!O24)</x:f>
        <x:v>413.52909542790286</x:v>
      </x:c>
      <x:c r="P88" s="57" t="n">
        <x:f>Equity_CF!P20-(Energy_Revenue!P19*0.05)*(1-Dep_Tax!P24)</x:f>
        <x:v>461.87185279884454</x:v>
      </x:c>
      <x:c r="Q88" s="57" t="n">
        <x:f>Equity_CF!Q20-(Energy_Revenue!Q19*0.05)*(1-Dep_Tax!Q24)</x:f>
        <x:v>867.1764962865187</x:v>
      </x:c>
      <x:c r="R88" s="57" t="n">
        <x:f>Equity_CF!R20-(Energy_Revenue!R19*0.05)*(1-Dep_Tax!R24)</x:f>
        <x:v>852.8208026486029</x:v>
      </x:c>
      <x:c r="S88" s="57" t="n">
        <x:f>Equity_CF!S20-(Energy_Revenue!S19*0.05)*(1-Dep_Tax!S24)</x:f>
        <x:v>867.2487487055266</x:v>
      </x:c>
      <x:c r="T88" s="57" t="n">
        <x:f>Equity_CF!T20-(Energy_Revenue!T19*0.05)*(1-Dep_Tax!T24)</x:f>
        <x:v>820.0500018244257</x:v>
      </x:c>
      <x:c r="U88" s="57" t="n">
        <x:f>Equity_CF!U20-(Energy_Revenue!U19*0.05)*(1-Dep_Tax!U24)</x:f>
        <x:v>833.3285978130818</x:v>
      </x:c>
      <x:c r="V88" s="57" t="n">
        <x:f>Equity_CF!V20-(Energy_Revenue!V19*0.05)*(1-Dep_Tax!V24)</x:f>
        <x:v>846.840036224852</x:v>
      </x:c>
      <x:c r="W88" s="57" t="n">
        <x:f>Equity_CF!W20-(Energy_Revenue!W19*0.05)*(1-Dep_Tax!W24)</x:f>
        <x:v>860.5883860864379</x:v>
      </x:c>
      <x:c r="X88" s="57" t="n">
        <x:f>Equity_CF!X20-(Energy_Revenue!X19*0.05)*(1-Dep_Tax!X24)</x:f>
        <x:v>874.577787247798</x:v>
      </x:c>
      <x:c r="Y88" s="57" t="n">
        <x:f>Equity_CF!Y20-(Energy_Revenue!Y19*0.05)*(1-Dep_Tax!Y24)</x:f>
        <x:v>0</x:v>
      </x:c>
      <x:c r="Z88" s="57" t="n">
        <x:f>Equity_CF!Z20-(Energy_Revenue!Z19*0.05)*(1-Dep_Tax!Z24)</x:f>
        <x:v>0</x:v>
      </x:c>
      <x:c r="AA88" s="57" t="n">
        <x:f>Equity_CF!AA20-(Energy_Revenue!AA19*0.05)*(1-Dep_Tax!AA24)</x:f>
        <x:v>0</x:v>
      </x:c>
      <x:c r="AB88" s="57" t="n">
        <x:f>Equity_CF!AB20-(Energy_Revenue!AB19*0.05)*(1-Dep_Tax!AB24)</x:f>
        <x:v>0</x:v>
      </x:c>
      <x:c r="AC88" s="57" t="n">
        <x:f>Equity_CF!AC20-(Energy_Revenue!AC19*0.05)*(1-Dep_Tax!AC24)</x:f>
        <x:v>0</x:v>
      </x:c>
      <x:c r="AD88" s="57" t="n">
        <x:f>Equity_CF!AD20-(Energy_Revenue!AD19*0.05)*(1-Dep_Tax!AD24)</x:f>
        <x:v>0</x:v>
      </x:c>
      <x:c r="AE88" s="57" t="n">
        <x:f>Equity_CF!AE20-(Energy_Revenue!AE19*0.05)*(1-Dep_Tax!AE24)</x:f>
        <x:v>0</x:v>
      </x:c>
      <x:c r="AF88" s="57" t="n">
        <x:f>Equity_CF!AF20-(Energy_Revenue!AF19*0.05)*(1-Dep_Tax!AF24)</x:f>
        <x:v>0</x:v>
      </x:c>
    </x:row>
    <x:row r="89">
      <x:c r="A89" t="s">
        <x:v>677</x:v>
      </x:c>
      <x:c r="B89" t="s">
        <x:v>687</x:v>
      </x:c>
      <x:c r="C89" s="57" t="n">
        <x:f>Equity_CF!C20-(Energy_Revenue!C19*0.1)*(1-Dep_Tax!C24)</x:f>
        <x:v>-1106.815</x:v>
      </x:c>
      <x:c r="D89" s="57" t="n">
        <x:f>Equity_CF!D20-(Energy_Revenue!D19*0.1)*(1-Dep_Tax!D24)</x:f>
        <x:v>-1522.6350000000004</x:v>
      </x:c>
      <x:c r="E89" s="57" t="n">
        <x:f>Equity_CF!E20-(Energy_Revenue!E19*0.1)*(1-Dep_Tax!E24)</x:f>
        <x:v>302.5841626666667</x:v>
      </x:c>
      <x:c r="F89" s="57" t="n">
        <x:f>Equity_CF!F20-(Energy_Revenue!F19*0.1)*(1-Dep_Tax!F24)</x:f>
        <x:v>-15.980297971839823</x:v>
      </x:c>
      <x:c r="G89" s="57" t="n">
        <x:f>Equity_CF!G20-(Energy_Revenue!G19*0.1)*(1-Dep_Tax!G24)</x:f>
        <x:v>32.57721068591927</x:v>
      </x:c>
      <x:c r="H89" s="57" t="n">
        <x:f>Equity_CF!H20-(Energy_Revenue!H19*0.1)*(1-Dep_Tax!H24)</x:f>
        <x:v>81.36056543202491</x:v>
      </x:c>
      <x:c r="I89" s="57" t="n">
        <x:f>Equity_CF!I20-(Energy_Revenue!I19*0.1)*(1-Dep_Tax!I24)</x:f>
        <x:v>122.27022079903713</x:v>
      </x:c>
      <x:c r="J89" s="57" t="n">
        <x:f>Equity_CF!J20-(Energy_Revenue!J19*0.1)*(1-Dep_Tax!J24)</x:f>
        <x:v>169.05482158222446</x:v>
      </x:c>
      <x:c r="K89" s="57" t="n">
        <x:f>Equity_CF!K20-(Energy_Revenue!K19*0.1)*(1-Dep_Tax!K24)</x:f>
        <x:v>216.06541382150698</x:v>
      </x:c>
      <x:c r="L89" s="57" t="n">
        <x:f>Equity_CF!L20-(Energy_Revenue!L19*0.1)*(1-Dep_Tax!L24)</x:f>
        <x:v>263.3059434391236</x:v>
      </x:c>
      <x:c r="M89" s="57" t="n">
        <x:f>Equity_CF!M20-(Energy_Revenue!M19*0.1)*(1-Dep_Tax!M24)</x:f>
        <x:v>310.78042496839055</x:v>
      </x:c>
      <x:c r="N89" s="57" t="n">
        <x:f>Equity_CF!N20-(Energy_Revenue!N19*0.1)*(1-Dep_Tax!N24)</x:f>
        <x:v>358.49294274080177</x:v>
      </x:c>
      <x:c r="O89" s="57" t="n">
        <x:f>Equity_CF!O20-(Energy_Revenue!O19*0.1)*(1-Dep_Tax!O24)</x:f>
        <x:v>406.44765209354836</x:v>
      </x:c>
      <x:c r="P89" s="57" t="n">
        <x:f>Equity_CF!P20-(Energy_Revenue!P19*0.1)*(1-Dep_Tax!P24)</x:f>
        <x:v>454.6487805978029</x:v>
      </x:c>
      <x:c r="Q89" s="57" t="n">
        <x:f>Equity_CF!Q20-(Energy_Revenue!Q19*0.1)*(1-Dep_Tax!Q24)</x:f>
        <x:v>859.8089626414563</x:v>
      </x:c>
      <x:c r="R89" s="57" t="n">
        <x:f>Equity_CF!R20-(Energy_Revenue!R19*0.1)*(1-Dep_Tax!R24)</x:f>
        <x:v>845.7014385579005</x:v>
      </x:c>
      <x:c r="S89" s="57" t="n">
        <x:f>Equity_CF!S20-(Energy_Revenue!S19*0.1)*(1-Dep_Tax!S24)</x:f>
        <x:v>859.9869973330101</x:v>
      </x:c>
      <x:c r="T89" s="57" t="n">
        <x:f>Equity_CF!T20-(Energy_Revenue!T19*0.1)*(1-Dep_Tax!T24)</x:f>
        <x:v>813.4660139133441</x:v>
      </x:c>
      <x:c r="U89" s="57" t="n">
        <x:f>Equity_CF!U20-(Energy_Revenue!U19*0.1)*(1-Dep_Tax!U24)</x:f>
        <x:v>826.6129301437785</x:v>
      </x:c>
      <x:c r="V89" s="57" t="n">
        <x:f>Equity_CF!V20-(Energy_Revenue!V19*0.1)*(1-Dep_Tax!V24)</x:f>
        <x:v>839.9900552021627</x:v>
      </x:c>
      <x:c r="W89" s="57" t="n">
        <x:f>Equity_CF!W20-(Energy_Revenue!W19*0.1)*(1-Dep_Tax!W24)</x:f>
        <x:v>853.6014054432949</x:v>
      </x:c>
      <x:c r="X89" s="57" t="n">
        <x:f>Equity_CF!X20-(Energy_Revenue!X19*0.1)*(1-Dep_Tax!X24)</x:f>
        <x:v>867.4510669917921</x:v>
      </x:c>
      <x:c r="Y89" s="57" t="n">
        <x:f>Equity_CF!Y20-(Energy_Revenue!Y19*0.1)*(1-Dep_Tax!Y24)</x:f>
        <x:v>0</x:v>
      </x:c>
      <x:c r="Z89" s="57" t="n">
        <x:f>Equity_CF!Z20-(Energy_Revenue!Z19*0.1)*(1-Dep_Tax!Z24)</x:f>
        <x:v>0</x:v>
      </x:c>
      <x:c r="AA89" s="57" t="n">
        <x:f>Equity_CF!AA20-(Energy_Revenue!AA19*0.1)*(1-Dep_Tax!AA24)</x:f>
        <x:v>0</x:v>
      </x:c>
      <x:c r="AB89" s="57" t="n">
        <x:f>Equity_CF!AB20-(Energy_Revenue!AB19*0.1)*(1-Dep_Tax!AB24)</x:f>
        <x:v>0</x:v>
      </x:c>
      <x:c r="AC89" s="57" t="n">
        <x:f>Equity_CF!AC20-(Energy_Revenue!AC19*0.1)*(1-Dep_Tax!AC24)</x:f>
        <x:v>0</x:v>
      </x:c>
      <x:c r="AD89" s="57" t="n">
        <x:f>Equity_CF!AD20-(Energy_Revenue!AD19*0.1)*(1-Dep_Tax!AD24)</x:f>
        <x:v>0</x:v>
      </x:c>
      <x:c r="AE89" s="57" t="n">
        <x:f>Equity_CF!AE20-(Energy_Revenue!AE19*0.1)*(1-Dep_Tax!AE24)</x:f>
        <x:v>0</x:v>
      </x:c>
      <x:c r="AF89" s="57" t="n">
        <x:f>Equity_CF!AF20-(Energy_Revenue!AF19*0.1)*(1-Dep_Tax!AF24)</x:f>
        <x:v>0</x:v>
      </x:c>
    </x:row>
    <x:row r="90">
      <x:c r="A90" t="s">
        <x:v>678</x:v>
      </x:c>
      <x:c r="B90" t="s">
        <x:v>683</x:v>
      </x:c>
      <x:c r="C90" s="57" t="n">
        <x:f>Equity_CF!C20-Debt!C16*-0.0999999999999999*(1-Dep_Tax!C24)</x:f>
        <x:v>-1098.2540000000001</x:v>
      </x:c>
      <x:c r="D90" s="57" t="n">
        <x:f>Equity_CF!D20-Debt!D16*-0.0999999999999999*(1-Dep_Tax!D24)</x:f>
        <x:v>-1492.6715000000004</x:v>
      </x:c>
      <x:c r="E90" s="57" t="n">
        <x:f>Equity_CF!E20-Debt!E16*-0.0999999999999999*(1-Dep_Tax!E24)</x:f>
        <x:v>357.6191626666667</x:v>
      </x:c>
      <x:c r="F90" s="57" t="n">
        <x:f>Equity_CF!F20-Debt!F16*-0.0999999999999999*(1-Dep_Tax!F24)</x:f>
        <x:v>35.732218694826805</x:v>
      </x:c>
      <x:c r="G90" s="57" t="n">
        <x:f>Equity_CF!G20-Debt!G16*-0.0999999999999999*(1-Dep_Tax!G24)</x:f>
        <x:v>80.97213601925256</x:v>
      </x:c>
      <x:c r="H90" s="57" t="n">
        <x:f>Equity_CF!H20-Debt!H16*-0.0999999999999999*(1-Dep_Tax!H24)</x:f>
        <x:v>126.44288927202487</x:v>
      </x:c>
      <x:c r="I90" s="57" t="n">
        <x:f>Equity_CF!I20-Debt!I16*-0.0999999999999999*(1-Dep_Tax!I24)</x:f>
        <x:v>161.95629218333045</x:v>
      </x:c>
      <x:c r="J90" s="57" t="n">
        <x:f>Equity_CF!J20-Debt!J16*-0.0999999999999999*(1-Dep_Tax!J24)</x:f>
        <x:v>205.6036885608703</x:v>
      </x:c>
      <x:c r="K90" s="57" t="n">
        <x:f>Equity_CF!K20-Debt!K16*-0.0999999999999999*(1-Dep_Tax!K24)</x:f>
        <x:v>249.4821068897257</x:v>
      </x:c>
      <x:c r="L90" s="57" t="n">
        <x:f>Equity_CF!L20-Debt!L16*-0.0999999999999999*(1-Dep_Tax!L24)</x:f>
        <x:v>293.5955937020401</x:v>
      </x:c>
      <x:c r="M90" s="57" t="n">
        <x:f>Equity_CF!M20-Debt!M16*-0.0999999999999999*(1-Dep_Tax!M24)</x:f>
        <x:v>337.94826615323205</x:v>
      </x:c>
      <x:c r="N90" s="57" t="n">
        <x:f>Equity_CF!N20-Debt!N16*-0.0999999999999999*(1-Dep_Tax!N24)</x:f>
        <x:v>382.54431324934006</x:v>
      </x:c>
      <x:c r="O90" s="57" t="n">
        <x:f>Equity_CF!O20-Debt!O16*-0.0999999999999999*(1-Dep_Tax!O24)</x:f>
        <x:v>427.3879970955907</x:v>
      </x:c>
      <x:c r="P90" s="57" t="n">
        <x:f>Equity_CF!P20-Debt!P16*-0.0999999999999999*(1-Dep_Tax!P24)</x:f>
        <x:v>472.48365416655287</x:v>
      </x:c>
      <x:c r="Q90" s="57" t="n">
        <x:f>Equity_CF!Q20-Debt!Q16*-0.0999999999999999*(1-Dep_Tax!Q24)</x:f>
        <x:v>874.5440299315812</x:v>
      </x:c>
      <x:c r="R90" s="57" t="n">
        <x:f>Equity_CF!R20-Debt!R16*-0.0999999999999999*(1-Dep_Tax!R24)</x:f>
        <x:v>859.9401667393054</x:v>
      </x:c>
      <x:c r="S90" s="57" t="n">
        <x:f>Equity_CF!S20-Debt!S16*-0.0999999999999999*(1-Dep_Tax!S24)</x:f>
        <x:v>874.5105000780432</x:v>
      </x:c>
      <x:c r="T90" s="57" t="n">
        <x:f>Equity_CF!T20-Debt!T16*-0.0999999999999999*(1-Dep_Tax!T24)</x:f>
        <x:v>826.6339897355074</x:v>
      </x:c>
      <x:c r="U90" s="57" t="n">
        <x:f>Equity_CF!U20-Debt!U16*-0.0999999999999999*(1-Dep_Tax!U24)</x:f>
        <x:v>840.0442654823851</x:v>
      </x:c>
      <x:c r="V90" s="57" t="n">
        <x:f>Equity_CF!V20-Debt!V16*-0.0999999999999999*(1-Dep_Tax!V24)</x:f>
        <x:v>853.6900172475414</x:v>
      </x:c>
      <x:c r="W90" s="57" t="n">
        <x:f>Equity_CF!W20-Debt!W16*-0.0999999999999999*(1-Dep_Tax!W24)</x:f>
        <x:v>867.5753667295811</x:v>
      </x:c>
      <x:c r="X90" s="57" t="n">
        <x:f>Equity_CF!X20-Debt!X16*-0.0999999999999999*(1-Dep_Tax!X24)</x:f>
        <x:v>881.704507503804</x:v>
      </x:c>
      <x:c r="Y90" s="57" t="n">
        <x:f>Equity_CF!Y20-Debt!Y16*-0.0999999999999999*(1-Dep_Tax!Y24)</x:f>
        <x:v>0</x:v>
      </x:c>
      <x:c r="Z90" s="57" t="n">
        <x:f>Equity_CF!Z20-Debt!Z16*-0.0999999999999999*(1-Dep_Tax!Z24)</x:f>
        <x:v>0</x:v>
      </x:c>
      <x:c r="AA90" s="57" t="n">
        <x:f>Equity_CF!AA20-Debt!AA16*-0.0999999999999999*(1-Dep_Tax!AA24)</x:f>
        <x:v>0</x:v>
      </x:c>
      <x:c r="AB90" s="57" t="n">
        <x:f>Equity_CF!AB20-Debt!AB16*-0.0999999999999999*(1-Dep_Tax!AB24)</x:f>
        <x:v>0</x:v>
      </x:c>
      <x:c r="AC90" s="57" t="n">
        <x:f>Equity_CF!AC20-Debt!AC16*-0.0999999999999999*(1-Dep_Tax!AC24)</x:f>
        <x:v>0</x:v>
      </x:c>
      <x:c r="AD90" s="57" t="n">
        <x:f>Equity_CF!AD20-Debt!AD16*-0.0999999999999999*(1-Dep_Tax!AD24)</x:f>
        <x:v>0</x:v>
      </x:c>
      <x:c r="AE90" s="57" t="n">
        <x:f>Equity_CF!AE20-Debt!AE16*-0.0999999999999999*(1-Dep_Tax!AE24)</x:f>
        <x:v>0</x:v>
      </x:c>
      <x:c r="AF90" s="57" t="n">
        <x:f>Equity_CF!AF20-Debt!AF16*-0.0999999999999999*(1-Dep_Tax!AF24)</x:f>
        <x:v>0</x:v>
      </x:c>
    </x:row>
    <x:row r="91">
      <x:c r="A91" t="s">
        <x:v>679</x:v>
      </x:c>
      <x:c r="B91" t="s">
        <x:v>684</x:v>
      </x:c>
      <x:c r="C91" s="57" t="n">
        <x:f>Equity_CF!C20-Debt!C16*-0.05*(1-Dep_Tax!C24)</x:f>
        <x:v>-1102.5345</x:v>
      </x:c>
      <x:c r="D91" s="57" t="n">
        <x:f>Equity_CF!D20-Debt!D16*-0.05*(1-Dep_Tax!D24)</x:f>
        <x:v>-1507.6532500000005</x:v>
      </x:c>
      <x:c r="E91" s="57" t="n">
        <x:f>Equity_CF!E20-Debt!E16*-0.05*(1-Dep_Tax!E24)</x:f>
        <x:v>336.2166626666667</x:v>
      </x:c>
      <x:c r="F91" s="57" t="n">
        <x:f>Equity_CF!F20-Debt!F16*-0.05*(1-Dep_Tax!F24)</x:f>
        <x:v>16.113260361493513</x:v>
      </x:c>
      <x:c r="G91" s="57" t="n">
        <x:f>Equity_CF!G20-Debt!G16*-0.05*(1-Dep_Tax!G24)</x:f>
        <x:v>63.136719352585935</x:v>
      </x:c>
      <x:c r="H91" s="57" t="n">
        <x:f>Equity_CF!H20-Debt!H16*-0.05*(1-Dep_Tax!H24)</x:f>
        <x:v>110.3910142720249</x:v>
      </x:c>
      <x:c r="I91" s="57" t="n">
        <x:f>Equity_CF!I20-Debt!I16*-0.05*(1-Dep_Tax!I24)</x:f>
        <x:v>148.4013755166638</x:v>
      </x:c>
      <x:c r="J91" s="57" t="n">
        <x:f>Equity_CF!J20-Debt!J16*-0.05*(1-Dep_Tax!J24)</x:f>
        <x:v>193.743136477537</x:v>
      </x:c>
      <x:c r="K91" s="57" t="n">
        <x:f>Equity_CF!K20-Debt!K16*-0.05*(1-Dep_Tax!K24)</x:f>
        <x:v>239.31591938972576</x:v>
      </x:c>
      <x:c r="L91" s="57" t="n">
        <x:f>Equity_CF!L20-Debt!L16*-0.05*(1-Dep_Tax!L24)</x:f>
        <x:v>285.12377078537344</x:v>
      </x:c>
      <x:c r="M91" s="57" t="n">
        <x:f>Equity_CF!M20-Debt!M16*-0.05*(1-Dep_Tax!M24)</x:f>
        <x:v>331.17080781989876</x:v>
      </x:c>
      <x:c r="N91" s="57" t="n">
        <x:f>Equity_CF!N20-Debt!N16*-0.05*(1-Dep_Tax!N24)</x:f>
        <x:v>377.4612194993401</x:v>
      </x:c>
      <x:c r="O91" s="57" t="n">
        <x:f>Equity_CF!O20-Debt!O16*-0.05*(1-Dep_Tax!O24)</x:f>
        <x:v>423.9992679289241</x:v>
      </x:c>
      <x:c r="P91" s="57" t="n">
        <x:f>Equity_CF!P20-Debt!P16*-0.05*(1-Dep_Tax!P24)</x:f>
        <x:v>470.7892895832195</x:v>
      </x:c>
      <x:c r="Q91" s="57" t="n">
        <x:f>Equity_CF!Q20-Debt!Q16*-0.05*(1-Dep_Tax!Q24)</x:f>
        <x:v>874.5440299315812</x:v>
      </x:c>
      <x:c r="R91" s="57" t="n">
        <x:f>Equity_CF!R20-Debt!R16*-0.05*(1-Dep_Tax!R24)</x:f>
        <x:v>859.9401667393054</x:v>
      </x:c>
      <x:c r="S91" s="57" t="n">
        <x:f>Equity_CF!S20-Debt!S16*-0.05*(1-Dep_Tax!S24)</x:f>
        <x:v>874.5105000780432</x:v>
      </x:c>
      <x:c r="T91" s="57" t="n">
        <x:f>Equity_CF!T20-Debt!T16*-0.05*(1-Dep_Tax!T24)</x:f>
        <x:v>826.6339897355074</x:v>
      </x:c>
      <x:c r="U91" s="57" t="n">
        <x:f>Equity_CF!U20-Debt!U16*-0.05*(1-Dep_Tax!U24)</x:f>
        <x:v>840.0442654823851</x:v>
      </x:c>
      <x:c r="V91" s="57" t="n">
        <x:f>Equity_CF!V20-Debt!V16*-0.05*(1-Dep_Tax!V24)</x:f>
        <x:v>853.6900172475414</x:v>
      </x:c>
      <x:c r="W91" s="57" t="n">
        <x:f>Equity_CF!W20-Debt!W16*-0.05*(1-Dep_Tax!W24)</x:f>
        <x:v>867.5753667295811</x:v>
      </x:c>
      <x:c r="X91" s="57" t="n">
        <x:f>Equity_CF!X20-Debt!X16*-0.05*(1-Dep_Tax!X24)</x:f>
        <x:v>881.704507503804</x:v>
      </x:c>
      <x:c r="Y91" s="57" t="n">
        <x:f>Equity_CF!Y20-Debt!Y16*-0.05*(1-Dep_Tax!Y24)</x:f>
        <x:v>0</x:v>
      </x:c>
      <x:c r="Z91" s="57" t="n">
        <x:f>Equity_CF!Z20-Debt!Z16*-0.05*(1-Dep_Tax!Z24)</x:f>
        <x:v>0</x:v>
      </x:c>
      <x:c r="AA91" s="57" t="n">
        <x:f>Equity_CF!AA20-Debt!AA16*-0.05*(1-Dep_Tax!AA24)</x:f>
        <x:v>0</x:v>
      </x:c>
      <x:c r="AB91" s="57" t="n">
        <x:f>Equity_CF!AB20-Debt!AB16*-0.05*(1-Dep_Tax!AB24)</x:f>
        <x:v>0</x:v>
      </x:c>
      <x:c r="AC91" s="57" t="n">
        <x:f>Equity_CF!AC20-Debt!AC16*-0.05*(1-Dep_Tax!AC24)</x:f>
        <x:v>0</x:v>
      </x:c>
      <x:c r="AD91" s="57" t="n">
        <x:f>Equity_CF!AD20-Debt!AD16*-0.05*(1-Dep_Tax!AD24)</x:f>
        <x:v>0</x:v>
      </x:c>
      <x:c r="AE91" s="57" t="n">
        <x:f>Equity_CF!AE20-Debt!AE16*-0.05*(1-Dep_Tax!AE24)</x:f>
        <x:v>0</x:v>
      </x:c>
      <x:c r="AF91" s="57" t="n">
        <x:f>Equity_CF!AF20-Debt!AF16*-0.05*(1-Dep_Tax!AF24)</x:f>
        <x:v>0</x:v>
      </x:c>
    </x:row>
    <x:row r="92">
      <x:c r="A92" t="s">
        <x:v>680</x:v>
      </x:c>
      <x:c r="B92" t="s">
        <x:v>685</x:v>
      </x:c>
      <x:c r="C92" s="57" t="n">
        <x:f>Equity_CF!C20-Debt!C16*0*(1-Dep_Tax!C24)</x:f>
        <x:v>-1106.815</x:v>
      </x:c>
      <x:c r="D92" s="57" t="n">
        <x:f>Equity_CF!D20-Debt!D16*0*(1-Dep_Tax!D24)</x:f>
        <x:v>-1522.6350000000004</x:v>
      </x:c>
      <x:c r="E92" s="57" t="n">
        <x:f>Equity_CF!E20-Debt!E16*0*(1-Dep_Tax!E24)</x:f>
        <x:v>314.81416266666673</x:v>
      </x:c>
      <x:c r="F92" s="57" t="n">
        <x:f>Equity_CF!F20-Debt!F16*0*(1-Dep_Tax!F24)</x:f>
        <x:v>-3.5056979718398225</x:v>
      </x:c>
      <x:c r="G92" s="57" t="n">
        <x:f>Equity_CF!G20-Debt!G16*0*(1-Dep_Tax!G24)</x:f>
        <x:v>45.30130268591927</x:v>
      </x:c>
      <x:c r="H92" s="57" t="n">
        <x:f>Equity_CF!H20-Debt!H16*0*(1-Dep_Tax!H24)</x:f>
        <x:v>94.33913927202491</x:v>
      </x:c>
      <x:c r="I92" s="57" t="n">
        <x:f>Equity_CF!I20-Debt!I16*0*(1-Dep_Tax!I24)</x:f>
        <x:v>134.84645884999713</x:v>
      </x:c>
      <x:c r="J92" s="57" t="n">
        <x:f>Equity_CF!J20-Debt!J16*0*(1-Dep_Tax!J24)</x:f>
        <x:v>181.88258439420366</x:v>
      </x:c>
      <x:c r="K92" s="57" t="n">
        <x:f>Equity_CF!K20-Debt!K16*0*(1-Dep_Tax!K24)</x:f>
        <x:v>229.14973188972576</x:v>
      </x:c>
      <x:c r="L92" s="57" t="n">
        <x:f>Equity_CF!L20-Debt!L16*0*(1-Dep_Tax!L24)</x:f>
        <x:v>276.65194786870677</x:v>
      </x:c>
      <x:c r="M92" s="57" t="n">
        <x:f>Equity_CF!M20-Debt!M16*0*(1-Dep_Tax!M24)</x:f>
        <x:v>324.3933494865654</x:v>
      </x:c>
      <x:c r="N92" s="57" t="n">
        <x:f>Equity_CF!N20-Debt!N16*0*(1-Dep_Tax!N24)</x:f>
        <x:v>372.3781257493401</x:v>
      </x:c>
      <x:c r="O92" s="57" t="n">
        <x:f>Equity_CF!O20-Debt!O16*0*(1-Dep_Tax!O24)</x:f>
        <x:v>420.6105387622574</x:v>
      </x:c>
      <x:c r="P92" s="57" t="n">
        <x:f>Equity_CF!P20-Debt!P16*0*(1-Dep_Tax!P24)</x:f>
        <x:v>469.0949249998862</x:v>
      </x:c>
      <x:c r="Q92" s="57" t="n">
        <x:f>Equity_CF!Q20-Debt!Q16*0*(1-Dep_Tax!Q24)</x:f>
        <x:v>874.5440299315812</x:v>
      </x:c>
      <x:c r="R92" s="57" t="n">
        <x:f>Equity_CF!R20-Debt!R16*0*(1-Dep_Tax!R24)</x:f>
        <x:v>859.9401667393054</x:v>
      </x:c>
      <x:c r="S92" s="57" t="n">
        <x:f>Equity_CF!S20-Debt!S16*0*(1-Dep_Tax!S24)</x:f>
        <x:v>874.5105000780432</x:v>
      </x:c>
      <x:c r="T92" s="57" t="n">
        <x:f>Equity_CF!T20-Debt!T16*0*(1-Dep_Tax!T24)</x:f>
        <x:v>826.6339897355074</x:v>
      </x:c>
      <x:c r="U92" s="57" t="n">
        <x:f>Equity_CF!U20-Debt!U16*0*(1-Dep_Tax!U24)</x:f>
        <x:v>840.0442654823851</x:v>
      </x:c>
      <x:c r="V92" s="57" t="n">
        <x:f>Equity_CF!V20-Debt!V16*0*(1-Dep_Tax!V24)</x:f>
        <x:v>853.6900172475414</x:v>
      </x:c>
      <x:c r="W92" s="57" t="n">
        <x:f>Equity_CF!W20-Debt!W16*0*(1-Dep_Tax!W24)</x:f>
        <x:v>867.5753667295811</x:v>
      </x:c>
      <x:c r="X92" s="57" t="n">
        <x:f>Equity_CF!X20-Debt!X16*0*(1-Dep_Tax!X24)</x:f>
        <x:v>881.704507503804</x:v>
      </x:c>
      <x:c r="Y92" s="57" t="n">
        <x:f>Equity_CF!Y20-Debt!Y16*0*(1-Dep_Tax!Y24)</x:f>
        <x:v>0</x:v>
      </x:c>
      <x:c r="Z92" s="57" t="n">
        <x:f>Equity_CF!Z20-Debt!Z16*0*(1-Dep_Tax!Z24)</x:f>
        <x:v>0</x:v>
      </x:c>
      <x:c r="AA92" s="57" t="n">
        <x:f>Equity_CF!AA20-Debt!AA16*0*(1-Dep_Tax!AA24)</x:f>
        <x:v>0</x:v>
      </x:c>
      <x:c r="AB92" s="57" t="n">
        <x:f>Equity_CF!AB20-Debt!AB16*0*(1-Dep_Tax!AB24)</x:f>
        <x:v>0</x:v>
      </x:c>
      <x:c r="AC92" s="57" t="n">
        <x:f>Equity_CF!AC20-Debt!AC16*0*(1-Dep_Tax!AC24)</x:f>
        <x:v>0</x:v>
      </x:c>
      <x:c r="AD92" s="57" t="n">
        <x:f>Equity_CF!AD20-Debt!AD16*0*(1-Dep_Tax!AD24)</x:f>
        <x:v>0</x:v>
      </x:c>
      <x:c r="AE92" s="57" t="n">
        <x:f>Equity_CF!AE20-Debt!AE16*0*(1-Dep_Tax!AE24)</x:f>
        <x:v>0</x:v>
      </x:c>
      <x:c r="AF92" s="57" t="n">
        <x:f>Equity_CF!AF20-Debt!AF16*0*(1-Dep_Tax!AF24)</x:f>
        <x:v>0</x:v>
      </x:c>
    </x:row>
    <x:row r="93">
      <x:c r="A93" t="s">
        <x:v>681</x:v>
      </x:c>
      <x:c r="B93" t="s">
        <x:v>686</x:v>
      </x:c>
      <x:c r="C93" s="57" t="n">
        <x:f>Equity_CF!C20-Debt!C16*0.05*(1-Dep_Tax!C24)</x:f>
        <x:v>-1111.0955000000001</x:v>
      </x:c>
      <x:c r="D93" s="57" t="n">
        <x:f>Equity_CF!D20-Debt!D16*0.05*(1-Dep_Tax!D24)</x:f>
        <x:v>-1537.6167500000004</x:v>
      </x:c>
      <x:c r="E93" s="57" t="n">
        <x:f>Equity_CF!E20-Debt!E16*0.05*(1-Dep_Tax!E24)</x:f>
        <x:v>293.41166266666676</x:v>
      </x:c>
      <x:c r="F93" s="57" t="n">
        <x:f>Equity_CF!F20-Debt!F16*0.05*(1-Dep_Tax!F24)</x:f>
        <x:v>-23.124656305173158</x:v>
      </x:c>
      <x:c r="G93" s="57" t="n">
        <x:f>Equity_CF!G20-Debt!G16*0.05*(1-Dep_Tax!G24)</x:f>
        <x:v>27.4658860192526</x:v>
      </x:c>
      <x:c r="H93" s="57" t="n">
        <x:f>Equity_CF!H20-Debt!H16*0.05*(1-Dep_Tax!H24)</x:f>
        <x:v>78.28726427202491</x:v>
      </x:c>
      <x:c r="I93" s="57" t="n">
        <x:f>Equity_CF!I20-Debt!I16*0.05*(1-Dep_Tax!I24)</x:f>
        <x:v>121.29154218333048</x:v>
      </x:c>
      <x:c r="J93" s="57" t="n">
        <x:f>Equity_CF!J20-Debt!J16*0.05*(1-Dep_Tax!J24)</x:f>
        <x:v>170.02203231087032</x:v>
      </x:c>
      <x:c r="K93" s="57" t="n">
        <x:f>Equity_CF!K20-Debt!K16*0.05*(1-Dep_Tax!K24)</x:f>
        <x:v>218.98354438972575</x:v>
      </x:c>
      <x:c r="L93" s="57" t="n">
        <x:f>Equity_CF!L20-Debt!L16*0.05*(1-Dep_Tax!L24)</x:f>
        <x:v>268.1801249520401</x:v>
      </x:c>
      <x:c r="M93" s="57" t="n">
        <x:f>Equity_CF!M20-Debt!M16*0.05*(1-Dep_Tax!M24)</x:f>
        <x:v>317.61589115323204</x:v>
      </x:c>
      <x:c r="N93" s="57" t="n">
        <x:f>Equity_CF!N20-Debt!N16*0.05*(1-Dep_Tax!N24)</x:f>
        <x:v>367.2950319993401</x:v>
      </x:c>
      <x:c r="O93" s="57" t="n">
        <x:f>Equity_CF!O20-Debt!O16*0.05*(1-Dep_Tax!O24)</x:f>
        <x:v>417.22180959559074</x:v>
      </x:c>
      <x:c r="P93" s="57" t="n">
        <x:f>Equity_CF!P20-Debt!P16*0.05*(1-Dep_Tax!P24)</x:f>
        <x:v>467.4005604165529</x:v>
      </x:c>
      <x:c r="Q93" s="57" t="n">
        <x:f>Equity_CF!Q20-Debt!Q16*0.05*(1-Dep_Tax!Q24)</x:f>
        <x:v>874.5440299315812</x:v>
      </x:c>
      <x:c r="R93" s="57" t="n">
        <x:f>Equity_CF!R20-Debt!R16*0.05*(1-Dep_Tax!R24)</x:f>
        <x:v>859.9401667393054</x:v>
      </x:c>
      <x:c r="S93" s="57" t="n">
        <x:f>Equity_CF!S20-Debt!S16*0.05*(1-Dep_Tax!S24)</x:f>
        <x:v>874.5105000780432</x:v>
      </x:c>
      <x:c r="T93" s="57" t="n">
        <x:f>Equity_CF!T20-Debt!T16*0.05*(1-Dep_Tax!T24)</x:f>
        <x:v>826.6339897355074</x:v>
      </x:c>
      <x:c r="U93" s="57" t="n">
        <x:f>Equity_CF!U20-Debt!U16*0.05*(1-Dep_Tax!U24)</x:f>
        <x:v>840.0442654823851</x:v>
      </x:c>
      <x:c r="V93" s="57" t="n">
        <x:f>Equity_CF!V20-Debt!V16*0.05*(1-Dep_Tax!V24)</x:f>
        <x:v>853.6900172475414</x:v>
      </x:c>
      <x:c r="W93" s="57" t="n">
        <x:f>Equity_CF!W20-Debt!W16*0.05*(1-Dep_Tax!W24)</x:f>
        <x:v>867.5753667295811</x:v>
      </x:c>
      <x:c r="X93" s="57" t="n">
        <x:f>Equity_CF!X20-Debt!X16*0.05*(1-Dep_Tax!X24)</x:f>
        <x:v>881.704507503804</x:v>
      </x:c>
      <x:c r="Y93" s="57" t="n">
        <x:f>Equity_CF!Y20-Debt!Y16*0.05*(1-Dep_Tax!Y24)</x:f>
        <x:v>0</x:v>
      </x:c>
      <x:c r="Z93" s="57" t="n">
        <x:f>Equity_CF!Z20-Debt!Z16*0.05*(1-Dep_Tax!Z24)</x:f>
        <x:v>0</x:v>
      </x:c>
      <x:c r="AA93" s="57" t="n">
        <x:f>Equity_CF!AA20-Debt!AA16*0.05*(1-Dep_Tax!AA24)</x:f>
        <x:v>0</x:v>
      </x:c>
      <x:c r="AB93" s="57" t="n">
        <x:f>Equity_CF!AB20-Debt!AB16*0.05*(1-Dep_Tax!AB24)</x:f>
        <x:v>0</x:v>
      </x:c>
      <x:c r="AC93" s="57" t="n">
        <x:f>Equity_CF!AC20-Debt!AC16*0.05*(1-Dep_Tax!AC24)</x:f>
        <x:v>0</x:v>
      </x:c>
      <x:c r="AD93" s="57" t="n">
        <x:f>Equity_CF!AD20-Debt!AD16*0.05*(1-Dep_Tax!AD24)</x:f>
        <x:v>0</x:v>
      </x:c>
      <x:c r="AE93" s="57" t="n">
        <x:f>Equity_CF!AE20-Debt!AE16*0.05*(1-Dep_Tax!AE24)</x:f>
        <x:v>0</x:v>
      </x:c>
      <x:c r="AF93" s="57" t="n">
        <x:f>Equity_CF!AF20-Debt!AF16*0.05*(1-Dep_Tax!AF24)</x:f>
        <x:v>0</x:v>
      </x:c>
    </x:row>
    <x:row r="94">
      <x:c r="A94" t="s">
        <x:v>682</x:v>
      </x:c>
      <x:c r="B94" t="s">
        <x:v>687</x:v>
      </x:c>
      <x:c r="C94" s="57" t="n">
        <x:f>Equity_CF!C20-Debt!C16*0.1*(1-Dep_Tax!C24)</x:f>
        <x:v>-1115.376</x:v>
      </x:c>
      <x:c r="D94" s="57" t="n">
        <x:f>Equity_CF!D20-Debt!D16*0.1*(1-Dep_Tax!D24)</x:f>
        <x:v>-1552.5985000000005</x:v>
      </x:c>
      <x:c r="E94" s="57" t="n">
        <x:f>Equity_CF!E20-Debt!E16*0.1*(1-Dep_Tax!E24)</x:f>
        <x:v>272.0091626666667</x:v>
      </x:c>
      <x:c r="F94" s="57" t="n">
        <x:f>Equity_CF!F20-Debt!F16*0.1*(1-Dep_Tax!F24)</x:f>
        <x:v>-42.74361463850649</x:v>
      </x:c>
      <x:c r="G94" s="57" t="n">
        <x:f>Equity_CF!G20-Debt!G16*0.1*(1-Dep_Tax!G24)</x:f>
        <x:v>9.630469352585934</x:v>
      </x:c>
      <x:c r="H94" s="57" t="n">
        <x:f>Equity_CF!H20-Debt!H16*0.1*(1-Dep_Tax!H24)</x:f>
        <x:v>62.23538927202491</x:v>
      </x:c>
      <x:c r="I94" s="57" t="n">
        <x:f>Equity_CF!I20-Debt!I16*0.1*(1-Dep_Tax!I24)</x:f>
        <x:v>107.7366255166638</x:v>
      </x:c>
      <x:c r="J94" s="57" t="n">
        <x:f>Equity_CF!J20-Debt!J16*0.1*(1-Dep_Tax!J24)</x:f>
        <x:v>158.161480227537</x:v>
      </x:c>
      <x:c r="K94" s="57" t="n">
        <x:f>Equity_CF!K20-Debt!K16*0.1*(1-Dep_Tax!K24)</x:f>
        <x:v>208.81735688972577</x:v>
      </x:c>
      <x:c r="L94" s="57" t="n">
        <x:f>Equity_CF!L20-Debt!L16*0.1*(1-Dep_Tax!L24)</x:f>
        <x:v>259.70830203537344</x:v>
      </x:c>
      <x:c r="M94" s="57" t="n">
        <x:f>Equity_CF!M20-Debt!M16*0.1*(1-Dep_Tax!M24)</x:f>
        <x:v>310.83843281989874</x:v>
      </x:c>
      <x:c r="N94" s="57" t="n">
        <x:f>Equity_CF!N20-Debt!N16*0.1*(1-Dep_Tax!N24)</x:f>
        <x:v>362.2119382493401</x:v>
      </x:c>
      <x:c r="O94" s="57" t="n">
        <x:f>Equity_CF!O20-Debt!O16*0.1*(1-Dep_Tax!O24)</x:f>
        <x:v>413.83308042892406</x:v>
      </x:c>
      <x:c r="P94" s="57" t="n">
        <x:f>Equity_CF!P20-Debt!P16*0.1*(1-Dep_Tax!P24)</x:f>
        <x:v>465.7061958332195</x:v>
      </x:c>
      <x:c r="Q94" s="57" t="n">
        <x:f>Equity_CF!Q20-Debt!Q16*0.1*(1-Dep_Tax!Q24)</x:f>
        <x:v>874.5440299315812</x:v>
      </x:c>
      <x:c r="R94" s="57" t="n">
        <x:f>Equity_CF!R20-Debt!R16*0.1*(1-Dep_Tax!R24)</x:f>
        <x:v>859.9401667393054</x:v>
      </x:c>
      <x:c r="S94" s="57" t="n">
        <x:f>Equity_CF!S20-Debt!S16*0.1*(1-Dep_Tax!S24)</x:f>
        <x:v>874.5105000780432</x:v>
      </x:c>
      <x:c r="T94" s="57" t="n">
        <x:f>Equity_CF!T20-Debt!T16*0.1*(1-Dep_Tax!T24)</x:f>
        <x:v>826.6339897355074</x:v>
      </x:c>
      <x:c r="U94" s="57" t="n">
        <x:f>Equity_CF!U20-Debt!U16*0.1*(1-Dep_Tax!U24)</x:f>
        <x:v>840.0442654823851</x:v>
      </x:c>
      <x:c r="V94" s="57" t="n">
        <x:f>Equity_CF!V20-Debt!V16*0.1*(1-Dep_Tax!V24)</x:f>
        <x:v>853.6900172475414</x:v>
      </x:c>
      <x:c r="W94" s="57" t="n">
        <x:f>Equity_CF!W20-Debt!W16*0.1*(1-Dep_Tax!W24)</x:f>
        <x:v>867.5753667295811</x:v>
      </x:c>
      <x:c r="X94" s="57" t="n">
        <x:f>Equity_CF!X20-Debt!X16*0.1*(1-Dep_Tax!X24)</x:f>
        <x:v>881.704507503804</x:v>
      </x:c>
      <x:c r="Y94" s="57" t="n">
        <x:f>Equity_CF!Y20-Debt!Y16*0.1*(1-Dep_Tax!Y24)</x:f>
        <x:v>0</x:v>
      </x:c>
      <x:c r="Z94" s="57" t="n">
        <x:f>Equity_CF!Z20-Debt!Z16*0.1*(1-Dep_Tax!Z24)</x:f>
        <x:v>0</x:v>
      </x:c>
      <x:c r="AA94" s="57" t="n">
        <x:f>Equity_CF!AA20-Debt!AA16*0.1*(1-Dep_Tax!AA24)</x:f>
        <x:v>0</x:v>
      </x:c>
      <x:c r="AB94" s="57" t="n">
        <x:f>Equity_CF!AB20-Debt!AB16*0.1*(1-Dep_Tax!AB24)</x:f>
        <x:v>0</x:v>
      </x:c>
      <x:c r="AC94" s="57" t="n">
        <x:f>Equity_CF!AC20-Debt!AC16*0.1*(1-Dep_Tax!AC24)</x:f>
        <x:v>0</x:v>
      </x:c>
      <x:c r="AD94" s="57" t="n">
        <x:f>Equity_CF!AD20-Debt!AD16*0.1*(1-Dep_Tax!AD24)</x:f>
        <x:v>0</x:v>
      </x:c>
      <x:c r="AE94" s="57" t="n">
        <x:f>Equity_CF!AE20-Debt!AE16*0.1*(1-Dep_Tax!AE24)</x:f>
        <x:v>0</x:v>
      </x:c>
      <x:c r="AF94" s="57" t="n">
        <x:f>Equity_CF!AF20-Debt!AF16*0.1*(1-Dep_Tax!AF24)</x:f>
        <x:v>0</x:v>
      </x:c>
    </x:row>
  </x:sheetData>
  <x:mergeCells>
    <x:mergeCell ref="A23:G25"/>
    <x:mergeCell ref="A28:AF28"/>
    <x:mergeCell ref="A1:G1"/>
    <x:mergeCell ref="A2:G2"/>
    <x:mergeCell ref="A3:G3"/>
    <x:mergeCell ref="A5:G5"/>
    <x:mergeCell ref="A14:G14"/>
  </x:mergeCells>
  <x:pageMargins left="0.7" right="0.7" top="0.75" bottom="0.75" header="0.3" footer="0.3"/>
</x:worksheet>
</file>
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f1bd4aee61da4543" /></Relationships>
</file>

<file path=xl/workbook.xml><?xml version="1.0" encoding="utf-8"?>
<x:workbook xmlns:x="http://schemas.openxmlformats.org/spreadsheetml/2006/main">
  <x:sheets>
    <x:sheet xmlns:r="http://schemas.openxmlformats.org/officeDocument/2006/relationships" name="Input" sheetId="1" r:id="R7271295a915e49d0"/>
    <x:sheet xmlns:r="http://schemas.openxmlformats.org/officeDocument/2006/relationships" name="Summary" sheetId="2" r:id="R8095c89160d54f1d"/>
    <x:sheet xmlns:r="http://schemas.openxmlformats.org/officeDocument/2006/relationships" name="CAPEX" sheetId="3" r:id="R642e7173973a411b"/>
    <x:sheet xmlns:r="http://schemas.openxmlformats.org/officeDocument/2006/relationships" name="Energy_Revenue" sheetId="4" r:id="Rc4172869388249ef"/>
    <x:sheet xmlns:r="http://schemas.openxmlformats.org/officeDocument/2006/relationships" name="Debt" sheetId="5" r:id="R066797bb175d4a61"/>
    <x:sheet xmlns:r="http://schemas.openxmlformats.org/officeDocument/2006/relationships" name="Dep_Tax" sheetId="6" r:id="R0d4ea2a3842b464e"/>
    <x:sheet xmlns:r="http://schemas.openxmlformats.org/officeDocument/2006/relationships" name="Income_Statement" sheetId="7" r:id="R99b0d551c4a249bc"/>
    <x:sheet xmlns:r="http://schemas.openxmlformats.org/officeDocument/2006/relationships" name="Project_CF" sheetId="8" r:id="Ra0762a9c63944e9f"/>
    <x:sheet xmlns:r="http://schemas.openxmlformats.org/officeDocument/2006/relationships" name="Equity_CF" sheetId="9" r:id="Rce55335ccd164bcf"/>
    <x:sheet xmlns:r="http://schemas.openxmlformats.org/officeDocument/2006/relationships" name="Sensitivity" sheetId="10" r:id="R56adc6b70baa4f51"/>
  </x:sheets>
</x:workbook>
</file>

<file path=xl/comments1.xml><?xml version="1.0" encoding="utf-8"?>
<x:comments xmlns:x="http://schemas.openxmlformats.org/spreadsheetml/2006/main">
  <x:authors>
    <x:author>tc={6A2E3B1B-9407-B749-7A6F-5B7C53F5F3C9}</x:author>
    <x:author>tc={FDA12B2D-7334-BD06-EE56-079B86C335DF}</x:author>
    <x:author>tc={B278CF10-436C-DECA-7701-3C37B52FA94C}</x:author>
    <x:author>tc={79DE71C1-AC21-2323-5D41-24758D7A6A98}</x:author>
    <x:author>tc={2201F049-C49D-F388-2DB2-A6B4639059FA}</x:author>
  </x:authors>
  <x:commentList>
    <x:comment ref="D22" authorId="0">
      <x:text>
        <x:r>
          <x:t>[Threaded comment]
Your version of Excel allows you to read this threaded comment; however, any edits to it will get removed if the file is opened in a newer version of Excel. Learn more: https://go.microsoft.com/fwlink/?linkid=870924
Comment:
    Nguồn: thông tin do người dùng cung cấp — suất vốn đầu tư 31 tỷ VND/MW.</x:t>
        </x:r>
      </x:text>
    </x:comment>
    <x:comment ref="D41" authorId="1">
      <x:text>
        <x:r>
          <x:t>[Threaded comment]
Your version of Excel allows you to read this threaded comment; however, any edits to it will get removed if the file is opened in a newer version of Excel. Learn more: https://go.microsoft.com/fwlink/?linkid=870924
Comment:
    Giả định typical 30% dùng cho mô hình sơ bộ. Đây không phải kết quả nghiên cứu năng lượng; cần thay bằng AEP P50/P90 từ WindPRO hoặc báo cáo đánh giá năng lượng.</x:t>
        </x:r>
      </x:text>
    </x:comment>
    <x:comment ref="D44" authorId="2">
      <x:text>
        <x:r>
          <x:t>[Threaded comment]
Your version of Excel allows you to read this threaded comment; however, any edits to it will get removed if the file is opened in a newer version of Excel. Learn more: https://go.microsoft.com/fwlink/?linkid=870924
Comment:
    Nguồn: Quyết định 1508/QĐ-BCT ngày 30/05/2025 của Bộ Công Thương. Giá tối đa điện gió trên đất liền khu vực miền Trung: 1.807,4 VND/kWh, chưa VAT. https://moit.gov.vn/van-ban-phap-luat/quyet-dinh-phe-duyet-khung-gia-phat-dien-loai-hinh-nha-may-dien-gio-nam-2025.html</x:t>
        </x:r>
      </x:text>
    </x:comment>
    <x:comment ref="D50" authorId="3">
      <x:text>
        <x:r>
          <x:t>[Threaded comment]
Your version of Excel allows you to read this threaded comment; however, any edits to it will get removed if the file is opened in a newer version of Excel. Learn more: https://go.microsoft.com/fwlink/?linkid=870924
Comment:
    Giả định typical: O&amp;M năm đầu bằng 2% CAPEX chưa VAT = 111,6 tỷ VND/năm. Cần thay bằng báo giá O&amp;M và ngân sách vận hành thực tế.</x:t>
        </x:r>
      </x:text>
    </x:comment>
    <x:comment ref="D68" authorId="4">
      <x:text>
        <x:r>
          <x:t>[Threaded comment]
Your version of Excel allows you to read this threaded comment; however, any edits to it will get removed if the file is opened in a newer version of Excel. Learn more: https://go.microsoft.com/fwlink/?linkid=870924
Comment:
    Giả định dự án đầu tư mới trong lĩnh vực sản xuất năng lượng tái tạo đủ điều kiện ưu đãi: thuế suất 10% trong 15 năm, miễn 4 năm và giảm 50% trong 9 năm tiếp theo. Phải xác minh điều kiện áp dụng theo Luật Thuế TNDN 2025 và Nghị định 320/2025/NĐ-CP. https://vanban.chinhphu.vn/?classid=0&amp;docid=217301&amp;pageid=27160</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6">
    <x:numFmt numFmtId="200" formatCode="#,##0.0;[Red](#,##0.0);-"/>
    <x:numFmt numFmtId="201" formatCode="0"/>
    <x:numFmt numFmtId="202" formatCode="#,##0.00;[Red](#,##0.00);-"/>
    <x:numFmt numFmtId="203" formatCode="0.0%"/>
    <x:numFmt numFmtId="204" formatCode="0.0"/>
    <x:numFmt numFmtId="205" formatCode="#,##0;[Red](#,##0);-"/>
    <x:numFmt numFmtId="206" formatCode="0.00%"/>
    <x:numFmt numFmtId="207" formatCode="0.00x"/>
    <x:numFmt numFmtId="208" formatCode="#,##0.0"/>
    <x:numFmt numFmtId="209" formatCode="#,##0"/>
    <x:numFmt numFmtId="210" formatCode="#,##0.00"/>
    <x:numFmt numFmtId="211" formatCode="@"/>
    <x:numFmt numFmtId="212" formatCode="0.0%;[Red](0.0%);-"/>
    <x:numFmt numFmtId="213" formatCode="0.00x;[Red](0.00x);-"/>
    <x:numFmt numFmtId="214" formatCode="0.00%;[Red](0.00%);-"/>
    <x:numFmt numFmtId="215" formatCode="0.0000x"/>
  </x:numFmts>
  <x:fonts count="24">
    <x:font>
      <x:sz val="11"/>
      <x:name val="Carlito"/>
    </x:font>
    <x:font>
      <x:sz val="10"/>
      <x:color rgb="FF222222"/>
      <x:name val="Arial"/>
    </x:font>
    <x:font>
      <x:b/>
      <x:sz val="15"/>
      <x:color rgb="FFFFFFFF"/>
      <x:name val="Arial"/>
    </x:font>
    <x:font>
      <x:i/>
      <x:sz val="10"/>
      <x:color rgb="FF666666"/>
      <x:name val="Arial"/>
    </x:font>
    <x:font>
      <x:sz val="9"/>
      <x:color rgb="FF666666"/>
      <x:name val="Arial"/>
    </x:font>
    <x:font>
      <x:b/>
      <x:sz val="10"/>
      <x:color rgb="FF4F6D8A"/>
      <x:name val="Arial"/>
    </x:font>
    <x:font>
      <x:b/>
      <x:sz val="10"/>
      <x:color rgb="FFFF0000"/>
      <x:name val="Arial"/>
    </x:font>
    <x:font>
      <x:b/>
      <x:sz val="10"/>
      <x:color rgb="FF0000FF"/>
      <x:name val="Arial"/>
    </x:font>
    <x:font>
      <x:b/>
      <x:sz val="10"/>
      <x:color rgb="FF222222"/>
      <x:name val="Arial"/>
    </x:font>
    <x:font>
      <x:b/>
      <x:sz val="10"/>
      <x:color rgb="FFFFFFFF"/>
      <x:name val="Arial"/>
    </x:font>
    <x:font>
      <x:sz val="10"/>
      <x:color rgb="FFFF0000"/>
      <x:name val="Arial"/>
    </x:font>
    <x:font>
      <x:b/>
      <x:sz val="14"/>
      <x:color rgb="FFFFFFFF"/>
      <x:name val="Arial"/>
    </x:font>
    <x:font>
      <x:i/>
      <x:sz val="9"/>
      <x:color rgb="FF666666"/>
      <x:name val="Arial"/>
    </x:font>
    <x:font>
      <x:sz val="8"/>
      <x:color rgb="FF666666"/>
      <x:name val="Arial"/>
    </x:font>
    <x:font>
      <x:b/>
      <x:sz val="9"/>
      <x:color rgb="FF222222"/>
      <x:name val="Arial"/>
    </x:font>
    <x:font>
      <x:i/>
      <x:sz val="9"/>
      <x:color rgb="FF222222"/>
      <x:name val="Arial"/>
    </x:font>
    <x:font>
      <x:sz val="9"/>
      <x:color rgb="FF222222"/>
      <x:name val="Arial"/>
    </x:font>
    <x:font>
      <x:b/>
      <x:sz val="9"/>
      <x:color rgb="FFFFFFFF"/>
      <x:name val="Arial"/>
    </x:font>
    <x:font>
      <x:sz val="9"/>
      <x:color rgb="FF0000FF"/>
      <x:name val="Arial"/>
    </x:font>
    <x:font>
      <x:b/>
      <x:sz val="9"/>
      <x:color rgb="FF4F6D8A"/>
      <x:name val="Arial"/>
    </x:font>
    <x:font>
      <x:sz val="9"/>
      <x:color rgb="FF0000FF"/>
      <x:name val="Arial"/>
    </x:font>
    <x:font>
      <x:b/>
      <x:sz val="9"/>
      <x:color rgb="FF0000FF"/>
      <x:name val="Arial"/>
    </x:font>
    <x:font>
      <x:b/>
      <x:sz val="11"/>
      <x:color rgb="FF4F6D8A"/>
      <x:name val="Arial"/>
    </x:font>
    <x:font>
      <x:b/>
      <x:sz val="16"/>
      <x:color rgb="FF0000FF"/>
      <x:name val="Arial"/>
    </x:font>
  </x:fonts>
  <x:fills count="10">
    <x:fill>
      <x:patternFill patternType="none"/>
    </x:fill>
    <x:fill>
      <x:patternFill patternType="gray125"/>
    </x:fill>
    <x:fill>
      <x:patternFill patternType="solid">
        <x:fgColor rgb="FF4F6D8A"/>
      </x:patternFill>
    </x:fill>
    <x:fill>
      <x:patternFill patternType="solid">
        <x:fgColor rgb="FFEEF5FA"/>
      </x:patternFill>
    </x:fill>
    <x:fill>
      <x:patternFill patternType="solid">
        <x:fgColor rgb="FFD9EAF7"/>
      </x:patternFill>
    </x:fill>
    <x:fill>
      <x:patternFill patternType="solid">
        <x:fgColor rgb="FFFFF9E8"/>
      </x:patternFill>
    </x:fill>
    <x:fill>
      <x:patternFill patternType="solid">
        <x:fgColor rgb="FFF1F6FA"/>
      </x:patternFill>
    </x:fill>
    <x:fill>
      <x:patternFill patternType="solid">
        <x:fgColor rgb="FFF2F2F2"/>
      </x:patternFill>
    </x:fill>
    <x:fill>
      <x:patternFill patternType="solid">
        <x:fgColor rgb="FFFCEFE8"/>
      </x:patternFill>
    </x:fill>
    <x:fill>
      <x:patternFill patternType="solid">
        <x:fgColor rgb="FFEDF6E9"/>
      </x:patternFill>
    </x:fill>
  </x:fills>
  <x:borders count="7">
    <x:border/>
    <x:border>
      <x:left style="thin">
        <x:color rgb="FFCEDAE3"/>
      </x:left>
      <x:top style="thin">
        <x:color rgb="FFCEDAE3"/>
      </x:top>
      <x:bottom style="thin">
        <x:color rgb="FFCEDAE3"/>
      </x:bottom>
    </x:border>
    <x:border>
      <x:top style="thin">
        <x:color rgb="FFCEDAE3"/>
      </x:top>
      <x:bottom style="thin">
        <x:color rgb="FFCEDAE3"/>
      </x:bottom>
    </x:border>
    <x:border>
      <x:right style="thin">
        <x:color rgb="FFCEDAE3"/>
      </x:right>
      <x:top style="thin">
        <x:color rgb="FFCEDAE3"/>
      </x:top>
      <x:bottom style="thin">
        <x:color rgb="FFCEDAE3"/>
      </x:bottom>
    </x:border>
    <x:border>
      <x:bottom style="thin">
        <x:color rgb="FFD9E1E8"/>
      </x:bottom>
    </x:border>
    <x:border>
      <x:bottom style="thin">
        <x:color rgb="FFCEDAE3"/>
      </x:bottom>
    </x:border>
    <x:border>
      <x:bottom style="thin">
        <x:color rgb="FFE4EAF0"/>
      </x:bottom>
    </x:border>
  </x:borders>
  <x:cellStyleXfs count="1">
    <x:xf numFmtId="0" fontId="0" fillId="0" borderId="0"/>
  </x:cellStyleXfs>
  <x:cellXfs count="225">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1"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3" fillId="3" borderId="0" xfId="0" applyNumberFormat="1" applyFont="1" applyFill="1" applyBorder="1" applyAlignment="1">
      <x:alignment horizontal="center"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horizontal="right"/>
    </x:xf>
    <x:xf numFmtId="0" fontId="1" fillId="4" borderId="0" xfId="0" applyNumberFormat="1" applyFont="1" applyFill="1" applyBorder="1"/>
    <x:xf numFmtId="0" fontId="5" fillId="4" borderId="0" xfId="0" applyNumberFormat="1" applyFont="1" applyFill="1" applyBorder="1"/>
    <x:xf numFmtId="0" fontId="5" fillId="4" borderId="0" xfId="0" applyNumberFormat="1" applyFont="1" applyFill="1" applyBorder="1" applyAlignment="1">
      <x:alignment horizontal="center"/>
    </x:xf>
    <x:xf numFmtId="0" fontId="1" fillId="5" borderId="0" xfId="0" applyNumberFormat="1" applyFont="1" applyFill="1" applyBorder="1"/>
    <x:xf numFmtId="0" fontId="6" fillId="5" borderId="0" xfId="0" applyNumberFormat="1" applyFont="1" applyFill="1" applyBorder="1"/>
    <x:xf numFmtId="0" fontId="6" fillId="5" borderId="0" xfId="0" applyNumberFormat="1" applyFont="1" applyFill="1" applyBorder="1" applyAlignment="1">
      <x:alignment horizontal="center"/>
    </x:xf>
    <x:xf numFmtId="0" fontId="1"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8" fillId="0" borderId="0" xfId="0" applyNumberFormat="1" applyFont="1" applyFill="1" applyBorder="1"/>
    <x:xf numFmtId="0" fontId="8" fillId="0" borderId="0" xfId="0" applyNumberFormat="1" applyFont="1" applyFill="1" applyBorder="1" applyAlignment="1">
      <x:alignment vertical="center"/>
    </x:xf>
    <x:xf numFmtId="0" fontId="3" fillId="0" borderId="0" xfId="0" applyNumberFormat="1" applyFont="1" applyFill="1" applyBorder="1"/>
    <x:xf numFmtId="0" fontId="3" fillId="0" borderId="0" xfId="0" applyNumberFormat="1" applyFont="1" applyFill="1" applyBorder="1" applyAlignment="1">
      <x:alignment vertical="center"/>
    </x:xf>
    <x:xf numFmtId="0" fontId="9" fillId="2" borderId="0" xfId="0" applyNumberFormat="1" applyFont="1" applyFill="1" applyBorder="1"/>
    <x:xf numFmtId="0" fontId="9" fillId="2" borderId="1" xfId="0" applyNumberFormat="1" applyFont="1" applyFill="1" applyBorder="1"/>
    <x:xf numFmtId="0" fontId="9" fillId="2" borderId="2" xfId="0" applyNumberFormat="1" applyFont="1" applyFill="1" applyBorder="1"/>
    <x:xf numFmtId="0" fontId="9" fillId="2" borderId="3" xfId="0" applyNumberFormat="1" applyFont="1" applyFill="1" applyBorder="1"/>
    <x:xf numFmtId="0" fontId="9" fillId="2" borderId="1" xfId="0" applyNumberFormat="1" applyFont="1" applyFill="1" applyBorder="1" applyAlignment="1">
      <x:alignment wrapText="1"/>
    </x:xf>
    <x:xf numFmtId="0" fontId="9" fillId="2" borderId="2" xfId="0" applyNumberFormat="1" applyFont="1" applyFill="1" applyBorder="1" applyAlignment="1">
      <x:alignment wrapText="1"/>
    </x:xf>
    <x:xf numFmtId="0" fontId="9" fillId="2" borderId="3" xfId="0" applyNumberFormat="1" applyFont="1" applyFill="1" applyBorder="1" applyAlignment="1">
      <x:alignment wrapText="1"/>
    </x:xf>
    <x:xf numFmtId="0" fontId="9" fillId="2" borderId="1" xfId="0" applyNumberFormat="1" applyFont="1" applyFill="1" applyBorder="1" applyAlignment="1">
      <x:alignment horizontal="center" wrapText="1"/>
    </x:xf>
    <x:xf numFmtId="0" fontId="9" fillId="2" borderId="2" xfId="0" applyNumberFormat="1" applyFont="1" applyFill="1" applyBorder="1" applyAlignment="1">
      <x:alignment horizontal="center" wrapText="1"/>
    </x:xf>
    <x:xf numFmtId="0" fontId="9" fillId="2" borderId="3" xfId="0" applyNumberFormat="1" applyFont="1" applyFill="1" applyBorder="1" applyAlignment="1">
      <x:alignment horizontal="center" wrapText="1"/>
    </x:xf>
    <x:xf numFmtId="0" fontId="9" fillId="2" borderId="1" xfId="0" applyNumberFormat="1" applyFont="1" applyFill="1" applyBorder="1" applyAlignment="1">
      <x:alignment horizontal="center" vertical="center" wrapText="1"/>
    </x:xf>
    <x:xf numFmtId="0" fontId="9" fillId="2" borderId="2" xfId="0" applyNumberFormat="1" applyFont="1" applyFill="1" applyBorder="1" applyAlignment="1">
      <x:alignment horizontal="center" vertical="center" wrapText="1"/>
    </x:xf>
    <x:xf numFmtId="0" fontId="9" fillId="2" borderId="3" xfId="0" applyNumberFormat="1" applyFont="1" applyFill="1" applyBorder="1" applyAlignment="1">
      <x:alignment horizontal="center" vertical="center" wrapText="1"/>
    </x:xf>
    <x:xf numFmtId="0" fontId="5" fillId="4" borderId="0" xfId="0" applyNumberFormat="1" applyFont="1" applyFill="1" applyBorder="1" applyAlignment="1">
      <x:alignment horizontal="left"/>
    </x:xf>
    <x:xf numFmtId="0" fontId="5" fillId="4" borderId="0" xfId="0" applyNumberFormat="1" applyFont="1" applyFill="1" applyBorder="1" applyAlignment="1">
      <x:alignment horizontal="left" vertical="center"/>
    </x:xf>
    <x:xf numFmtId="0" fontId="1" fillId="0" borderId="4" xfId="0" applyNumberFormat="1" applyFont="1" applyFill="1" applyBorder="1"/>
    <x:xf numFmtId="0" fontId="1" fillId="0" borderId="4" xfId="0" applyNumberFormat="1" applyFont="1" applyFill="1" applyBorder="1" applyAlignment="1">
      <x:alignment wrapText="1"/>
    </x:xf>
    <x:xf numFmtId="0" fontId="1" fillId="0" borderId="4" xfId="0" applyNumberFormat="1" applyFont="1" applyFill="1" applyBorder="1" applyAlignment="1">
      <x:alignment vertical="center" wrapText="1"/>
    </x:xf>
    <x:xf numFmtId="0" fontId="1" fillId="5" borderId="4" xfId="0" applyNumberFormat="1" applyFont="1" applyFill="1" applyBorder="1" applyAlignment="1">
      <x:alignment vertical="center" wrapText="1"/>
    </x:xf>
    <x:xf numFmtId="0" fontId="6" fillId="5" borderId="4" xfId="0" applyNumberFormat="1" applyFont="1" applyFill="1" applyBorder="1" applyAlignment="1">
      <x:alignment vertical="center" wrapText="1"/>
    </x:xf>
    <x:xf numFmtId="0" fontId="6" fillId="5" borderId="4" xfId="0" applyNumberFormat="1" applyFont="1" applyFill="1" applyBorder="1" applyAlignment="1">
      <x:alignment horizontal="left" vertical="center" wrapText="1"/>
    </x:xf>
    <x:xf numFmtId="0" fontId="8" fillId="0" borderId="4" xfId="0" applyNumberFormat="1" applyFont="1" applyFill="1" applyBorder="1" applyAlignment="1">
      <x:alignment vertical="center" wrapText="1"/>
    </x:xf>
    <x:xf numFmtId="0" fontId="6" fillId="5" borderId="4" xfId="0" applyNumberFormat="1" applyFont="1" applyFill="1" applyBorder="1" applyAlignment="1">
      <x:alignment horizontal="right" vertical="center" wrapText="1"/>
    </x:xf>
    <x:xf numFmtId="200" fontId="6" fillId="5" borderId="4" xfId="0" applyNumberFormat="1" applyFont="1" applyFill="1" applyBorder="1" applyAlignment="1">
      <x:alignment horizontal="right" vertical="center" wrapText="1"/>
    </x:xf>
    <x:xf numFmtId="0" fontId="10" fillId="5" borderId="4" xfId="0" applyNumberFormat="1" applyFont="1" applyFill="1" applyBorder="1" applyAlignment="1">
      <x:alignment vertical="center" wrapText="1"/>
    </x:xf>
    <x:xf numFmtId="0" fontId="10" fillId="5" borderId="4" xfId="0" applyNumberFormat="1" applyFont="1" applyFill="1" applyBorder="1" applyAlignment="1">
      <x:alignment horizontal="right" vertical="center" wrapText="1"/>
    </x:xf>
    <x:xf numFmtId="201" fontId="10" fillId="5" borderId="4" xfId="0" applyNumberFormat="1" applyFont="1" applyFill="1" applyBorder="1" applyAlignment="1">
      <x:alignment horizontal="right" vertical="center" wrapText="1"/>
    </x:xf>
    <x:xf numFmtId="201" fontId="6" fillId="5" borderId="4" xfId="0" applyNumberFormat="1" applyFont="1" applyFill="1" applyBorder="1" applyAlignment="1">
      <x:alignment horizontal="right" vertical="center" wrapText="1"/>
    </x:xf>
    <x:xf numFmtId="0" fontId="1" fillId="6" borderId="4" xfId="0" applyNumberFormat="1" applyFont="1" applyFill="1" applyBorder="1" applyAlignment="1">
      <x:alignment vertical="center" wrapText="1"/>
    </x:xf>
    <x:xf numFmtId="0" fontId="7" fillId="6" borderId="4" xfId="0" applyNumberFormat="1" applyFont="1" applyFill="1" applyBorder="1" applyAlignment="1">
      <x:alignment vertical="center" wrapText="1"/>
    </x:xf>
    <x:xf numFmtId="0" fontId="7" fillId="6" borderId="4" xfId="0" applyNumberFormat="1" applyFont="1" applyFill="1" applyBorder="1" applyAlignment="1">
      <x:alignment horizontal="right" vertical="center" wrapText="1"/>
    </x:xf>
    <x:xf numFmtId="201" fontId="7" fillId="6" borderId="4" xfId="0" applyNumberFormat="1" applyFont="1" applyFill="1" applyBorder="1" applyAlignment="1">
      <x:alignment horizontal="right" vertical="center" wrapText="1"/>
    </x:xf>
    <x:xf numFmtId="202" fontId="7" fillId="6" borderId="4" xfId="0" applyNumberFormat="1" applyFont="1" applyFill="1" applyBorder="1" applyAlignment="1">
      <x:alignment horizontal="right" vertical="center" wrapText="1"/>
    </x:xf>
    <x:xf numFmtId="202" fontId="6" fillId="5" borderId="4" xfId="0" applyNumberFormat="1" applyFont="1" applyFill="1" applyBorder="1" applyAlignment="1">
      <x:alignment horizontal="right" vertical="center" wrapText="1"/>
    </x:xf>
    <x:xf numFmtId="203" fontId="6" fillId="5" borderId="4" xfId="0" applyNumberFormat="1" applyFont="1" applyFill="1" applyBorder="1" applyAlignment="1">
      <x:alignment horizontal="right" vertical="center" wrapText="1"/>
    </x:xf>
    <x:xf numFmtId="203" fontId="10" fillId="5" borderId="4" xfId="0" applyNumberFormat="1" applyFont="1" applyFill="1" applyBorder="1" applyAlignment="1">
      <x:alignment horizontal="right" vertical="center" wrapText="1"/>
    </x:xf>
    <x:xf numFmtId="204" fontId="10" fillId="5" borderId="4" xfId="0" applyNumberFormat="1" applyFont="1" applyFill="1" applyBorder="1" applyAlignment="1">
      <x:alignment horizontal="right" vertical="center" wrapText="1"/>
    </x:xf>
    <x:xf numFmtId="202" fontId="10" fillId="5" borderId="4" xfId="0" applyNumberFormat="1" applyFont="1" applyFill="1" applyBorder="1" applyAlignment="1">
      <x:alignment horizontal="right" vertical="center" wrapText="1"/>
    </x:xf>
    <x:xf numFmtId="0" fontId="8" fillId="3" borderId="0" xfId="0" applyNumberFormat="1" applyFont="1" applyFill="1" applyBorder="1"/>
    <x:xf numFmtId="0" fontId="8" fillId="3" borderId="1" xfId="0" applyNumberFormat="1" applyFont="1" applyFill="1" applyBorder="1"/>
    <x:xf numFmtId="0" fontId="8" fillId="3" borderId="2" xfId="0" applyNumberFormat="1" applyFont="1" applyFill="1" applyBorder="1"/>
    <x:xf numFmtId="0" fontId="8" fillId="3" borderId="3" xfId="0" applyNumberFormat="1" applyFont="1" applyFill="1" applyBorder="1"/>
    <x:xf numFmtId="0" fontId="8" fillId="3" borderId="1" xfId="0" applyNumberFormat="1" applyFont="1" applyFill="1" applyBorder="1" applyAlignment="1">
      <x:alignment horizontal="center"/>
    </x:xf>
    <x:xf numFmtId="0" fontId="8" fillId="3" borderId="2" xfId="0" applyNumberFormat="1" applyFont="1" applyFill="1" applyBorder="1" applyAlignment="1">
      <x:alignment horizontal="center"/>
    </x:xf>
    <x:xf numFmtId="0" fontId="8" fillId="3" borderId="3" xfId="0" applyNumberFormat="1" applyFont="1" applyFill="1" applyBorder="1" applyAlignment="1">
      <x:alignment horizontal="center"/>
    </x:xf>
    <x:xf numFmtId="0" fontId="8" fillId="3" borderId="1" xfId="0" applyNumberFormat="1" applyFont="1" applyFill="1" applyBorder="1" applyAlignment="1">
      <x:alignment horizontal="center" vertical="center"/>
    </x:xf>
    <x:xf numFmtId="0" fontId="8" fillId="3" borderId="2" xfId="0" applyNumberFormat="1" applyFont="1" applyFill="1" applyBorder="1" applyAlignment="1">
      <x:alignment horizontal="center" vertical="center"/>
    </x:xf>
    <x:xf numFmtId="0" fontId="8" fillId="3" borderId="3" xfId="0" applyNumberFormat="1" applyFont="1" applyFill="1" applyBorder="1" applyAlignment="1">
      <x:alignment horizontal="center" vertical="center"/>
    </x:xf>
    <x:xf numFmtId="203" fontId="7" fillId="6" borderId="4" xfId="0" applyNumberFormat="1" applyFont="1" applyFill="1" applyBorder="1" applyAlignment="1">
      <x:alignment horizontal="right" vertical="center" wrapText="1"/>
    </x:xf>
    <x:xf numFmtId="0" fontId="10" fillId="5" borderId="4" xfId="0" applyNumberFormat="1" applyFont="1" applyFill="1" applyBorder="1" applyAlignment="1">
      <x:alignment horizontal="left" vertical="center" wrapText="1"/>
    </x:xf>
    <x:xf numFmtId="205" fontId="7" fillId="6" borderId="4" xfId="0" applyNumberFormat="1" applyFont="1" applyFill="1" applyBorder="1" applyAlignment="1">
      <x:alignment horizontal="right" vertical="center" wrapText="1"/>
    </x:xf>
    <x:xf numFmtId="206" fontId="10" fillId="5" borderId="4" xfId="0" applyNumberFormat="1" applyFont="1" applyFill="1" applyBorder="1" applyAlignment="1">
      <x:alignment horizontal="right" vertical="center" wrapText="1"/>
    </x:xf>
    <x:xf numFmtId="206" fontId="6" fillId="5" borderId="4" xfId="0" applyNumberFormat="1" applyFont="1" applyFill="1" applyBorder="1" applyAlignment="1">
      <x:alignment horizontal="right" vertical="center" wrapText="1"/>
    </x:xf>
    <x:xf numFmtId="207" fontId="10" fillId="5" borderId="4" xfId="0" applyNumberFormat="1" applyFont="1" applyFill="1" applyBorder="1" applyAlignment="1">
      <x:alignment horizontal="right" vertical="center" wrapText="1"/>
    </x:xf>
    <x:xf numFmtId="0" fontId="1"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3" fillId="7" borderId="0" xfId="0" applyNumberFormat="1" applyFont="1" applyFill="1" applyBorder="1" applyAlignment="1">
      <x:alignment vertical="center" wrapText="1"/>
    </x:xf>
    <x:xf numFmtId="0" fontId="9" fillId="2" borderId="0" xfId="0" applyNumberFormat="1" applyFont="1" applyFill="1" applyBorder="1" applyAlignment="1">
      <x:alignment horizontal="center"/>
    </x:xf>
    <x:xf numFmtId="0" fontId="1" fillId="0" borderId="4" xfId="0" applyNumberFormat="1" applyFont="1" applyFill="1" applyBorder="1" applyAlignment="1">
      <x:alignment vertical="center"/>
    </x:xf>
    <x:xf numFmtId="0" fontId="1" fillId="6" borderId="4" xfId="0" applyNumberFormat="1" applyFont="1" applyFill="1" applyBorder="1" applyAlignment="1">
      <x:alignment vertical="center"/>
    </x:xf>
    <x:xf numFmtId="0" fontId="7" fillId="6" borderId="4" xfId="0" applyNumberFormat="1" applyFont="1" applyFill="1" applyBorder="1" applyAlignment="1">
      <x:alignment vertical="center"/>
    </x:xf>
    <x:xf numFmtId="208" fontId="7" fillId="6" borderId="4" xfId="0" applyNumberFormat="1" applyFont="1" applyFill="1" applyBorder="1" applyAlignment="1">
      <x:alignment vertical="center"/>
    </x:xf>
    <x:xf numFmtId="208" fontId="7" fillId="6" borderId="4" xfId="0" applyNumberFormat="1" applyFont="1" applyFill="1" applyBorder="1" applyAlignment="1">
      <x:alignment horizontal="right" vertical="center"/>
    </x:xf>
    <x:xf numFmtId="201" fontId="7" fillId="6" borderId="4" xfId="0" applyNumberFormat="1" applyFont="1" applyFill="1" applyBorder="1" applyAlignment="1">
      <x:alignment vertical="center"/>
    </x:xf>
    <x:xf numFmtId="201" fontId="7" fillId="6" borderId="4" xfId="0" applyNumberFormat="1" applyFont="1" applyFill="1" applyBorder="1" applyAlignment="1">
      <x:alignment horizontal="right" vertical="center"/>
    </x:xf>
    <x:xf numFmtId="202" fontId="7" fillId="6" borderId="4" xfId="0" applyNumberFormat="1" applyFont="1" applyFill="1" applyBorder="1" applyAlignment="1">
      <x:alignment vertical="center"/>
    </x:xf>
    <x:xf numFmtId="202" fontId="7" fillId="6" borderId="4" xfId="0" applyNumberFormat="1" applyFont="1" applyFill="1" applyBorder="1" applyAlignment="1">
      <x:alignment horizontal="right" vertical="center"/>
    </x:xf>
    <x:xf numFmtId="209" fontId="7" fillId="6" borderId="4" xfId="0" applyNumberFormat="1" applyFont="1" applyFill="1" applyBorder="1" applyAlignment="1">
      <x:alignment vertical="center"/>
    </x:xf>
    <x:xf numFmtId="209" fontId="7" fillId="6" borderId="4" xfId="0" applyNumberFormat="1" applyFont="1" applyFill="1" applyBorder="1" applyAlignment="1">
      <x:alignment horizontal="right" vertical="center"/>
    </x:xf>
    <x:xf numFmtId="210" fontId="7" fillId="6" borderId="4" xfId="0" applyNumberFormat="1" applyFont="1" applyFill="1" applyBorder="1" applyAlignment="1">
      <x:alignment vertical="center"/>
    </x:xf>
    <x:xf numFmtId="210" fontId="7" fillId="6" borderId="4" xfId="0" applyNumberFormat="1" applyFont="1" applyFill="1" applyBorder="1" applyAlignment="1">
      <x:alignment horizontal="right" vertical="center"/>
    </x:xf>
    <x:xf numFmtId="203" fontId="7" fillId="6" borderId="4" xfId="0" applyNumberFormat="1" applyFont="1" applyFill="1" applyBorder="1" applyAlignment="1">
      <x:alignment vertical="center"/>
    </x:xf>
    <x:xf numFmtId="203" fontId="7" fillId="6" borderId="4" xfId="0" applyNumberFormat="1" applyFont="1" applyFill="1" applyBorder="1" applyAlignment="1">
      <x:alignment horizontal="right" vertical="center"/>
    </x:xf>
    <x:xf numFmtId="211" fontId="7" fillId="6" borderId="4" xfId="0" applyNumberFormat="1" applyFont="1" applyFill="1" applyBorder="1" applyAlignment="1">
      <x:alignment vertical="center"/>
    </x:xf>
    <x:xf numFmtId="211" fontId="7" fillId="6" borderId="4" xfId="0" applyNumberFormat="1" applyFont="1" applyFill="1" applyBorder="1" applyAlignment="1">
      <x:alignment horizontal="right" vertical="center"/>
    </x:xf>
    <x:xf numFmtId="211" fontId="7" fillId="6" borderId="4" xfId="0" applyNumberFormat="1" applyFont="1" applyFill="1" applyBorder="1" applyAlignment="1">
      <x:alignment horizontal="center" vertical="center"/>
    </x:xf>
    <x:xf numFmtId="0" fontId="1" fillId="0" borderId="0" xfId="0" applyNumberFormat="1" applyFont="1" applyFill="1" applyBorder="1" applyAlignment="1">
      <x:alignment vertical="center"/>
    </x:xf>
    <x:xf numFmtId="0" fontId="4" fillId="0" borderId="0" xfId="0" applyNumberFormat="1" applyFont="1" applyFill="1" applyBorder="1" applyAlignment="1">
      <x:alignment horizontal="right" vertical="center"/>
    </x:xf>
    <x:xf numFmtId="0" fontId="5" fillId="4" borderId="0" xfId="0" applyNumberFormat="1" applyFont="1" applyFill="1" applyBorder="1" applyAlignment="1">
      <x:alignment horizontal="center" vertical="center"/>
    </x:xf>
    <x:xf numFmtId="0" fontId="9" fillId="2" borderId="0" xfId="0" applyNumberFormat="1" applyFont="1" applyFill="1" applyBorder="1" applyAlignment="1">
      <x:alignment horizontal="center" vertical="center"/>
    </x:xf>
    <x:xf numFmtId="0" fontId="6" fillId="5" borderId="0" xfId="0" applyNumberFormat="1" applyFont="1" applyFill="1" applyBorder="1" applyAlignment="1">
      <x:alignment horizontal="center" vertical="center"/>
    </x:xf>
    <x:xf numFmtId="0" fontId="7" fillId="6" borderId="0" xfId="0" applyNumberFormat="1" applyFont="1" applyFill="1" applyBorder="1" applyAlignment="1">
      <x:alignment horizontal="center" vertical="center"/>
    </x:xf>
    <x:xf numFmtId="0" fontId="1" fillId="0" borderId="4"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x:xf>
    <x:xf numFmtId="0" fontId="5" fillId="4" borderId="0" xfId="0" applyNumberFormat="1" applyFont="1" applyFill="1" applyBorder="1" applyAlignment="1">
      <x:alignment horizontal="left" vertical="center" wrapText="1"/>
    </x:xf>
    <x:xf numFmtId="0" fontId="1" fillId="0" borderId="0" xfId="0" applyNumberFormat="1" applyFont="1" applyFill="1" applyBorder="1" applyAlignment="1">
      <x:alignment vertical="center" wrapText="1"/>
    </x:xf>
    <x:xf numFmtId="0" fontId="8" fillId="3" borderId="3" xfId="0" applyNumberFormat="1" applyFont="1" applyFill="1" applyBorder="1" applyAlignment="1">
      <x:alignment horizontal="center" vertical="center" wrapText="1"/>
    </x:xf>
    <x:xf numFmtId="0" fontId="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horizontal="center"/>
    </x:xf>
    <x:xf numFmtId="0" fontId="11" fillId="2" borderId="0" xfId="0" applyNumberFormat="1" applyFont="1" applyFill="1" applyBorder="1" applyAlignment="1">
      <x:alignment horizontal="center" vertical="center"/>
    </x:xf>
    <x:xf numFmtId="0" fontId="0" fillId="3" borderId="0" xfId="0" applyNumberFormat="1" applyFont="1" applyFill="1" applyBorder="1"/>
    <x:xf numFmtId="0" fontId="12" fillId="3" borderId="0" xfId="0" applyNumberFormat="1" applyFont="1" applyFill="1" applyBorder="1"/>
    <x:xf numFmtId="0" fontId="12" fillId="3" borderId="0" xfId="0" applyNumberFormat="1" applyFont="1" applyFill="1" applyBorder="1" applyAlignment="1">
      <x:alignment wrapText="1"/>
    </x:xf>
    <x:xf numFmtId="0" fontId="12" fillId="3" borderId="0" xfId="0" applyNumberFormat="1" applyFont="1" applyFill="1" applyBorder="1" applyAlignment="1">
      <x:alignment horizontal="center" wrapText="1"/>
    </x:xf>
    <x:xf numFmtId="0" fontId="12" fillId="3" borderId="0" xfId="0" applyNumberFormat="1" applyFont="1" applyFill="1" applyBorder="1" applyAlignment="1">
      <x:alignment horizontal="center" vertical="center" wrapText="1"/>
    </x:xf>
    <x:xf numFmtId="0" fontId="13" fillId="0" borderId="0" xfId="0" applyNumberFormat="1" applyFont="1" applyFill="1" applyBorder="1"/>
    <x:xf numFmtId="0" fontId="13" fillId="0" borderId="0" xfId="0" applyNumberFormat="1" applyFont="1" applyFill="1" applyBorder="1" applyAlignment="1">
      <x:alignment horizontal="right"/>
    </x:xf>
    <x:xf numFmtId="0" fontId="14" fillId="2" borderId="0" xfId="0" applyNumberFormat="1" applyFont="1" applyFill="1" applyBorder="1" applyAlignment="1">
      <x:alignment horizontal="center" vertical="center"/>
    </x:xf>
    <x:xf numFmtId="0" fontId="15" fillId="3" borderId="0" xfId="0" applyNumberFormat="1" applyFont="1" applyFill="1" applyBorder="1" applyAlignment="1">
      <x:alignment horizontal="center" vertical="center" wrapText="1"/>
    </x:xf>
    <x:xf numFmtId="0" fontId="16" fillId="0" borderId="0" xfId="0" applyNumberFormat="1" applyFont="1" applyFill="1" applyBorder="1" applyAlignment="1">
      <x:alignment horizontal="right"/>
    </x:xf>
    <x:xf numFmtId="0" fontId="16" fillId="0" borderId="0" xfId="0" applyNumberFormat="1" applyFont="1" applyFill="1" applyBorder="1"/>
    <x:xf numFmtId="0" fontId="16" fillId="2" borderId="0" xfId="0" applyNumberFormat="1" applyFont="1" applyFill="1" applyBorder="1"/>
    <x:xf numFmtId="0" fontId="17" fillId="2" borderId="0" xfId="0" applyNumberFormat="1" applyFont="1" applyFill="1" applyBorder="1"/>
    <x:xf numFmtId="0" fontId="17" fillId="2" borderId="5" xfId="0" applyNumberFormat="1" applyFont="1" applyFill="1" applyBorder="1"/>
    <x:xf numFmtId="0" fontId="17" fillId="2" borderId="5" xfId="0" applyNumberFormat="1" applyFont="1" applyFill="1" applyBorder="1" applyAlignment="1">
      <x:alignment horizontal="right"/>
    </x:xf>
    <x:xf numFmtId="0" fontId="17" fillId="2" borderId="5" xfId="0" applyNumberFormat="1" applyFont="1" applyFill="1" applyBorder="1" applyAlignment="1">
      <x:alignment horizontal="right" vertical="center"/>
    </x:xf>
    <x:xf numFmtId="0" fontId="17" fillId="2" borderId="5" xfId="0" applyNumberFormat="1" applyFont="1" applyFill="1" applyBorder="1" applyAlignment="1">
      <x:alignment horizontal="left" vertical="center"/>
    </x:xf>
    <x:xf numFmtId="0" fontId="16" fillId="3" borderId="0" xfId="0" applyNumberFormat="1" applyFont="1" applyFill="1" applyBorder="1"/>
    <x:xf numFmtId="0" fontId="18" fillId="3" borderId="0" xfId="0" applyNumberFormat="1" applyFont="1" applyFill="1" applyBorder="1"/>
    <x:xf numFmtId="201" fontId="18" fillId="3" borderId="0" xfId="0" applyNumberFormat="1" applyFont="1" applyFill="1" applyBorder="1"/>
    <x:xf numFmtId="201" fontId="18" fillId="3" borderId="0" xfId="0" applyNumberFormat="1" applyFont="1" applyFill="1" applyBorder="1" applyAlignment="1">
      <x:alignment horizontal="right"/>
    </x:xf>
    <x:xf numFmtId="0" fontId="16" fillId="4" borderId="0" xfId="0" applyNumberFormat="1" applyFont="1" applyFill="1" applyBorder="1"/>
    <x:xf numFmtId="0" fontId="19" fillId="4" borderId="0" xfId="0" applyNumberFormat="1" applyFont="1" applyFill="1" applyBorder="1"/>
    <x:xf numFmtId="0" fontId="19" fillId="4" borderId="0" xfId="0" applyNumberFormat="1" applyFont="1" applyFill="1" applyBorder="1" applyAlignment="1">
      <x:alignment horizontal="left"/>
    </x:xf>
    <x:xf numFmtId="0" fontId="19" fillId="4" borderId="0" xfId="0" applyNumberFormat="1" applyFont="1" applyFill="1" applyBorder="1" applyAlignment="1">
      <x:alignment horizontal="left" vertical="center"/>
    </x:xf>
    <x:xf numFmtId="0" fontId="16" fillId="0" borderId="6" xfId="0" applyNumberFormat="1" applyFont="1" applyFill="1" applyBorder="1"/>
    <x:xf numFmtId="0" fontId="16" fillId="0" borderId="6" xfId="0" applyNumberFormat="1" applyFont="1" applyFill="1" applyBorder="1" applyAlignment="1">
      <x:alignment vertical="center"/>
    </x:xf>
    <x:xf numFmtId="0" fontId="20" fillId="0" borderId="6" xfId="0" applyNumberFormat="1" applyFont="1" applyFill="1" applyBorder="1" applyAlignment="1">
      <x:alignment vertical="center"/>
    </x:xf>
    <x:xf numFmtId="212" fontId="20" fillId="0" borderId="6" xfId="0" applyNumberFormat="1" applyFont="1" applyFill="1" applyBorder="1" applyAlignment="1">
      <x:alignment vertical="center"/>
    </x:xf>
    <x:xf numFmtId="212" fontId="20" fillId="0" borderId="6" xfId="0" applyNumberFormat="1" applyFont="1" applyFill="1" applyBorder="1" applyAlignment="1">
      <x:alignment horizontal="right" vertical="center"/>
    </x:xf>
    <x:xf numFmtId="0" fontId="21" fillId="0" borderId="6" xfId="0" applyNumberFormat="1" applyFont="1" applyFill="1" applyBorder="1" applyAlignment="1">
      <x:alignment vertical="center"/>
    </x:xf>
    <x:xf numFmtId="202" fontId="21" fillId="0" borderId="6" xfId="0" applyNumberFormat="1" applyFont="1" applyFill="1" applyBorder="1" applyAlignment="1">
      <x:alignment vertical="center"/>
    </x:xf>
    <x:xf numFmtId="202" fontId="21" fillId="0" borderId="6" xfId="0" applyNumberFormat="1" applyFont="1" applyFill="1" applyBorder="1" applyAlignment="1">
      <x:alignment horizontal="right" vertical="center"/>
    </x:xf>
    <x:xf numFmtId="0" fontId="14" fillId="0" borderId="6" xfId="0" applyNumberFormat="1" applyFont="1" applyFill="1" applyBorder="1" applyAlignment="1">
      <x:alignment vertical="center"/>
    </x:xf>
    <x:xf numFmtId="202" fontId="20" fillId="0" borderId="6" xfId="0" applyNumberFormat="1" applyFont="1" applyFill="1" applyBorder="1" applyAlignment="1">
      <x:alignment vertical="center"/>
    </x:xf>
    <x:xf numFmtId="202" fontId="20" fillId="0" borderId="6" xfId="0" applyNumberFormat="1" applyFont="1" applyFill="1" applyBorder="1" applyAlignment="1">
      <x:alignment horizontal="right" vertical="center"/>
    </x:xf>
    <x:xf numFmtId="0" fontId="16" fillId="6" borderId="0" xfId="0" applyNumberFormat="1" applyFont="1" applyFill="1" applyBorder="1"/>
    <x:xf numFmtId="0" fontId="21" fillId="6" borderId="0" xfId="0" applyNumberFormat="1" applyFont="1" applyFill="1" applyBorder="1"/>
    <x:xf numFmtId="0" fontId="21" fillId="6" borderId="0" xfId="0" applyNumberFormat="1" applyFont="1" applyFill="1" applyBorder="1" applyAlignment="1">
      <x:alignment horizontal="right"/>
    </x:xf>
    <x:xf numFmtId="212" fontId="21" fillId="6" borderId="0" xfId="0" applyNumberFormat="1" applyFont="1" applyFill="1" applyBorder="1" applyAlignment="1">
      <x:alignment horizontal="right"/>
    </x:xf>
    <x:xf numFmtId="202" fontId="21" fillId="6" borderId="0" xfId="0" applyNumberFormat="1" applyFont="1" applyFill="1" applyBorder="1" applyAlignment="1">
      <x:alignment horizontal="right"/>
    </x:xf>
    <x:xf numFmtId="0" fontId="21" fillId="6" borderId="0" xfId="0" applyNumberFormat="1" applyFont="1" applyFill="1" applyBorder="1" applyAlignment="1">
      <x:alignment horizontal="center"/>
    </x:xf>
    <x:xf numFmtId="205" fontId="21" fillId="0" borderId="6" xfId="0" applyNumberFormat="1" applyFont="1" applyFill="1" applyBorder="1" applyAlignment="1">
      <x:alignment vertical="center"/>
    </x:xf>
    <x:xf numFmtId="205" fontId="21" fillId="0" borderId="6" xfId="0" applyNumberFormat="1" applyFont="1" applyFill="1" applyBorder="1" applyAlignment="1">
      <x:alignment horizontal="right" vertical="center"/>
    </x:xf>
    <x:xf numFmtId="212" fontId="21" fillId="0" borderId="6" xfId="0" applyNumberFormat="1" applyFont="1" applyFill="1" applyBorder="1" applyAlignment="1">
      <x:alignment vertical="center"/>
    </x:xf>
    <x:xf numFmtId="212" fontId="21" fillId="0" borderId="6" xfId="0" applyNumberFormat="1" applyFont="1" applyFill="1" applyBorder="1" applyAlignment="1">
      <x:alignment horizontal="right" vertical="center"/>
    </x:xf>
    <x:xf numFmtId="205" fontId="21" fillId="6" borderId="0" xfId="0" applyNumberFormat="1" applyFont="1" applyFill="1" applyBorder="1" applyAlignment="1">
      <x:alignment horizontal="right"/>
    </x:xf>
    <x:xf numFmtId="201" fontId="20" fillId="0" borderId="6" xfId="0" applyNumberFormat="1" applyFont="1" applyFill="1" applyBorder="1" applyAlignment="1">
      <x:alignment vertical="center"/>
    </x:xf>
    <x:xf numFmtId="201" fontId="20" fillId="0" borderId="6" xfId="0" applyNumberFormat="1" applyFont="1" applyFill="1" applyBorder="1" applyAlignment="1">
      <x:alignment horizontal="right" vertical="center"/>
    </x:xf>
    <x:xf numFmtId="213" fontId="21" fillId="0" borderId="6" xfId="0" applyNumberFormat="1" applyFont="1" applyFill="1" applyBorder="1" applyAlignment="1">
      <x:alignment vertical="center"/>
    </x:xf>
    <x:xf numFmtId="213" fontId="21" fillId="0" borderId="6" xfId="0" applyNumberFormat="1" applyFont="1" applyFill="1" applyBorder="1" applyAlignment="1">
      <x:alignment horizontal="right" vertical="center"/>
    </x:xf>
    <x:xf numFmtId="213" fontId="20" fillId="0" borderId="6" xfId="0" applyNumberFormat="1" applyFont="1" applyFill="1" applyBorder="1" applyAlignment="1">
      <x:alignment vertical="center"/>
    </x:xf>
    <x:xf numFmtId="213" fontId="20" fillId="0" borderId="6" xfId="0" applyNumberFormat="1" applyFont="1" applyFill="1" applyBorder="1" applyAlignment="1">
      <x:alignment horizontal="right" vertical="center"/>
    </x:xf>
    <x:xf numFmtId="213" fontId="21" fillId="6" borderId="0" xfId="0" applyNumberFormat="1" applyFont="1" applyFill="1" applyBorder="1" applyAlignment="1">
      <x:alignment horizontal="right"/>
    </x:xf>
    <x:xf numFmtId="214" fontId="20" fillId="0" borderId="6" xfId="0" applyNumberFormat="1" applyFont="1" applyFill="1" applyBorder="1" applyAlignment="1">
      <x:alignment vertical="center"/>
    </x:xf>
    <x:xf numFmtId="214" fontId="20" fillId="0" borderId="6" xfId="0" applyNumberFormat="1" applyFont="1" applyFill="1" applyBorder="1" applyAlignment="1">
      <x:alignment horizontal="right" vertical="center"/>
    </x:xf>
    <x:xf numFmtId="0" fontId="16" fillId="8" borderId="0" xfId="0" applyNumberFormat="1" applyFont="1" applyFill="1" applyBorder="1"/>
    <x:xf numFmtId="0" fontId="12" fillId="8" borderId="0" xfId="0" applyNumberFormat="1" applyFont="1" applyFill="1" applyBorder="1"/>
    <x:xf numFmtId="0" fontId="12" fillId="8" borderId="0" xfId="0" applyNumberFormat="1" applyFont="1" applyFill="1" applyBorder="1" applyAlignment="1">
      <x:alignment wrapText="1"/>
    </x:xf>
    <x:xf numFmtId="0" fontId="12" fillId="8" borderId="0" xfId="0" applyNumberFormat="1" applyFont="1" applyFill="1" applyBorder="1" applyAlignment="1">
      <x:alignment vertical="center" wrapText="1"/>
    </x:xf>
    <x:xf numFmtId="202" fontId="21" fillId="6" borderId="0" xfId="0" applyNumberFormat="1" applyFont="1" applyFill="1" applyBorder="1"/>
    <x:xf numFmtId="205" fontId="20" fillId="0" borderId="6" xfId="0" applyNumberFormat="1" applyFont="1" applyFill="1" applyBorder="1" applyAlignment="1">
      <x:alignment vertical="center"/>
    </x:xf>
    <x:xf numFmtId="205" fontId="20" fillId="0" borderId="6" xfId="0" applyNumberFormat="1" applyFont="1" applyFill="1" applyBorder="1" applyAlignment="1">
      <x:alignment horizontal="right" vertical="center"/>
    </x:xf>
    <x:xf numFmtId="215" fontId="20" fillId="0" borderId="6" xfId="0" applyNumberFormat="1" applyFont="1" applyFill="1" applyBorder="1" applyAlignment="1">
      <x:alignment vertical="center"/>
    </x:xf>
    <x:xf numFmtId="215" fontId="20" fillId="0" borderId="6" xfId="0" applyNumberFormat="1" applyFont="1" applyFill="1" applyBorder="1" applyAlignment="1">
      <x:alignment horizontal="right" vertical="center"/>
    </x:xf>
    <x:xf numFmtId="214" fontId="21" fillId="6" borderId="0" xfId="0" applyNumberFormat="1" applyFont="1" applyFill="1" applyBorder="1" applyAlignment="1">
      <x:alignment horizontal="right"/>
    </x:xf>
    <x:xf numFmtId="201" fontId="21" fillId="6" borderId="0" xfId="0" applyNumberFormat="1" applyFont="1" applyFill="1" applyBorder="1" applyAlignment="1">
      <x:alignment horizontal="right"/>
    </x:xf>
    <x:xf numFmtId="0" fontId="17" fillId="2" borderId="0" xfId="0" applyNumberFormat="1" applyFont="1" applyFill="1" applyBorder="1" applyAlignment="1">
      <x:alignment horizontal="center"/>
    </x:xf>
    <x:xf numFmtId="214" fontId="21" fillId="6" borderId="0" xfId="0" applyNumberFormat="1" applyFont="1" applyFill="1" applyBorder="1"/>
    <x:xf numFmtId="0" fontId="12" fillId="3" borderId="0" xfId="0" applyNumberFormat="1" applyFont="1" applyFill="1" applyBorder="1" applyAlignment="1">
      <x:alignment vertical="center" wrapText="1"/>
    </x:xf>
    <x:xf numFmtId="202" fontId="16" fillId="0" borderId="0" xfId="0" applyNumberFormat="1" applyFont="1" applyFill="1" applyBorder="1"/>
    <x:xf numFmtId="202" fontId="0" fillId="0" borderId="0" xfId="0" applyNumberFormat="1" applyFont="1" applyFill="1" applyBorder="1"/>
    <x:xf numFmtId="0" fontId="22" fillId="3" borderId="0" xfId="0" applyNumberFormat="1" applyFont="1" applyFill="1" applyBorder="1"/>
    <x:xf numFmtId="0" fontId="22" fillId="3" borderId="0" xfId="0" applyNumberFormat="1" applyFont="1" applyFill="1" applyBorder="1" applyAlignment="1">
      <x:alignment horizontal="center"/>
    </x:xf>
    <x:xf numFmtId="0" fontId="7" fillId="6" borderId="0" xfId="0" applyNumberFormat="1" applyFont="1" applyFill="1" applyBorder="1" applyAlignment="1">
      <x:alignment horizontal="right"/>
    </x:xf>
    <x:xf numFmtId="208" fontId="7" fillId="6" borderId="0" xfId="0" applyNumberFormat="1" applyFont="1" applyFill="1" applyBorder="1" applyAlignment="1">
      <x:alignment horizontal="right"/>
    </x:xf>
    <x:xf numFmtId="201" fontId="7" fillId="6" borderId="0" xfId="0" applyNumberFormat="1" applyFont="1" applyFill="1" applyBorder="1" applyAlignment="1">
      <x:alignment horizontal="right"/>
    </x:xf>
    <x:xf numFmtId="202" fontId="7" fillId="6" borderId="0" xfId="0" applyNumberFormat="1" applyFont="1" applyFill="1" applyBorder="1" applyAlignment="1">
      <x:alignment horizontal="right"/>
    </x:xf>
    <x:xf numFmtId="205" fontId="7" fillId="6" borderId="0" xfId="0" applyNumberFormat="1" applyFont="1" applyFill="1" applyBorder="1" applyAlignment="1">
      <x:alignment horizontal="right"/>
    </x:xf>
    <x:xf numFmtId="210" fontId="7" fillId="6" borderId="0" xfId="0" applyNumberFormat="1" applyFont="1" applyFill="1" applyBorder="1" applyAlignment="1">
      <x:alignment horizontal="right"/>
    </x:xf>
    <x:xf numFmtId="214" fontId="7" fillId="6" borderId="0" xfId="0" applyNumberFormat="1" applyFont="1" applyFill="1" applyBorder="1" applyAlignment="1">
      <x:alignment horizontal="right"/>
    </x:xf>
    <x:xf numFmtId="213" fontId="7" fillId="6" borderId="0" xfId="0" applyNumberFormat="1" applyFont="1" applyFill="1" applyBorder="1" applyAlignment="1">
      <x:alignment horizontal="right"/>
    </x:xf>
    <x:xf numFmtId="212" fontId="7" fillId="6" borderId="0" xfId="0" applyNumberFormat="1" applyFont="1" applyFill="1" applyBorder="1" applyAlignment="1">
      <x:alignment horizontal="center"/>
    </x:xf>
    <x:xf numFmtId="202" fontId="7" fillId="6" borderId="0" xfId="0" applyNumberFormat="1" applyFont="1" applyFill="1" applyBorder="1" applyAlignment="1">
      <x:alignment horizontal="center"/>
    </x:xf>
    <x:xf numFmtId="213" fontId="7" fillId="6" borderId="0" xfId="0" applyNumberFormat="1" applyFont="1" applyFill="1" applyBorder="1" applyAlignment="1">
      <x:alignment horizontal="center"/>
    </x:xf>
    <x:xf numFmtId="0" fontId="1" fillId="9" borderId="0" xfId="0" applyNumberFormat="1" applyFont="1" applyFill="1" applyBorder="1"/>
    <x:xf numFmtId="0" fontId="23" fillId="9" borderId="0" xfId="0" applyNumberFormat="1" applyFont="1" applyFill="1" applyBorder="1"/>
    <x:xf numFmtId="0" fontId="23" fillId="9" borderId="0" xfId="0" applyNumberFormat="1" applyFont="1" applyFill="1" applyBorder="1" applyAlignment="1">
      <x:alignment horizontal="center"/>
    </x:xf>
    <x:xf numFmtId="0" fontId="23" fillId="9" borderId="0" xfId="0" applyNumberFormat="1" applyFont="1" applyFill="1" applyBorder="1" applyAlignment="1">
      <x:alignment horizontal="center" vertical="center"/>
    </x:xf>
    <x:xf numFmtId="0" fontId="3" fillId="3" borderId="0" xfId="0" applyNumberFormat="1" applyFont="1" applyFill="1" applyBorder="1" applyAlignment="1">
      <x:alignment vertical="center" wrapText="1"/>
    </x:xf>
    <x:xf numFmtId="0" fontId="16" fillId="0" borderId="0" xfId="0" applyNumberFormat="1" applyFont="1" applyFill="1" applyBorder="1" applyAlignment="1">
      <x:alignment horizontal="right" vertical="center"/>
    </x:xf>
    <x:xf numFmtId="0" fontId="16" fillId="0" borderId="0" xfId="0" applyNumberFormat="1" applyFont="1" applyFill="1" applyBorder="1" applyAlignment="1">
      <x:alignment vertical="center"/>
    </x:xf>
    <x:xf numFmtId="201" fontId="18" fillId="3" borderId="0" xfId="0" applyNumberFormat="1" applyFont="1" applyFill="1" applyBorder="1" applyAlignment="1">
      <x:alignment horizontal="right" vertical="center"/>
    </x:xf>
    <x:xf numFmtId="212" fontId="21" fillId="6" borderId="0" xfId="0" applyNumberFormat="1" applyFont="1" applyFill="1" applyBorder="1" applyAlignment="1">
      <x:alignment horizontal="right" vertical="center"/>
    </x:xf>
    <x:xf numFmtId="202" fontId="21" fillId="6" borderId="0" xfId="0" applyNumberFormat="1" applyFont="1" applyFill="1" applyBorder="1" applyAlignment="1">
      <x:alignment horizontal="right" vertical="center"/>
    </x:xf>
    <x:xf numFmtId="0" fontId="21" fillId="6" borderId="0" xfId="0" applyNumberFormat="1" applyFont="1" applyFill="1" applyBorder="1" applyAlignment="1">
      <x:alignment horizontal="center" vertical="center"/>
    </x:xf>
    <x:xf numFmtId="0" fontId="14" fillId="2" borderId="0" xfId="0" applyNumberFormat="1" applyFont="1" applyFill="1" applyBorder="1" applyAlignment="1">
      <x:alignment horizontal="center" vertical="center" wrapText="1"/>
    </x:xf>
    <x:xf numFmtId="0" fontId="16" fillId="0" borderId="0" xfId="0" applyNumberFormat="1" applyFont="1" applyFill="1" applyBorder="1" applyAlignment="1">
      <x:alignment horizontal="right" vertical="center" wrapText="1"/>
    </x:xf>
    <x:xf numFmtId="0" fontId="16" fillId="0" borderId="0" xfId="0" applyNumberFormat="1" applyFont="1" applyFill="1" applyBorder="1" applyAlignment="1">
      <x:alignment vertical="center" wrapText="1"/>
    </x:xf>
    <x:xf numFmtId="0" fontId="17" fillId="2" borderId="5" xfId="0" applyNumberFormat="1" applyFont="1" applyFill="1" applyBorder="1" applyAlignment="1">
      <x:alignment horizontal="left" vertical="center" wrapText="1"/>
    </x:xf>
    <x:xf numFmtId="0" fontId="19" fillId="4" borderId="0" xfId="0" applyNumberFormat="1" applyFont="1" applyFill="1" applyBorder="1" applyAlignment="1">
      <x:alignment horizontal="left" vertical="center" wrapText="1"/>
    </x:xf>
    <x:xf numFmtId="0" fontId="16" fillId="0" borderId="6" xfId="0" applyNumberFormat="1" applyFont="1" applyFill="1" applyBorder="1" applyAlignment="1">
      <x:alignment vertical="center" wrapText="1"/>
    </x:xf>
    <x:xf numFmtId="0" fontId="14" fillId="0" borderId="6" xfId="0" applyNumberFormat="1" applyFont="1" applyFill="1" applyBorder="1" applyAlignment="1">
      <x:alignment vertical="center" wrapText="1"/>
    </x:xf>
    <x:xf numFmtId="205" fontId="21" fillId="6" borderId="0" xfId="0" applyNumberFormat="1" applyFont="1" applyFill="1" applyBorder="1" applyAlignment="1">
      <x:alignment horizontal="right" vertical="center"/>
    </x:xf>
    <x:xf numFmtId="213" fontId="21" fillId="6" borderId="0" xfId="0" applyNumberFormat="1" applyFont="1" applyFill="1" applyBorder="1" applyAlignment="1">
      <x:alignment horizontal="right" vertical="center"/>
    </x:xf>
    <x:xf numFmtId="214" fontId="21" fillId="6" borderId="0" xfId="0" applyNumberFormat="1" applyFont="1" applyFill="1" applyBorder="1" applyAlignment="1">
      <x:alignment horizontal="right" vertical="center"/>
    </x:xf>
    <x:xf numFmtId="201" fontId="21" fillId="6" borderId="0" xfId="0" applyNumberFormat="1" applyFont="1" applyFill="1" applyBorder="1" applyAlignment="1">
      <x:alignment horizontal="right" vertical="center"/>
    </x:xf>
  </x:cellXfs>
  <x:cellStyles count="1">
    <x:cellStyle name="Normal" xfId="0"/>
  </x:cellStyles>
  <x:dxfs count="9">
    <x:dxf>
      <x:font>
        <x:b/>
        <x:color rgb="FF0000FF"/>
      </x:font>
      <x:fill>
        <x:patternFill patternType="solid">
          <x:bgColor rgb="FFEDF6E9"/>
        </x:patternFill>
      </x:fill>
    </x:dxf>
    <x:dxf>
      <x:font>
        <x:b/>
        <x:color rgb="FF0000FF"/>
      </x:font>
      <x:fill>
        <x:patternFill patternType="solid">
          <x:bgColor rgb="FFFCEFE8"/>
        </x:patternFill>
      </x:fill>
    </x:dxf>
    <x:dxf>
      <x:font>
        <x:b/>
        <x:color rgb="FF0000FF"/>
      </x:font>
      <x:fill>
        <x:patternFill patternType="solid">
          <x:bgColor rgb="FFEDF6E9"/>
        </x:patternFill>
      </x:fill>
    </x:dxf>
    <x:dxf>
      <x:font>
        <x:b/>
        <x:color rgb="FF0000FF"/>
      </x:font>
      <x:fill>
        <x:patternFill patternType="solid">
          <x:bgColor rgb="FFFCEFE8"/>
        </x:patternFill>
      </x:fill>
    </x:dxf>
    <x:dxf>
      <x:font>
        <x:b/>
        <x:color rgb="FF0000FF"/>
      </x:font>
      <x:fill>
        <x:patternFill patternType="solid">
          <x:bgColor rgb="FFEDF6E9"/>
        </x:patternFill>
      </x:fill>
    </x:dxf>
    <x:dxf>
      <x:font>
        <x:b/>
        <x:color rgb="FF0000FF"/>
      </x:font>
      <x:fill>
        <x:patternFill patternType="solid">
          <x:bgColor rgb="FFFCEFE8"/>
        </x:patternFill>
      </x:fill>
    </x:dxf>
    <x:dxf>
      <x:font>
        <x:b/>
        <x:color rgb="FF0000FF"/>
      </x:font>
      <x:fill>
        <x:patternFill patternType="solid">
          <x:bgColor rgb="FFEDF6E9"/>
        </x:patternFill>
      </x:fill>
    </x:dxf>
    <x:dxf>
      <x:font>
        <x:b/>
        <x:color rgb="FF0000FF"/>
      </x:font>
      <x:fill>
        <x:patternFill patternType="solid">
          <x:bgColor rgb="FFFCEFE8"/>
        </x:patternFill>
      </x:fill>
    </x:dxf>
    <x:dxf>
      <x:font>
        <x:b/>
        <x:color rgb="FF0000FF"/>
      </x:font>
      <x:fill>
        <x:patternFill patternType="solid">
          <x:bgColor rgb="FFFCEFE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0b0b3e8b3a742de" /><Relationship Type="http://schemas.openxmlformats.org/officeDocument/2006/relationships/theme" Target="/xl/theme/theme1.xml" Id="Rb747e377962f4572" /><Relationship Type="http://schemas.openxmlformats.org/officeDocument/2006/relationships/sharedStrings" Target="/xl/sharedStrings.xml" Id="R0cd6c382e4f542a8" /><Relationship Type="http://schemas.openxmlformats.org/officeDocument/2006/relationships/worksheet" Target="/xl/worksheets/sheet1.xml" Id="R7271295a915e49d0" /><Relationship Type="http://schemas.openxmlformats.org/officeDocument/2006/relationships/worksheet" Target="/xl/worksheets/sheet2.xml" Id="R8095c89160d54f1d" /><Relationship Type="http://schemas.openxmlformats.org/officeDocument/2006/relationships/worksheet" Target="/xl/worksheets/sheet3.xml" Id="R642e7173973a411b" /><Relationship Type="http://schemas.openxmlformats.org/officeDocument/2006/relationships/worksheet" Target="/xl/worksheets/sheet4.xml" Id="Rc4172869388249ef" /><Relationship Type="http://schemas.openxmlformats.org/officeDocument/2006/relationships/worksheet" Target="/xl/worksheets/sheet5.xml" Id="R066797bb175d4a61" /><Relationship Type="http://schemas.openxmlformats.org/officeDocument/2006/relationships/worksheet" Target="/xl/worksheets/sheet6.xml" Id="R0d4ea2a3842b464e" /><Relationship Type="http://schemas.openxmlformats.org/officeDocument/2006/relationships/worksheet" Target="/xl/worksheets/sheet7.xml" Id="R99b0d551c4a249bc" /><Relationship Type="http://schemas.openxmlformats.org/officeDocument/2006/relationships/worksheet" Target="/xl/worksheets/sheet8.xml" Id="Ra0762a9c63944e9f" /><Relationship Type="http://schemas.openxmlformats.org/officeDocument/2006/relationships/worksheet" Target="/xl/worksheets/sheet9.xml" Id="Rce55335ccd164bcf" /><Relationship Type="http://schemas.openxmlformats.org/officeDocument/2006/relationships/worksheet" Target="/xl/worksheets/sheet10.xml" Id="R56adc6b70baa4f51" /><Relationship Type="http://schemas.microsoft.com/office/2017/10/relationships/person" Target="/xl/persons/person.xml" Id="R1c6c8ea2b20b415b" /></Relationships>
</file>

<file path=xl/persons/person.xml><?xml version="1.0" encoding="utf-8"?>
<xltc:personList xmlns:xltc="http://schemas.microsoft.com/office/spreadsheetml/2018/threadedcomments">
  <xltc:person displayName="Hoang" id="{A7C94DE6-BFEF-4531-80F3-2D14DAFDEC46}"/>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D22" dT="2026-07-27T09:21:44.555" personId="{A7C94DE6-BFEF-4531-80F3-2D14DAFDEC46}" id="{6A2E3B1B-9407-B749-7A6F-5B7C53F5F3C9}">
    <xltc:text>Nguồn: thông tin do người dùng cung cấp — suất vốn đầu tư 31 tỷ VND/MW.</xltc:text>
  </xltc:threadedComment>
  <xltc:threadedComment ref="D41" dT="2026-07-27T09:21:44.555" personId="{A7C94DE6-BFEF-4531-80F3-2D14DAFDEC46}" id="{FDA12B2D-7334-BD06-EE56-079B86C335DF}">
    <xltc:text>Giả định typical 30% dùng cho mô hình sơ bộ. Đây không phải kết quả nghiên cứu năng lượng; cần thay bằng AEP P50/P90 từ WindPRO hoặc báo cáo đánh giá năng lượng.</xltc:text>
  </xltc:threadedComment>
  <xltc:threadedComment ref="D44" dT="2026-07-27T09:21:44.555" personId="{A7C94DE6-BFEF-4531-80F3-2D14DAFDEC46}" id="{B278CF10-436C-DECA-7701-3C37B52FA94C}">
    <xltc:text>Nguồn: Quyết định 1508/QĐ-BCT ngày 30/05/2025 của Bộ Công Thương. Giá tối đa điện gió trên đất liền khu vực miền Trung: 1.807,4 VND/kWh, chưa VAT. https://moit.gov.vn/van-ban-phap-luat/quyet-dinh-phe-duyet-khung-gia-phat-dien-loai-hinh-nha-may-dien-gio-nam-2025.html</xltc:text>
  </xltc:threadedComment>
  <xltc:threadedComment ref="D50" dT="2026-07-27T09:21:44.555" personId="{A7C94DE6-BFEF-4531-80F3-2D14DAFDEC46}" id="{79DE71C1-AC21-2323-5D41-24758D7A6A98}">
    <xltc:text>Giả định typical: O&amp;M năm đầu bằng 2% CAPEX chưa VAT = 111,6 tỷ VND/năm. Cần thay bằng báo giá O&amp;M và ngân sách vận hành thực tế.</xltc:text>
  </xltc:threadedComment>
  <xltc:threadedComment ref="D68" dT="2026-07-27T09:21:44.555" personId="{A7C94DE6-BFEF-4531-80F3-2D14DAFDEC46}" id="{2201F049-C49D-F388-2DB2-A6B4639059FA}">
    <xltc:text>Giả định dự án đầu tư mới trong lĩnh vực sản xuất năng lượng tái tạo đủ điều kiện ưu đãi: thuế suất 10% trong 15 năm, miễn 4 năm và giảm 50% trong 9 năm tiếp theo. Phải xác minh điều kiện áp dụng theo Luật Thuế TNDN 2025 và Nghị định 320/2025/NĐ-CP. https://vanban.chinhphu.vn/?classid=0&amp;docid=217301&amp;pageid=27160</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14a2ef5d980744fe" /><Relationship Type="http://schemas.openxmlformats.org/officeDocument/2006/relationships/vmlDrawing" Target="/xl/drawings/vmldrawing.vml" Id="R580fe444a0624e66" /><Relationship Type="http://schemas.microsoft.com/office/2017/10/relationships/threadedComment" Target="/xl/threadedcomments/threadedcomment.xml" Id="R06c1a4b6b18c4e47"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34" hidden="0" customWidth="1"/>
    <x:col min="3" max="3" width="19" hidden="0" customWidth="1"/>
    <x:col min="4" max="4" width="18" hidden="0" customWidth="1"/>
    <x:col min="5" max="5" width="15" hidden="0" customWidth="1"/>
    <x:col min="6" max="6" width="13" hidden="0" customWidth="1"/>
    <x:col min="7" max="7" width="49" hidden="0" customWidth="1"/>
    <x:col min="8" max="8" width="3" hidden="0" customWidth="1"/>
    <x:col min="9" max="9" width="30" hidden="0" customWidth="1"/>
    <x:col min="10" max="10" width="18" hidden="0" customWidth="1"/>
    <x:col min="11" max="11" width="13" hidden="0" customWidth="1"/>
  </x:cols>
  <x:sheetData>
    <x:row r="1" ht="30" customHeight="1">
      <x:c r="A1" s="5" t="str">
        <x:v>DỮ LIỆU ĐẦU VÀO – PHÂN TÍCH KINH TẾ TÀI CHÍNH DỰ ÁN NĂNG LƯỢNG TÁI TẠO</x:v>
      </x:c>
      <x:c r="B1" s="5"/>
      <x:c r="C1" s="5"/>
      <x:c r="D1" s="5"/>
      <x:c r="E1" s="5"/>
      <x:c r="F1" s="5"/>
      <x:c r="G1" s="5"/>
      <x:c r="H1" s="103"/>
      <x:c r="I1" s="103"/>
      <x:c r="J1" s="103"/>
      <x:c r="K1" s="103"/>
    </x:row>
    <x:row r="2" ht="26" customHeight="1">
      <x:c r="A2" s="10" t="str">
        <x:v>Áp dụng chung cho dự án điện gió và điện mặt trời; chỉ sử dụng các giả định phục vụ tính toán kinh tế – tài chính.</x:v>
      </x:c>
      <x:c r="B2" s="10"/>
      <x:c r="C2" s="10"/>
      <x:c r="D2" s="10"/>
      <x:c r="E2" s="10"/>
      <x:c r="F2" s="10"/>
      <x:c r="G2" s="10"/>
      <x:c r="H2" s="103"/>
      <x:c r="I2" s="103"/>
      <x:c r="J2" s="103"/>
      <x:c r="K2" s="103"/>
    </x:row>
    <x:row r="3">
      <x:c r="A3" s="104" t="str">
        <x:v>Phiên bản: Ver1.3  |  Cập nhật: 27/07/2026  |  Đơn vị tiền tệ mặc định: tỷ VND</x:v>
      </x:c>
      <x:c r="B3" s="104"/>
      <x:c r="C3" s="104"/>
      <x:c r="D3" s="104"/>
      <x:c r="E3" s="104"/>
      <x:c r="F3" s="104"/>
      <x:c r="G3" s="104"/>
      <x:c r="H3" s="103"/>
      <x:c r="I3" s="103"/>
      <x:c r="J3" s="103"/>
      <x:c r="K3" s="103"/>
    </x:row>
    <x:row r="4">
      <x:c r="A4" s="103"/>
      <x:c r="B4" s="103"/>
      <x:c r="C4" s="103"/>
      <x:c r="D4" s="103"/>
      <x:c r="E4" s="103"/>
      <x:c r="F4" s="103"/>
      <x:c r="G4" s="103"/>
      <x:c r="H4" s="103"/>
      <x:c r="I4" s="103"/>
      <x:c r="J4" s="103"/>
      <x:c r="K4" s="103"/>
    </x:row>
    <x:row r="5">
      <x:c r="A5" s="105" t="str">
        <x:v>QUY ƯỚC MÀU</x:v>
      </x:c>
      <x:c r="B5" s="105"/>
      <x:c r="C5" s="103"/>
      <x:c r="D5" s="103"/>
      <x:c r="E5" s="103"/>
      <x:c r="F5" s="103"/>
      <x:c r="G5" s="103"/>
      <x:c r="H5" s="103"/>
      <x:c r="I5" s="106" t="str">
        <x:v>KẾT QUẢ TÍNH NHANH</x:v>
      </x:c>
      <x:c r="J5" s="106"/>
      <x:c r="K5" s="106"/>
    </x:row>
    <x:row r="6">
      <x:c r="A6" s="103" t="str">
        <x:v>Số liệu phải nhập</x:v>
      </x:c>
      <x:c r="B6" s="107" t="str">
        <x:v>123</x:v>
      </x:c>
      <x:c r="C6" s="103"/>
      <x:c r="D6" s="23" t="str">
        <x:v>Chữ đậm: thông số hoặc kết quả quan trọng</x:v>
      </x:c>
      <x:c r="E6" s="23"/>
      <x:c r="F6" s="23"/>
      <x:c r="G6" s="23"/>
      <x:c r="H6" s="103"/>
      <x:c r="I6" s="71" t="str">
        <x:v>Chỉ tiêu</x:v>
      </x:c>
      <x:c r="J6" s="72" t="str">
        <x:v>Giá trị</x:v>
      </x:c>
      <x:c r="K6" s="73" t="str">
        <x:v>Đơn vị</x:v>
      </x:c>
    </x:row>
    <x:row r="7">
      <x:c r="A7" s="103" t="str">
        <x:v>Kết quả tính toán</x:v>
      </x:c>
      <x:c r="B7" s="108" t="n">
        <x:f>1+1</x:f>
        <x:v>2</x:v>
      </x:c>
      <x:c r="C7" s="103"/>
      <x:c r="D7" s="25" t="str">
        <x:v>Ô để trống hoặc ghi 0 nếu nội dung tùy chọn không áp dụng.</x:v>
      </x:c>
      <x:c r="E7" s="25"/>
      <x:c r="F7" s="25"/>
      <x:c r="G7" s="25"/>
      <x:c r="H7" s="103"/>
      <x:c r="I7" s="85" t="str">
        <x:v>Công suất lắp đặt</x:v>
      </x:c>
      <x:c r="J7" s="89" t="n">
        <x:f>IF(D12="","",D12)</x:f>
        <x:v>180</x:v>
      </x:c>
      <x:c r="K7" s="85" t="str">
        <x:v>MW</x:v>
      </x:c>
    </x:row>
    <x:row r="8">
      <x:c r="A8" s="103"/>
      <x:c r="B8" s="103"/>
      <x:c r="C8" s="103"/>
      <x:c r="D8" s="103"/>
      <x:c r="E8" s="103"/>
      <x:c r="F8" s="103"/>
      <x:c r="G8" s="103"/>
      <x:c r="H8" s="103"/>
      <x:c r="I8" s="85" t="str">
        <x:v>Năm COD</x:v>
      </x:c>
      <x:c r="J8" s="91" t="n">
        <x:f>IF(D16="","",D16)</x:f>
        <x:v>2027</x:v>
      </x:c>
      <x:c r="K8" s="85" t="str">
        <x:v>Năm</x:v>
      </x:c>
    </x:row>
    <x:row r="9" ht="28" customHeight="1">
      <x:c r="A9" s="36" t="str">
        <x:v>Mã</x:v>
      </x:c>
      <x:c r="B9" s="37" t="str">
        <x:v>Thông số</x:v>
      </x:c>
      <x:c r="C9" s="37" t="str">
        <x:v>Ký hiệu</x:v>
      </x:c>
      <x:c r="D9" s="37" t="str">
        <x:v>Giá trị</x:v>
      </x:c>
      <x:c r="E9" s="37" t="str">
        <x:v>Đơn vị</x:v>
      </x:c>
      <x:c r="F9" s="37" t="str">
        <x:v>Trạng thái</x:v>
      </x:c>
      <x:c r="G9" s="38" t="str">
        <x:v>Ghi chú</x:v>
      </x:c>
      <x:c r="H9" s="103"/>
      <x:c r="I9" s="85" t="str">
        <x:v>Năm kết thúc vận hành</x:v>
      </x:c>
      <x:c r="J9" s="91" t="n">
        <x:f>IF(D18="","",D18)</x:f>
        <x:v>2046</x:v>
      </x:c>
      <x:c r="K9" s="85" t="str">
        <x:v>Năm</x:v>
      </x:c>
    </x:row>
    <x:row r="10" ht="22" hidden="0" customHeight="1">
      <x:c r="A10" s="105" t="str">
        <x:v>1. THÔNG TIN CHUNG VÀ TIẾN ĐỘ DỰ ÁN</x:v>
      </x:c>
      <x:c r="B10" s="40"/>
      <x:c r="C10" s="105"/>
      <x:c r="D10" s="40"/>
      <x:c r="E10" s="105"/>
      <x:c r="F10" s="105"/>
      <x:c r="G10" s="111"/>
      <x:c r="H10" s="103"/>
      <x:c r="I10" s="103"/>
      <x:c r="J10" s="103"/>
      <x:c r="K10" s="103"/>
    </x:row>
    <x:row r="11" ht="24" hidden="0" customHeight="1">
      <x:c r="A11" s="109" t="str">
        <x:v>GEN-01</x:v>
      </x:c>
      <x:c r="B11" s="47" t="str">
        <x:v>Tên dự án</x:v>
      </x:c>
      <x:c r="C11" s="109" t="str">
        <x:v>Project</x:v>
      </x:c>
      <x:c r="D11" s="46" t="str">
        <x:v>Dự án Nhà máy điện gió Vân Canh 2</x:v>
      </x:c>
      <x:c r="E11" s="109" t="str">
        <x:v>-</x:v>
      </x:c>
      <x:c r="F11" s="109" t="str">
        <x:v>Bắt buộc</x:v>
      </x:c>
      <x:c r="G11" s="43" t="str">
        <x:v>Theo thông tin do người dùng cung cấp.</x:v>
      </x:c>
      <x:c r="H11" s="103"/>
      <x:c r="I11" s="85" t="str">
        <x:v>Vốn đầu tư bao gồm VAT</x:v>
      </x:c>
      <x:c r="J11" s="93" t="n">
        <x:f>IF(D25="","",D25)</x:f>
        <x:v>6138.000000000001</x:v>
      </x:c>
      <x:c r="K11" s="85" t="str">
        <x:v>Tỷ VND</x:v>
      </x:c>
    </x:row>
    <x:row r="12" ht="15" hidden="0" customHeight="1">
      <x:c r="A12" s="109" t="str">
        <x:v>GEN-02</x:v>
      </x:c>
      <x:c r="B12" s="47" t="str">
        <x:v>Công suất lắp đặt</x:v>
      </x:c>
      <x:c r="C12" s="109" t="str">
        <x:v>Capacity</x:v>
      </x:c>
      <x:c r="D12" s="49" t="n">
        <x:v>180</x:v>
      </x:c>
      <x:c r="E12" s="109" t="str">
        <x:v>MW</x:v>
      </x:c>
      <x:c r="F12" s="109" t="str">
        <x:v>Bắt buộc</x:v>
      </x:c>
      <x:c r="G12" s="43" t="str">
        <x:v>Dùng tính vốn đầu tư và sản lượng điện.</x:v>
      </x:c>
      <x:c r="H12" s="103"/>
      <x:c r="I12" s="85" t="str">
        <x:v>Suất vốn đầu tư</x:v>
      </x:c>
      <x:c r="J12" s="93" t="n">
        <x:f>IF(D22="","",D22)</x:f>
        <x:v>31</x:v>
      </x:c>
      <x:c r="K12" s="85" t="str">
        <x:v>Tỷ VND/MW</x:v>
      </x:c>
    </x:row>
    <x:row r="13" ht="15" hidden="0" customHeight="1">
      <x:c r="A13" s="109" t="str">
        <x:v>GEN-03</x:v>
      </x:c>
      <x:c r="B13" s="43" t="str">
        <x:v>Năm cơ sở của giá</x:v>
      </x:c>
      <x:c r="C13" s="109" t="str">
        <x:v>Base year</x:v>
      </x:c>
      <x:c r="D13" s="52" t="n">
        <x:v>2025</x:v>
      </x:c>
      <x:c r="E13" s="109" t="str">
        <x:v>Năm</x:v>
      </x:c>
      <x:c r="F13" s="109" t="str">
        <x:v>Bắt buộc</x:v>
      </x:c>
      <x:c r="G13" s="43" t="str">
        <x:v>Giá điện và các giả định đầu vào được quy về mặt bằng năm 2025.</x:v>
      </x:c>
      <x:c r="H13" s="103"/>
      <x:c r="I13" s="85" t="str">
        <x:v>Giá trị khoản vay</x:v>
      </x:c>
      <x:c r="J13" s="93" t="n">
        <x:f>IF(D63="","",D63)</x:f>
        <x:v>3905.9999999999995</x:v>
      </x:c>
      <x:c r="K13" s="85" t="str">
        <x:v>Tỷ VND</x:v>
      </x:c>
    </x:row>
    <x:row r="14" ht="15" hidden="0" customHeight="1">
      <x:c r="A14" s="109" t="str">
        <x:v>GEN-04</x:v>
      </x:c>
      <x:c r="B14" s="47" t="str">
        <x:v>Năm bắt đầu đầu tư</x:v>
      </x:c>
      <x:c r="C14" s="109" t="str">
        <x:v>Start year</x:v>
      </x:c>
      <x:c r="D14" s="53" t="n">
        <x:v>2025</x:v>
      </x:c>
      <x:c r="E14" s="109" t="str">
        <x:v>Năm</x:v>
      </x:c>
      <x:c r="F14" s="109" t="str">
        <x:v>Bắt buộc</x:v>
      </x:c>
      <x:c r="G14" s="43" t="str">
        <x:v>Giả định cơ sở để thiết lập tiến độ dự án.</x:v>
      </x:c>
      <x:c r="H14" s="103"/>
      <x:c r="I14" s="85" t="str">
        <x:v>Vốn chủ sở hữu ban đầu</x:v>
      </x:c>
      <x:c r="J14" s="93" t="n">
        <x:f>IF(D64="","",D64)</x:f>
        <x:v>1674.0000000000005</x:v>
      </x:c>
      <x:c r="K14" s="85" t="str">
        <x:v>Tỷ VND</x:v>
      </x:c>
    </x:row>
    <x:row r="15" ht="15" hidden="0" customHeight="1">
      <x:c r="A15" s="109" t="str">
        <x:v>GEN-05</x:v>
      </x:c>
      <x:c r="B15" s="47" t="str">
        <x:v>Thời gian xây dựng</x:v>
      </x:c>
      <x:c r="C15" s="109" t="str">
        <x:v>Construction</x:v>
      </x:c>
      <x:c r="D15" s="53" t="n">
        <x:v>2</x:v>
      </x:c>
      <x:c r="E15" s="109" t="str">
        <x:v>Năm</x:v>
      </x:c>
      <x:c r="F15" s="109" t="str">
        <x:v>Bắt buộc</x:v>
      </x:c>
      <x:c r="G15" s="43" t="str">
        <x:v>Giả định typical; tối đa 5 năm trong Ver1.</x:v>
      </x:c>
      <x:c r="H15" s="103"/>
      <x:c r="I15" s="103"/>
      <x:c r="J15" s="103"/>
      <x:c r="K15" s="103"/>
    </x:row>
    <x:row r="16" ht="15" hidden="0" customHeight="1">
      <x:c r="A16" s="109" t="str">
        <x:v>GEN-06</x:v>
      </x:c>
      <x:c r="B16" s="47" t="str">
        <x:v>Năm vận hành thương mại</x:v>
      </x:c>
      <x:c r="C16" s="109" t="str">
        <x:v>COD year</x:v>
      </x:c>
      <x:c r="D16" s="57" t="n">
        <x:f>IF(OR(D14="",D15=""),"",D14+D15)</x:f>
        <x:v>2027</x:v>
      </x:c>
      <x:c r="E16" s="109" t="str">
        <x:v>Năm</x:v>
      </x:c>
      <x:c r="F16" s="109" t="str">
        <x:v>Tự tính</x:v>
      </x:c>
      <x:c r="G16" s="43" t="str">
        <x:v>Năm bắt đầu ghi nhận sản lượng và doanh thu.</x:v>
      </x:c>
      <x:c r="H16" s="103"/>
      <x:c r="I16" s="85" t="str">
        <x:v>Sản lượng điện năm đầu</x:v>
      </x:c>
      <x:c r="J16" s="95" t="n">
        <x:f>IF(D42="","",D42)</x:f>
        <x:v>473040</x:v>
      </x:c>
      <x:c r="K16" s="85" t="str">
        <x:v>MWh</x:v>
      </x:c>
    </x:row>
    <x:row r="17" ht="15" hidden="0" customHeight="1">
      <x:c r="A17" s="109" t="str">
        <x:v>GEN-07</x:v>
      </x:c>
      <x:c r="B17" s="47" t="str">
        <x:v>Thời gian vận hành</x:v>
      </x:c>
      <x:c r="C17" s="109" t="str">
        <x:v>Operating life</x:v>
      </x:c>
      <x:c r="D17" s="53" t="n">
        <x:v>20</x:v>
      </x:c>
      <x:c r="E17" s="109" t="str">
        <x:v>Năm</x:v>
      </x:c>
      <x:c r="F17" s="109" t="str">
        <x:v>Bắt buộc</x:v>
      </x:c>
      <x:c r="G17" s="43" t="str">
        <x:v>Giả định typical cho mô hình cơ sở.</x:v>
      </x:c>
      <x:c r="H17" s="103"/>
      <x:c r="I17" s="85" t="str">
        <x:v>Giá bán điện</x:v>
      </x:c>
      <x:c r="J17" s="97" t="n">
        <x:f>IF(D44="","",D44)</x:f>
        <x:v>1807.4</x:v>
      </x:c>
      <x:c r="K17" s="85" t="str">
        <x:v>VND/kWh</x:v>
      </x:c>
    </x:row>
    <x:row r="18" ht="15" hidden="0" customHeight="1">
      <x:c r="A18" s="109" t="str">
        <x:v>GEN-08</x:v>
      </x:c>
      <x:c r="B18" s="47" t="str">
        <x:v>Năm kết thúc vận hành</x:v>
      </x:c>
      <x:c r="C18" s="109" t="str">
        <x:v>End year</x:v>
      </x:c>
      <x:c r="D18" s="57" t="n">
        <x:f>IF(OR(D16="",D17=""),"",D16+D17-1)</x:f>
        <x:v>2046</x:v>
      </x:c>
      <x:c r="E18" s="109" t="str">
        <x:v>Năm</x:v>
      </x:c>
      <x:c r="F18" s="109" t="str">
        <x:v>Tự tính</x:v>
      </x:c>
      <x:c r="G18" s="43" t="str">
        <x:v>Năm cuối cùng của thời gian phân tích.</x:v>
      </x:c>
      <x:c r="H18" s="103"/>
      <x:c r="I18" s="85" t="str">
        <x:v>Doanh thu năm đầu</x:v>
      </x:c>
      <x:c r="J18" s="93" t="n">
        <x:f>IF(D47="","",D47)</x:f>
        <x:v>854.972496</x:v>
      </x:c>
      <x:c r="K18" s="85" t="str">
        <x:v>Tỷ VND</x:v>
      </x:c>
    </x:row>
    <x:row r="19" ht="15" hidden="0" customHeight="1">
      <x:c r="A19" s="110"/>
      <x:c r="B19" s="103"/>
      <x:c r="C19" s="110"/>
      <x:c r="D19" s="103"/>
      <x:c r="E19" s="110"/>
      <x:c r="F19" s="110"/>
      <x:c r="G19" s="112"/>
      <x:c r="H19" s="103"/>
      <x:c r="I19" s="85" t="str">
        <x:v>Chi phí O&amp;M năm đầu</x:v>
      </x:c>
      <x:c r="J19" s="93" t="n">
        <x:f>IF(D50="","",D50)</x:f>
        <x:v>111.6</x:v>
      </x:c>
      <x:c r="K19" s="85" t="str">
        <x:v>Tỷ VND</x:v>
      </x:c>
    </x:row>
    <x:row r="20" ht="22" hidden="0" customHeight="1">
      <x:c r="A20" s="105" t="str">
        <x:v>2. VỐN ĐẦU TƯ</x:v>
      </x:c>
      <x:c r="B20" s="40"/>
      <x:c r="C20" s="105"/>
      <x:c r="D20" s="40"/>
      <x:c r="E20" s="105"/>
      <x:c r="F20" s="105"/>
      <x:c r="G20" s="111"/>
      <x:c r="H20" s="103"/>
      <x:c r="I20" s="85" t="str">
        <x:v>EBITDA năm đầu</x:v>
      </x:c>
      <x:c r="J20" s="93" t="n">
        <x:f>IF(D52="","",D52)</x:f>
        <x:v>743.372496</x:v>
      </x:c>
      <x:c r="K20" s="85" t="str">
        <x:v>Tỷ VND</x:v>
      </x:c>
    </x:row>
    <x:row r="21" ht="24" hidden="0" customHeight="1">
      <x:c r="A21" s="109" t="str">
        <x:v>CAP-01</x:v>
      </x:c>
      <x:c r="B21" s="47" t="str">
        <x:v>Tổng vốn đầu tư chưa VAT</x:v>
      </x:c>
      <x:c r="C21" s="109" t="str">
        <x:v>CAPEX</x:v>
      </x:c>
      <x:c r="D21" s="58" t="n">
        <x:f>IF(OR(D12="",D22=""),"",D12*D22)</x:f>
        <x:v>5580</x:v>
      </x:c>
      <x:c r="E21" s="109" t="str">
        <x:v>Tỷ VND</x:v>
      </x:c>
      <x:c r="F21" s="109" t="str">
        <x:v>Tự tính</x:v>
      </x:c>
      <x:c r="G21" s="43" t="str">
        <x:v>Công suất nhân suất vốn đầu tư; chưa bao gồm VAT và lãi vay xây dựng.</x:v>
      </x:c>
      <x:c r="H21" s="103"/>
      <x:c r="I21" s="85" t="str">
        <x:v>Biên EBITDA năm đầu</x:v>
      </x:c>
      <x:c r="J21" s="99" t="n">
        <x:f>IF(OR(D47="",D47=0,D52=""),"",D52/D47)</x:f>
        <x:v>0.8694694852499676</x:v>
      </x:c>
      <x:c r="K21" s="85" t="str">
        <x:v>%</x:v>
      </x:c>
    </x:row>
    <x:row r="22" ht="15" hidden="0" customHeight="1">
      <x:c r="A22" s="109" t="str">
        <x:v>CAP-02</x:v>
      </x:c>
      <x:c r="B22" s="47" t="str">
        <x:v>Suất vốn đầu tư</x:v>
      </x:c>
      <x:c r="C22" s="109" t="str">
        <x:v>Unit CAPEX</x:v>
      </x:c>
      <x:c r="D22" s="59" t="n">
        <x:v>31</x:v>
      </x:c>
      <x:c r="E22" s="109" t="str">
        <x:v>Tỷ VND/MW</x:v>
      </x:c>
      <x:c r="F22" s="109" t="str">
        <x:v>Bắt buộc</x:v>
      </x:c>
      <x:c r="G22" s="43" t="str">
        <x:v>Theo thông tin do người dùng cung cấp.</x:v>
      </x:c>
      <x:c r="H22" s="103"/>
      <x:c r="I22" s="103"/>
      <x:c r="J22" s="103"/>
      <x:c r="K22" s="103"/>
    </x:row>
    <x:row r="23" ht="15" hidden="0" customHeight="1">
      <x:c r="A23" s="109" t="str">
        <x:v>CAP-03</x:v>
      </x:c>
      <x:c r="B23" s="47" t="str">
        <x:v>Thuế suất VAT đầu tư</x:v>
      </x:c>
      <x:c r="C23" s="109" t="str">
        <x:v>VAT capex</x:v>
      </x:c>
      <x:c r="D23" s="60" t="n">
        <x:v>0.1</x:v>
      </x:c>
      <x:c r="E23" s="109" t="str">
        <x:v>%</x:v>
      </x:c>
      <x:c r="F23" s="109" t="str">
        <x:v>Bắt buộc</x:v>
      </x:c>
      <x:c r="G23" s="43" t="str">
        <x:v>Giả định cơ sở; cần cập nhật theo hợp đồng và quy định áp dụng.</x:v>
      </x:c>
      <x:c r="H23" s="103"/>
      <x:c r="I23" s="85" t="str">
        <x:v>Kiểm tra giải ngân</x:v>
      </x:c>
      <x:c r="J23" s="102" t="str">
        <x:f>IF(D37="","",IF(ABS(D37-1)&lt;0.000001,"OK","CHƯA ĐỦ 100%"))</x:f>
        <x:v>OK</x:v>
      </x:c>
      <x:c r="K23" s="85" t="str">
        <x:v>-</x:v>
      </x:c>
    </x:row>
    <x:row r="24" ht="15" hidden="0" customHeight="1">
      <x:c r="A24" s="109" t="str">
        <x:v>CAP-04</x:v>
      </x:c>
      <x:c r="B24" s="43" t="str">
        <x:v>Tỷ lệ VAT được khấu trừ/hoàn</x:v>
      </x:c>
      <x:c r="C24" s="109" t="str">
        <x:v>VAT recoverable</x:v>
      </x:c>
      <x:c r="D24" s="61" t="n">
        <x:v>1</x:v>
      </x:c>
      <x:c r="E24" s="109" t="str">
        <x:v>%</x:v>
      </x:c>
      <x:c r="F24" s="109" t="str">
        <x:v>Bắt buộc</x:v>
      </x:c>
      <x:c r="G24" s="43" t="str">
        <x:v>Giả định toàn bộ VAT đầu vào đủ điều kiện được khấu trừ/hoàn.</x:v>
      </x:c>
      <x:c r="H24" s="103"/>
      <x:c r="I24" s="103"/>
      <x:c r="J24" s="103"/>
      <x:c r="K24" s="103"/>
    </x:row>
    <x:row r="25" ht="15" hidden="0" customHeight="1">
      <x:c r="A25" s="109" t="str">
        <x:v>CAP-05</x:v>
      </x:c>
      <x:c r="B25" s="47" t="str">
        <x:v>Tổng vốn đầu tư bao gồm VAT</x:v>
      </x:c>
      <x:c r="C25" s="109" t="str">
        <x:v>CAPEX incl. VAT</x:v>
      </x:c>
      <x:c r="D25" s="58" t="n">
        <x:f>IF(OR(D21="",D23=""),"",D21*(1+D23))</x:f>
        <x:v>6138.000000000001</x:v>
      </x:c>
      <x:c r="E25" s="109" t="str">
        <x:v>Tỷ VND</x:v>
      </x:c>
      <x:c r="F25" s="109" t="str">
        <x:v>Tự tính</x:v>
      </x:c>
      <x:c r="G25" s="43" t="str">
        <x:v>Tổng nhu cầu tiền đầu tư trước khi nhận hoàn VAT.</x:v>
      </x:c>
      <x:c r="H25" s="103"/>
      <x:c r="I25" s="103"/>
      <x:c r="J25" s="103"/>
      <x:c r="K25" s="103"/>
    </x:row>
    <x:row r="26" ht="15" hidden="0" customHeight="1">
      <x:c r="A26" s="109" t="str">
        <x:v>CAP-06</x:v>
      </x:c>
      <x:c r="B26" s="47" t="str">
        <x:v>Cơ sở vốn đầu tư kinh tế</x:v>
      </x:c>
      <x:c r="C26" s="109" t="str">
        <x:v>Economic CAPEX</x:v>
      </x:c>
      <x:c r="D26" s="58" t="n">
        <x:f>IF(OR(D21="",D23="",D24=""),"",D21+D21*D23*(1-D24))</x:f>
        <x:v>5580</x:v>
      </x:c>
      <x:c r="E26" s="109" t="str">
        <x:v>Tỷ VND</x:v>
      </x:c>
      <x:c r="F26" s="109" t="str">
        <x:v>Tự tính</x:v>
      </x:c>
      <x:c r="G26" s="43" t="str">
        <x:v>CAPEX chưa VAT cộng phần VAT không được khấu trừ/hoàn.</x:v>
      </x:c>
      <x:c r="H26" s="103"/>
      <x:c r="I26" s="103"/>
      <x:c r="J26" s="103"/>
      <x:c r="K26" s="103"/>
    </x:row>
    <x:row r="27" ht="15" hidden="0" customHeight="1">
      <x:c r="A27" s="109" t="str">
        <x:v>CAP-07</x:v>
      </x:c>
      <x:c r="B27" s="43" t="str">
        <x:v>Thời gian hoàn VAT</x:v>
      </x:c>
      <x:c r="C27" s="109" t="str">
        <x:v>VAT lag</x:v>
      </x:c>
      <x:c r="D27" s="62" t="n">
        <x:v>1</x:v>
      </x:c>
      <x:c r="E27" s="109" t="str">
        <x:v>Năm</x:v>
      </x:c>
      <x:c r="F27" s="109" t="str">
        <x:v>Tùy chọn</x:v>
      </x:c>
      <x:c r="G27" s="43" t="str">
        <x:v>Giả định hoàn/khấu trừ VAT sau 1 năm.</x:v>
      </x:c>
      <x:c r="H27" s="103"/>
      <x:c r="I27" s="103"/>
      <x:c r="J27" s="103"/>
      <x:c r="K27" s="103"/>
    </x:row>
    <x:row r="28" ht="15" hidden="0" customHeight="1">
      <x:c r="A28" s="109" t="str">
        <x:v>CAP-08</x:v>
      </x:c>
      <x:c r="B28" s="43" t="str">
        <x:v>Giá trị thu hồi ròng cuối dự án</x:v>
      </x:c>
      <x:c r="C28" s="109" t="str">
        <x:v>Net terminal value</x:v>
      </x:c>
      <x:c r="D28" s="63" t="n">
        <x:v>0</x:v>
      </x:c>
      <x:c r="E28" s="109" t="str">
        <x:v>Tỷ VND</x:v>
      </x:c>
      <x:c r="F28" s="109" t="str">
        <x:v>Tùy chọn</x:v>
      </x:c>
      <x:c r="G28" s="43" t="str">
        <x:v>Giá trị thu hồi trừ chi phí tháo dỡ; giả định cơ sở bằng 0.</x:v>
      </x:c>
      <x:c r="H28" s="103"/>
      <x:c r="I28" s="103"/>
      <x:c r="J28" s="103"/>
      <x:c r="K28" s="103"/>
    </x:row>
    <x:row r="29" ht="15" hidden="0" customHeight="1">
      <x:c r="A29" s="110"/>
      <x:c r="B29" s="103"/>
      <x:c r="C29" s="110"/>
      <x:c r="D29" s="103"/>
      <x:c r="E29" s="110"/>
      <x:c r="F29" s="110"/>
      <x:c r="G29" s="112"/>
      <x:c r="H29" s="103"/>
      <x:c r="I29" s="103"/>
      <x:c r="J29" s="103"/>
      <x:c r="K29" s="103"/>
    </x:row>
    <x:row r="30" ht="22" hidden="0" customHeight="1">
      <x:c r="A30" s="105" t="str">
        <x:v>3. TIẾN ĐỘ GIẢI NGÂN VỐN ĐẦU TƯ</x:v>
      </x:c>
      <x:c r="B30" s="40"/>
      <x:c r="C30" s="105"/>
      <x:c r="D30" s="40"/>
      <x:c r="E30" s="105"/>
      <x:c r="F30" s="105"/>
      <x:c r="G30" s="111"/>
      <x:c r="H30" s="103"/>
      <x:c r="I30" s="103"/>
      <x:c r="J30" s="103"/>
      <x:c r="K30" s="103"/>
    </x:row>
    <x:row r="31" ht="15" hidden="0" customHeight="1">
      <x:c r="A31" s="71" t="str">
        <x:v>Mã</x:v>
      </x:c>
      <x:c r="B31" s="72" t="str">
        <x:v>Năm xây dựng</x:v>
      </x:c>
      <x:c r="C31" s="72" t="str">
        <x:v>Ký hiệu</x:v>
      </x:c>
      <x:c r="D31" s="72" t="str">
        <x:v>Tỷ lệ giải ngân</x:v>
      </x:c>
      <x:c r="E31" s="72" t="str">
        <x:v>Đơn vị</x:v>
      </x:c>
      <x:c r="F31" s="72" t="str">
        <x:v>Trạng thái</x:v>
      </x:c>
      <x:c r="G31" s="113" t="str">
        <x:v>Ghi chú</x:v>
      </x:c>
      <x:c r="H31" s="103"/>
      <x:c r="I31" s="103"/>
      <x:c r="J31" s="103"/>
      <x:c r="K31" s="103"/>
    </x:row>
    <x:row r="32" ht="15" hidden="0" customHeight="1">
      <x:c r="A32" s="109" t="str">
        <x:v>DIS-01</x:v>
      </x:c>
      <x:c r="B32" s="43" t="str">
        <x:v>Năm xây dựng 1</x:v>
      </x:c>
      <x:c r="C32" s="109" t="str">
        <x:v>Year 1</x:v>
      </x:c>
      <x:c r="D32" s="61" t="n">
        <x:v>0.4</x:v>
      </x:c>
      <x:c r="E32" s="109" t="str">
        <x:v>%</x:v>
      </x:c>
      <x:c r="F32" s="109" t="str">
        <x:v>Bắt buộc</x:v>
      </x:c>
      <x:c r="G32" s="43" t="str">
        <x:v>Giả định typical: giải ngân 40% năm 1 và 60% năm 2.</x:v>
      </x:c>
      <x:c r="H32" s="103"/>
      <x:c r="I32" s="103"/>
      <x:c r="J32" s="103"/>
      <x:c r="K32" s="103"/>
    </x:row>
    <x:row r="33" ht="15" hidden="0" customHeight="1">
      <x:c r="A33" s="109" t="str">
        <x:v>DIS-02</x:v>
      </x:c>
      <x:c r="B33" s="43" t="str">
        <x:v>Năm xây dựng 2</x:v>
      </x:c>
      <x:c r="C33" s="109" t="str">
        <x:v>Year 2</x:v>
      </x:c>
      <x:c r="D33" s="61" t="n">
        <x:v>0.6</x:v>
      </x:c>
      <x:c r="E33" s="109" t="str">
        <x:v>%</x:v>
      </x:c>
      <x:c r="F33" s="109" t="str">
        <x:v>Bắt buộc</x:v>
      </x:c>
      <x:c r="G33" s="43" t="str">
        <x:v>Giả định typical: giải ngân 40% năm 1 và 60% năm 2.</x:v>
      </x:c>
      <x:c r="H33" s="103"/>
      <x:c r="I33" s="103"/>
      <x:c r="J33" s="103"/>
      <x:c r="K33" s="103"/>
    </x:row>
    <x:row r="34" ht="15" hidden="0" customHeight="1">
      <x:c r="A34" s="109" t="str">
        <x:v>DIS-03</x:v>
      </x:c>
      <x:c r="B34" s="43" t="str">
        <x:v>Năm xây dựng 3</x:v>
      </x:c>
      <x:c r="C34" s="109" t="str">
        <x:v>Year 3</x:v>
      </x:c>
      <x:c r="D34" s="61" t="n">
        <x:v>0</x:v>
      </x:c>
      <x:c r="E34" s="109" t="str">
        <x:v>%</x:v>
      </x:c>
      <x:c r="F34" s="109" t="str">
        <x:v>Tùy chọn</x:v>
      </x:c>
      <x:c r="G34" s="43" t="str">
        <x:v>Không phát sinh trong kịch bản cơ sở.</x:v>
      </x:c>
      <x:c r="H34" s="103"/>
      <x:c r="I34" s="103"/>
      <x:c r="J34" s="103"/>
      <x:c r="K34" s="103"/>
    </x:row>
    <x:row r="35" ht="15" hidden="0" customHeight="1">
      <x:c r="A35" s="109" t="str">
        <x:v>DIS-04</x:v>
      </x:c>
      <x:c r="B35" s="43" t="str">
        <x:v>Năm xây dựng 4</x:v>
      </x:c>
      <x:c r="C35" s="109" t="str">
        <x:v>Year 4</x:v>
      </x:c>
      <x:c r="D35" s="61" t="n">
        <x:v>0</x:v>
      </x:c>
      <x:c r="E35" s="109" t="str">
        <x:v>%</x:v>
      </x:c>
      <x:c r="F35" s="109" t="str">
        <x:v>Tùy chọn</x:v>
      </x:c>
      <x:c r="G35" s="43" t="str">
        <x:v>Không phát sinh trong kịch bản cơ sở.</x:v>
      </x:c>
      <x:c r="H35" s="103"/>
      <x:c r="I35" s="103"/>
      <x:c r="J35" s="103"/>
      <x:c r="K35" s="103"/>
    </x:row>
    <x:row r="36" ht="15" hidden="0" customHeight="1">
      <x:c r="A36" s="109" t="str">
        <x:v>DIS-05</x:v>
      </x:c>
      <x:c r="B36" s="43" t="str">
        <x:v>Năm xây dựng 5</x:v>
      </x:c>
      <x:c r="C36" s="109" t="str">
        <x:v>Year 5</x:v>
      </x:c>
      <x:c r="D36" s="61" t="n">
        <x:v>0</x:v>
      </x:c>
      <x:c r="E36" s="109" t="str">
        <x:v>%</x:v>
      </x:c>
      <x:c r="F36" s="109" t="str">
        <x:v>Tùy chọn</x:v>
      </x:c>
      <x:c r="G36" s="43" t="str">
        <x:v>Không phát sinh trong kịch bản cơ sở.</x:v>
      </x:c>
      <x:c r="H36" s="103"/>
      <x:c r="I36" s="103"/>
      <x:c r="J36" s="103"/>
      <x:c r="K36" s="103"/>
    </x:row>
    <x:row r="37" ht="15" hidden="0" customHeight="1">
      <x:c r="A37" s="109" t="str">
        <x:v>DIS-06</x:v>
      </x:c>
      <x:c r="B37" s="47" t="str">
        <x:v>Tổng tỷ lệ giải ngân</x:v>
      </x:c>
      <x:c r="C37" s="109" t="str">
        <x:v>Total</x:v>
      </x:c>
      <x:c r="D37" s="74" t="n">
        <x:f>IF(COUNT(D32:D36)=0,"",SUM(D32:D36))</x:f>
        <x:v>1</x:v>
      </x:c>
      <x:c r="E37" s="109" t="str">
        <x:v>%</x:v>
      </x:c>
      <x:c r="F37" s="109" t="str">
        <x:v>Kiểm tra</x:v>
      </x:c>
      <x:c r="G37" s="43" t="str">
        <x:v>Phải bằng 100%.</x:v>
      </x:c>
      <x:c r="H37" s="103"/>
      <x:c r="I37" s="103"/>
      <x:c r="J37" s="103"/>
      <x:c r="K37" s="103"/>
    </x:row>
    <x:row r="38" ht="15" hidden="0" customHeight="1">
      <x:c r="A38" s="110"/>
      <x:c r="B38" s="103"/>
      <x:c r="C38" s="110"/>
      <x:c r="D38" s="103"/>
      <x:c r="E38" s="110"/>
      <x:c r="F38" s="110"/>
      <x:c r="G38" s="112"/>
      <x:c r="H38" s="103"/>
      <x:c r="I38" s="103"/>
      <x:c r="J38" s="103"/>
      <x:c r="K38" s="103"/>
    </x:row>
    <x:row r="39" ht="22" hidden="0" customHeight="1">
      <x:c r="A39" s="105" t="str">
        <x:v>4. SẢN LƯỢNG VÀ DOANH THU</x:v>
      </x:c>
      <x:c r="B39" s="40"/>
      <x:c r="C39" s="105"/>
      <x:c r="D39" s="40"/>
      <x:c r="E39" s="105"/>
      <x:c r="F39" s="105"/>
      <x:c r="G39" s="111"/>
      <x:c r="H39" s="103"/>
      <x:c r="I39" s="103"/>
      <x:c r="J39" s="103"/>
      <x:c r="K39" s="103"/>
    </x:row>
    <x:row r="40" ht="15" hidden="0" customHeight="1">
      <x:c r="A40" s="109" t="str">
        <x:v>REV-01</x:v>
      </x:c>
      <x:c r="B40" s="43" t="str">
        <x:v>Kịch bản sản lượng</x:v>
      </x:c>
      <x:c r="C40" s="109" t="str">
        <x:v>Energy case</x:v>
      </x:c>
      <x:c r="D40" s="75" t="str">
        <x:v>P50</x:v>
      </x:c>
      <x:c r="E40" s="109" t="str">
        <x:v>-</x:v>
      </x:c>
      <x:c r="F40" s="109" t="str">
        <x:v>Bắt buộc</x:v>
      </x:c>
      <x:c r="G40" s="43" t="str">
        <x:v>Chọn P50, P75, P90 hoặc Khác.</x:v>
      </x:c>
      <x:c r="H40" s="103"/>
      <x:c r="I40" s="103"/>
      <x:c r="J40" s="103"/>
      <x:c r="K40" s="103"/>
    </x:row>
    <x:row r="41" ht="24" hidden="0" customHeight="1">
      <x:c r="A41" s="109" t="str">
        <x:v>REV-02</x:v>
      </x:c>
      <x:c r="B41" s="47" t="str">
        <x:v>Hệ số công suất ròng</x:v>
      </x:c>
      <x:c r="C41" s="109" t="str">
        <x:v>Net capacity factor</x:v>
      </x:c>
      <x:c r="D41" s="60" t="n">
        <x:v>0.3</x:v>
      </x:c>
      <x:c r="E41" s="109" t="str">
        <x:v>%</x:v>
      </x:c>
      <x:c r="F41" s="109" t="str">
        <x:v>Bắt buộc</x:v>
      </x:c>
      <x:c r="G41" s="43" t="str">
        <x:v>Giả định typical để lập mô hình sơ bộ; thay bằng AEP P50 từ báo cáo năng lượng khi có.</x:v>
      </x:c>
      <x:c r="H41" s="103"/>
      <x:c r="I41" s="103"/>
      <x:c r="J41" s="103"/>
      <x:c r="K41" s="103"/>
    </x:row>
    <x:row r="42" ht="15" hidden="0" customHeight="1">
      <x:c r="A42" s="109" t="str">
        <x:v>REV-03</x:v>
      </x:c>
      <x:c r="B42" s="47" t="str">
        <x:v>Sản lượng điện thương phẩm năm đầu</x:v>
      </x:c>
      <x:c r="C42" s="109" t="str">
        <x:v>AEP net</x:v>
      </x:c>
      <x:c r="D42" s="76" t="n">
        <x:f>IF(OR(D12="",D41=""),"",D12*8760*D41)</x:f>
        <x:v>473040</x:v>
      </x:c>
      <x:c r="E42" s="109" t="str">
        <x:v>MWh/năm</x:v>
      </x:c>
      <x:c r="F42" s="109" t="str">
        <x:v>Tự tính</x:v>
      </x:c>
      <x:c r="G42" s="43" t="str">
        <x:v>Công suất × 8.760 giờ × hệ số công suất ròng.</x:v>
      </x:c>
      <x:c r="H42" s="103"/>
      <x:c r="I42" s="103"/>
      <x:c r="J42" s="103"/>
      <x:c r="K42" s="103"/>
    </x:row>
    <x:row r="43" ht="15" hidden="0" customHeight="1">
      <x:c r="A43" s="109" t="str">
        <x:v>REV-04</x:v>
      </x:c>
      <x:c r="B43" s="43" t="str">
        <x:v>Tỷ lệ suy giảm sản lượng hằng năm</x:v>
      </x:c>
      <x:c r="C43" s="109" t="str">
        <x:v>Degradation</x:v>
      </x:c>
      <x:c r="D43" s="77" t="n">
        <x:v>0.002</x:v>
      </x:c>
      <x:c r="E43" s="109" t="str">
        <x:v>%/năm</x:v>
      </x:c>
      <x:c r="F43" s="109" t="str">
        <x:v>Bắt buộc</x:v>
      </x:c>
      <x:c r="G43" s="43" t="str">
        <x:v>Giả định typical 0,2%/năm.</x:v>
      </x:c>
      <x:c r="H43" s="103"/>
      <x:c r="I43" s="103"/>
      <x:c r="J43" s="103"/>
      <x:c r="K43" s="103"/>
    </x:row>
    <x:row r="44" ht="24" hidden="0" customHeight="1">
      <x:c r="A44" s="109" t="str">
        <x:v>REV-05</x:v>
      </x:c>
      <x:c r="B44" s="47" t="str">
        <x:v>Giá bán điện năm đầu, chưa VAT</x:v>
      </x:c>
      <x:c r="C44" s="109" t="str">
        <x:v>Tariff</x:v>
      </x:c>
      <x:c r="D44" s="59" t="n">
        <x:v>1807.4</x:v>
      </x:c>
      <x:c r="E44" s="109" t="str">
        <x:v>VND/kWh</x:v>
      </x:c>
      <x:c r="F44" s="109" t="str">
        <x:v>Bắt buộc</x:v>
      </x:c>
      <x:c r="G44" s="43" t="str">
        <x:v>Giá tối đa điện gió trên đất liền miền Trung năm 2025 theo QĐ 1508/QĐ-BCT; không mặc nhiên là giá PPA.</x:v>
      </x:c>
      <x:c r="H44" s="103"/>
      <x:c r="I44" s="103"/>
      <x:c r="J44" s="103"/>
      <x:c r="K44" s="103"/>
    </x:row>
    <x:row r="45" ht="15" hidden="0" customHeight="1">
      <x:c r="A45" s="109" t="str">
        <x:v>REV-06</x:v>
      </x:c>
      <x:c r="B45" s="43" t="str">
        <x:v>Tỷ lệ tăng giá điện hằng năm</x:v>
      </x:c>
      <x:c r="C45" s="109" t="str">
        <x:v>Tariff escalation</x:v>
      </x:c>
      <x:c r="D45" s="77" t="n">
        <x:v>0</x:v>
      </x:c>
      <x:c r="E45" s="109" t="str">
        <x:v>%/năm</x:v>
      </x:c>
      <x:c r="F45" s="109" t="str">
        <x:v>Bắt buộc</x:v>
      </x:c>
      <x:c r="G45" s="43" t="str">
        <x:v>Giả định giá cố định; cập nhật theo PPA thực tế.</x:v>
      </x:c>
      <x:c r="H45" s="103"/>
      <x:c r="I45" s="103"/>
      <x:c r="J45" s="103"/>
      <x:c r="K45" s="103"/>
    </x:row>
    <x:row r="46" ht="15" hidden="0" customHeight="1">
      <x:c r="A46" s="109" t="str">
        <x:v>REV-07</x:v>
      </x:c>
      <x:c r="B46" s="43" t="str">
        <x:v>Doanh thu khác năm đầu</x:v>
      </x:c>
      <x:c r="C46" s="109" t="str">
        <x:v>Other revenue</x:v>
      </x:c>
      <x:c r="D46" s="63" t="n">
        <x:v>0</x:v>
      </x:c>
      <x:c r="E46" s="109" t="str">
        <x:v>Tỷ VND/năm</x:v>
      </x:c>
      <x:c r="F46" s="109" t="str">
        <x:v>Tùy chọn</x:v>
      </x:c>
      <x:c r="G46" s="43" t="str">
        <x:v>Chưa xét REC, I-REC, tín chỉ carbon hoặc nguồn thu khác.</x:v>
      </x:c>
      <x:c r="H46" s="103"/>
      <x:c r="I46" s="103"/>
      <x:c r="J46" s="103"/>
      <x:c r="K46" s="103"/>
    </x:row>
    <x:row r="47" ht="15" hidden="0" customHeight="1">
      <x:c r="A47" s="109" t="str">
        <x:v>REV-08</x:v>
      </x:c>
      <x:c r="B47" s="47" t="str">
        <x:v>Doanh thu năm vận hành đầu tiên</x:v>
      </x:c>
      <x:c r="C47" s="109" t="str">
        <x:v>Revenue Y1</x:v>
      </x:c>
      <x:c r="D47" s="58" t="n">
        <x:f>IF(OR(D42="",D44=""),"",D42*1000*D44/1000000000+IF(D46="",0,D46))</x:f>
        <x:v>854.972496</x:v>
      </x:c>
      <x:c r="E47" s="109" t="str">
        <x:v>Tỷ VND</x:v>
      </x:c>
      <x:c r="F47" s="109" t="str">
        <x:v>Tự tính</x:v>
      </x:c>
      <x:c r="G47" s="43" t="str">
        <x:v>Doanh thu điện cộng doanh thu khác.</x:v>
      </x:c>
      <x:c r="H47" s="103"/>
      <x:c r="I47" s="103"/>
      <x:c r="J47" s="103"/>
      <x:c r="K47" s="103"/>
    </x:row>
    <x:row r="48" ht="15" hidden="0" customHeight="1">
      <x:c r="A48" s="110"/>
      <x:c r="B48" s="103"/>
      <x:c r="C48" s="110"/>
      <x:c r="D48" s="103"/>
      <x:c r="E48" s="110"/>
      <x:c r="F48" s="110"/>
      <x:c r="G48" s="112"/>
      <x:c r="H48" s="103"/>
      <x:c r="I48" s="103"/>
      <x:c r="J48" s="103"/>
      <x:c r="K48" s="103"/>
    </x:row>
    <x:row r="49" ht="22" hidden="0" customHeight="1">
      <x:c r="A49" s="105" t="str">
        <x:v>5. CHI PHÍ VẬN HÀNH</x:v>
      </x:c>
      <x:c r="B49" s="40"/>
      <x:c r="C49" s="105"/>
      <x:c r="D49" s="40"/>
      <x:c r="E49" s="105"/>
      <x:c r="F49" s="105"/>
      <x:c r="G49" s="111"/>
      <x:c r="H49" s="103"/>
      <x:c r="I49" s="103"/>
      <x:c r="J49" s="103"/>
      <x:c r="K49" s="103"/>
    </x:row>
    <x:row r="50" ht="15" hidden="0" customHeight="1">
      <x:c r="A50" s="109" t="str">
        <x:v>OPE-01</x:v>
      </x:c>
      <x:c r="B50" s="47" t="str">
        <x:v>Chi phí O&amp;M năm đầu</x:v>
      </x:c>
      <x:c r="C50" s="109" t="str">
        <x:v>O&amp;M Y1</x:v>
      </x:c>
      <x:c r="D50" s="59" t="n">
        <x:v>111.6</x:v>
      </x:c>
      <x:c r="E50" s="109" t="str">
        <x:v>Tỷ VND/năm</x:v>
      </x:c>
      <x:c r="F50" s="109" t="str">
        <x:v>Bắt buộc</x:v>
      </x:c>
      <x:c r="G50" s="43" t="str">
        <x:v>Giả định typical bằng 2% CAPEX chưa VAT.</x:v>
      </x:c>
      <x:c r="H50" s="103"/>
      <x:c r="I50" s="103"/>
      <x:c r="J50" s="103"/>
      <x:c r="K50" s="103"/>
    </x:row>
    <x:row r="51" ht="15" hidden="0" customHeight="1">
      <x:c r="A51" s="109" t="str">
        <x:v>OPE-02</x:v>
      </x:c>
      <x:c r="B51" s="43" t="str">
        <x:v>Tỷ lệ tăng O&amp;M hằng năm</x:v>
      </x:c>
      <x:c r="C51" s="109" t="str">
        <x:v>O&amp;M escalation</x:v>
      </x:c>
      <x:c r="D51" s="77" t="n">
        <x:v>0.03</x:v>
      </x:c>
      <x:c r="E51" s="109" t="str">
        <x:v>%/năm</x:v>
      </x:c>
      <x:c r="F51" s="109" t="str">
        <x:v>Bắt buộc</x:v>
      </x:c>
      <x:c r="G51" s="43" t="str">
        <x:v>Giả định typical 3%/năm.</x:v>
      </x:c>
      <x:c r="H51" s="103"/>
      <x:c r="I51" s="103"/>
      <x:c r="J51" s="103"/>
      <x:c r="K51" s="103"/>
    </x:row>
    <x:row r="52" ht="15" hidden="0" customHeight="1">
      <x:c r="A52" s="109" t="str">
        <x:v>OPE-03</x:v>
      </x:c>
      <x:c r="B52" s="47" t="str">
        <x:v>EBITDA năm vận hành đầu tiên</x:v>
      </x:c>
      <x:c r="C52" s="109" t="str">
        <x:v>EBITDA Y1</x:v>
      </x:c>
      <x:c r="D52" s="58" t="n">
        <x:f>IF(OR(D47="",D50=""),"",D47-D50)</x:f>
        <x:v>743.372496</x:v>
      </x:c>
      <x:c r="E52" s="109" t="str">
        <x:v>Tỷ VND</x:v>
      </x:c>
      <x:c r="F52" s="109" t="str">
        <x:v>Tự tính</x:v>
      </x:c>
      <x:c r="G52" s="43" t="str">
        <x:v>Chưa xét khấu hao, lãi vay và thuế.</x:v>
      </x:c>
      <x:c r="H52" s="103"/>
      <x:c r="I52" s="103"/>
      <x:c r="J52" s="103"/>
      <x:c r="K52" s="103"/>
    </x:row>
    <x:row r="53" ht="15" hidden="0" customHeight="1">
      <x:c r="A53" s="110"/>
      <x:c r="B53" s="103"/>
      <x:c r="C53" s="110"/>
      <x:c r="D53" s="103"/>
      <x:c r="E53" s="110"/>
      <x:c r="F53" s="110"/>
      <x:c r="G53" s="112"/>
      <x:c r="H53" s="103"/>
      <x:c r="I53" s="103"/>
      <x:c r="J53" s="103"/>
      <x:c r="K53" s="103"/>
    </x:row>
    <x:row r="54" ht="22" hidden="0" customHeight="1">
      <x:c r="A54" s="105" t="str">
        <x:v>6. CƠ CẤU VỐN VÀ KHOẢN VAY</x:v>
      </x:c>
      <x:c r="B54" s="40"/>
      <x:c r="C54" s="105"/>
      <x:c r="D54" s="40"/>
      <x:c r="E54" s="105"/>
      <x:c r="F54" s="105"/>
      <x:c r="G54" s="111"/>
      <x:c r="H54" s="103"/>
      <x:c r="I54" s="103"/>
      <x:c r="J54" s="103"/>
      <x:c r="K54" s="103"/>
    </x:row>
    <x:row r="55" ht="15" hidden="0" customHeight="1">
      <x:c r="A55" s="109" t="str">
        <x:v>FIN-01</x:v>
      </x:c>
      <x:c r="B55" s="47" t="str">
        <x:v>Tỷ lệ vốn vay</x:v>
      </x:c>
      <x:c r="C55" s="109" t="str">
        <x:v>Debt ratio</x:v>
      </x:c>
      <x:c r="D55" s="60" t="n">
        <x:v>0.7</x:v>
      </x:c>
      <x:c r="E55" s="109" t="str">
        <x:v>%</x:v>
      </x:c>
      <x:c r="F55" s="109" t="str">
        <x:v>Bắt buộc</x:v>
      </x:c>
      <x:c r="G55" s="43" t="str">
        <x:v>Giả định typical 70% vốn vay.</x:v>
      </x:c>
      <x:c r="H55" s="103"/>
      <x:c r="I55" s="103"/>
      <x:c r="J55" s="103"/>
      <x:c r="K55" s="103"/>
    </x:row>
    <x:row r="56" ht="15" hidden="0" customHeight="1">
      <x:c r="A56" s="109" t="str">
        <x:v>FIN-02</x:v>
      </x:c>
      <x:c r="B56" s="47" t="str">
        <x:v>Tỷ lệ vốn chủ sở hữu</x:v>
      </x:c>
      <x:c r="C56" s="109" t="str">
        <x:v>Equity ratio</x:v>
      </x:c>
      <x:c r="D56" s="74" t="n">
        <x:f>IF(D55="","",1-D55)</x:f>
        <x:v>0.30000000000000004</x:v>
      </x:c>
      <x:c r="E56" s="109" t="str">
        <x:v>%</x:v>
      </x:c>
      <x:c r="F56" s="109" t="str">
        <x:v>Tự tính</x:v>
      </x:c>
      <x:c r="G56" s="43" t="str">
        <x:v>Bằng 100% trừ tỷ lệ vốn vay.</x:v>
      </x:c>
      <x:c r="H56" s="103"/>
      <x:c r="I56" s="103"/>
      <x:c r="J56" s="103"/>
      <x:c r="K56" s="103"/>
    </x:row>
    <x:row r="57" ht="15" hidden="0" customHeight="1">
      <x:c r="A57" s="109" t="str">
        <x:v>FIN-03</x:v>
      </x:c>
      <x:c r="B57" s="47" t="str">
        <x:v>Lãi suất vay</x:v>
      </x:c>
      <x:c r="C57" s="109" t="str">
        <x:v>Interest rate</x:v>
      </x:c>
      <x:c r="D57" s="78" t="n">
        <x:v>0.1</x:v>
      </x:c>
      <x:c r="E57" s="109" t="str">
        <x:v>%/năm</x:v>
      </x:c>
      <x:c r="F57" s="109" t="str">
        <x:v>Bắt buộc</x:v>
      </x:c>
      <x:c r="G57" s="43" t="str">
        <x:v>Giả định typical 10%/năm, lãi suất cố định trong Ver1.</x:v>
      </x:c>
      <x:c r="H57" s="103"/>
      <x:c r="I57" s="103"/>
      <x:c r="J57" s="103"/>
      <x:c r="K57" s="103"/>
    </x:row>
    <x:row r="58" ht="15" hidden="0" customHeight="1">
      <x:c r="A58" s="109" t="str">
        <x:v>FIN-04</x:v>
      </x:c>
      <x:c r="B58" s="47" t="str">
        <x:v>Thời hạn vay</x:v>
      </x:c>
      <x:c r="C58" s="109" t="str">
        <x:v>Debt tenor</x:v>
      </x:c>
      <x:c r="D58" s="53" t="n">
        <x:v>12</x:v>
      </x:c>
      <x:c r="E58" s="109" t="str">
        <x:v>Năm</x:v>
      </x:c>
      <x:c r="F58" s="109" t="str">
        <x:v>Bắt buộc</x:v>
      </x:c>
      <x:c r="G58" s="43" t="str">
        <x:v>Giả định typical, tính từ thời điểm bắt đầu trả nợ.</x:v>
      </x:c>
      <x:c r="H58" s="103"/>
      <x:c r="I58" s="103"/>
      <x:c r="J58" s="103"/>
      <x:c r="K58" s="103"/>
    </x:row>
    <x:row r="59" ht="15" hidden="0" customHeight="1">
      <x:c r="A59" s="109" t="str">
        <x:v>FIN-05</x:v>
      </x:c>
      <x:c r="B59" s="43" t="str">
        <x:v>Thời gian ân hạn gốc</x:v>
      </x:c>
      <x:c r="C59" s="109" t="str">
        <x:v>Grace period</x:v>
      </x:c>
      <x:c r="D59" s="62" t="n">
        <x:v>2</x:v>
      </x:c>
      <x:c r="E59" s="109" t="str">
        <x:v>Năm</x:v>
      </x:c>
      <x:c r="F59" s="109" t="str">
        <x:v>Bắt buộc</x:v>
      </x:c>
      <x:c r="G59" s="43" t="str">
        <x:v>Giả định bằng thời gian xây dựng.</x:v>
      </x:c>
      <x:c r="H59" s="103"/>
      <x:c r="I59" s="103"/>
      <x:c r="J59" s="103"/>
      <x:c r="K59" s="103"/>
    </x:row>
    <x:row r="60" ht="15" hidden="0" customHeight="1">
      <x:c r="A60" s="109" t="str">
        <x:v>FIN-06</x:v>
      </x:c>
      <x:c r="B60" s="43" t="str">
        <x:v>Phương thức trả gốc</x:v>
      </x:c>
      <x:c r="C60" s="109" t="str">
        <x:v>Repayment</x:v>
      </x:c>
      <x:c r="D60" s="75" t="str">
        <x:v>Gốc đều</x:v>
      </x:c>
      <x:c r="E60" s="109" t="str">
        <x:v>-</x:v>
      </x:c>
      <x:c r="F60" s="109" t="str">
        <x:v>Bắt buộc</x:v>
      </x:c>
      <x:c r="G60" s="43" t="str">
        <x:v>Chọn Gốc đều hoặc Niên kim.</x:v>
      </x:c>
      <x:c r="H60" s="103"/>
      <x:c r="I60" s="103"/>
      <x:c r="J60" s="103"/>
      <x:c r="K60" s="103"/>
    </x:row>
    <x:row r="61" ht="15" hidden="0" customHeight="1">
      <x:c r="A61" s="109" t="str">
        <x:v>FIN-07</x:v>
      </x:c>
      <x:c r="B61" s="43" t="str">
        <x:v>Phí thu xếp khoản vay</x:v>
      </x:c>
      <x:c r="C61" s="109" t="str">
        <x:v>Upfront fee</x:v>
      </x:c>
      <x:c r="D61" s="77" t="n">
        <x:v>0.01</x:v>
      </x:c>
      <x:c r="E61" s="109" t="str">
        <x:v>% khoản vay</x:v>
      </x:c>
      <x:c r="F61" s="109" t="str">
        <x:v>Tùy chọn</x:v>
      </x:c>
      <x:c r="G61" s="43" t="str">
        <x:v>Giả định typical 1% giá trị khoản vay.</x:v>
      </x:c>
      <x:c r="H61" s="103"/>
      <x:c r="I61" s="103"/>
      <x:c r="J61" s="103"/>
      <x:c r="K61" s="103"/>
    </x:row>
    <x:row r="62" ht="15" hidden="0" customHeight="1">
      <x:c r="A62" s="109" t="str">
        <x:v>FIN-08</x:v>
      </x:c>
      <x:c r="B62" s="43" t="str">
        <x:v>DSCR tối thiểu yêu cầu</x:v>
      </x:c>
      <x:c r="C62" s="109" t="str">
        <x:v>Minimum DSCR</x:v>
      </x:c>
      <x:c r="D62" s="79" t="n">
        <x:v>1.2</x:v>
      </x:c>
      <x:c r="E62" s="109" t="str">
        <x:v>Lần</x:v>
      </x:c>
      <x:c r="F62" s="109" t="str">
        <x:v>Tùy chọn</x:v>
      </x:c>
      <x:c r="G62" s="43" t="str">
        <x:v>Giả định ngưỡng kiểm tra khả năng trả nợ.</x:v>
      </x:c>
      <x:c r="H62" s="103"/>
      <x:c r="I62" s="103"/>
      <x:c r="J62" s="103"/>
      <x:c r="K62" s="103"/>
    </x:row>
    <x:row r="63" ht="15" hidden="0" customHeight="1">
      <x:c r="A63" s="109" t="str">
        <x:v>FIN-09</x:v>
      </x:c>
      <x:c r="B63" s="47" t="str">
        <x:v>Giá trị khoản vay</x:v>
      </x:c>
      <x:c r="C63" s="109" t="str">
        <x:v>Debt amount</x:v>
      </x:c>
      <x:c r="D63" s="58" t="n">
        <x:f>IF(OR(D26="",D55=""),"",D26*D55)</x:f>
        <x:v>3905.9999999999995</x:v>
      </x:c>
      <x:c r="E63" s="109" t="str">
        <x:v>Tỷ VND</x:v>
      </x:c>
      <x:c r="F63" s="109" t="str">
        <x:v>Tự tính</x:v>
      </x:c>
      <x:c r="G63" s="43" t="str">
        <x:v>Chưa bao gồm lãi vay trong xây dựng và phí thu xếp vốn.</x:v>
      </x:c>
      <x:c r="H63" s="103"/>
      <x:c r="I63" s="103"/>
      <x:c r="J63" s="103"/>
      <x:c r="K63" s="103"/>
    </x:row>
    <x:row r="64" ht="15" hidden="0" customHeight="1">
      <x:c r="A64" s="109" t="str">
        <x:v>FIN-10</x:v>
      </x:c>
      <x:c r="B64" s="47" t="str">
        <x:v>Vốn chủ sở hữu ban đầu</x:v>
      </x:c>
      <x:c r="C64" s="109" t="str">
        <x:v>Equity amount</x:v>
      </x:c>
      <x:c r="D64" s="58" t="n">
        <x:f>IF(OR(D26="",D63=""),"",D26-D63)</x:f>
        <x:v>1674.0000000000005</x:v>
      </x:c>
      <x:c r="E64" s="109" t="str">
        <x:v>Tỷ VND</x:v>
      </x:c>
      <x:c r="F64" s="109" t="str">
        <x:v>Tự tính</x:v>
      </x:c>
      <x:c r="G64" s="43" t="str">
        <x:v>Phần cơ sở vốn đầu tư kinh tế không được tài trợ bằng khoản vay.</x:v>
      </x:c>
      <x:c r="H64" s="103"/>
      <x:c r="I64" s="103"/>
      <x:c r="J64" s="103"/>
      <x:c r="K64" s="103"/>
    </x:row>
    <x:row r="65" ht="15" hidden="0" customHeight="1">
      <x:c r="A65" s="110"/>
      <x:c r="B65" s="103"/>
      <x:c r="C65" s="110"/>
      <x:c r="D65" s="103"/>
      <x:c r="E65" s="110"/>
      <x:c r="F65" s="110"/>
      <x:c r="G65" s="112"/>
      <x:c r="H65" s="103"/>
      <x:c r="I65" s="103"/>
      <x:c r="J65" s="103"/>
      <x:c r="K65" s="103"/>
    </x:row>
    <x:row r="66" ht="22" hidden="0" customHeight="1">
      <x:c r="A66" s="105" t="str">
        <x:v>7. THUẾ, KHẤU HAO VÀ TỶ LỆ CHIẾT KHẤU</x:v>
      </x:c>
      <x:c r="B66" s="40"/>
      <x:c r="C66" s="105"/>
      <x:c r="D66" s="40"/>
      <x:c r="E66" s="105"/>
      <x:c r="F66" s="105"/>
      <x:c r="G66" s="111"/>
      <x:c r="H66" s="103"/>
      <x:c r="I66" s="103"/>
      <x:c r="J66" s="103"/>
      <x:c r="K66" s="103"/>
    </x:row>
    <x:row r="67" ht="15" hidden="0" customHeight="1">
      <x:c r="A67" s="109" t="str">
        <x:v>TAX-01</x:v>
      </x:c>
      <x:c r="B67" s="47" t="str">
        <x:v>Thuế suất thuế TNDN thông thường</x:v>
      </x:c>
      <x:c r="C67" s="109" t="str">
        <x:v>CIT standard</x:v>
      </x:c>
      <x:c r="D67" s="60" t="n">
        <x:v>0.2</x:v>
      </x:c>
      <x:c r="E67" s="109" t="str">
        <x:v>%</x:v>
      </x:c>
      <x:c r="F67" s="109" t="str">
        <x:v>Bắt buộc</x:v>
      </x:c>
      <x:c r="G67" s="43" t="str">
        <x:v>Thuế suất phổ thông dùng làm giả định cơ sở.</x:v>
      </x:c>
      <x:c r="H67" s="103"/>
      <x:c r="I67" s="103"/>
      <x:c r="J67" s="103"/>
      <x:c r="K67" s="103"/>
    </x:row>
    <x:row r="68" ht="24" hidden="0" customHeight="1">
      <x:c r="A68" s="109" t="str">
        <x:v>TAX-02</x:v>
      </x:c>
      <x:c r="B68" s="43" t="str">
        <x:v>Thuế suất thuế TNDN ưu đãi</x:v>
      </x:c>
      <x:c r="C68" s="109" t="str">
        <x:v>CIT incentive</x:v>
      </x:c>
      <x:c r="D68" s="61" t="n">
        <x:v>0.1</x:v>
      </x:c>
      <x:c r="E68" s="109" t="str">
        <x:v>%</x:v>
      </x:c>
      <x:c r="F68" s="109" t="str">
        <x:v>Tùy chọn</x:v>
      </x:c>
      <x:c r="G68" s="43" t="str">
        <x:v>Giả định dự án đầu tư mới năng lượng tái tạo đủ điều kiện; cần xác minh pháp lý.</x:v>
      </x:c>
      <x:c r="H68" s="103"/>
      <x:c r="I68" s="103"/>
      <x:c r="J68" s="103"/>
      <x:c r="K68" s="103"/>
    </x:row>
    <x:row r="69" ht="15" hidden="0" customHeight="1">
      <x:c r="A69" s="109" t="str">
        <x:v>TAX-03</x:v>
      </x:c>
      <x:c r="B69" s="43" t="str">
        <x:v>Thời gian áp dụng thuế suất ưu đãi</x:v>
      </x:c>
      <x:c r="C69" s="109" t="str">
        <x:v>Incentive period</x:v>
      </x:c>
      <x:c r="D69" s="52" t="n">
        <x:v>15</x:v>
      </x:c>
      <x:c r="E69" s="109" t="str">
        <x:v>Năm</x:v>
      </x:c>
      <x:c r="F69" s="109" t="str">
        <x:v>Tùy chọn</x:v>
      </x:c>
      <x:c r="G69" s="43" t="str">
        <x:v>Giả định ưu đãi 10% trong 15 năm.</x:v>
      </x:c>
      <x:c r="H69" s="103"/>
      <x:c r="I69" s="103"/>
      <x:c r="J69" s="103"/>
      <x:c r="K69" s="103"/>
    </x:row>
    <x:row r="70" ht="15" hidden="0" customHeight="1">
      <x:c r="A70" s="109" t="str">
        <x:v>TAX-04</x:v>
      </x:c>
      <x:c r="B70" s="43" t="str">
        <x:v>Thời gian miễn thuế</x:v>
      </x:c>
      <x:c r="C70" s="109" t="str">
        <x:v>Tax holiday</x:v>
      </x:c>
      <x:c r="D70" s="52" t="n">
        <x:v>4</x:v>
      </x:c>
      <x:c r="E70" s="109" t="str">
        <x:v>Năm</x:v>
      </x:c>
      <x:c r="F70" s="109" t="str">
        <x:v>Tùy chọn</x:v>
      </x:c>
      <x:c r="G70" s="43" t="str">
        <x:v>Giả định miễn thuế 4 năm; cần xác minh thời điểm bắt đầu ưu đãi.</x:v>
      </x:c>
      <x:c r="H70" s="103"/>
      <x:c r="I70" s="103"/>
      <x:c r="J70" s="103"/>
      <x:c r="K70" s="103"/>
    </x:row>
    <x:row r="71" ht="15" hidden="0" customHeight="1">
      <x:c r="A71" s="109" t="str">
        <x:v>TAX-05</x:v>
      </x:c>
      <x:c r="B71" s="43" t="str">
        <x:v>Thời gian giảm 50% thuế</x:v>
      </x:c>
      <x:c r="C71" s="109" t="str">
        <x:v>Tax reduction</x:v>
      </x:c>
      <x:c r="D71" s="52" t="n">
        <x:v>9</x:v>
      </x:c>
      <x:c r="E71" s="109" t="str">
        <x:v>Năm</x:v>
      </x:c>
      <x:c r="F71" s="109" t="str">
        <x:v>Tùy chọn</x:v>
      </x:c>
      <x:c r="G71" s="43" t="str">
        <x:v>Giả định giảm 50% thuế trong 9 năm tiếp theo.</x:v>
      </x:c>
      <x:c r="H71" s="103"/>
      <x:c r="I71" s="103"/>
      <x:c r="J71" s="103"/>
      <x:c r="K71" s="103"/>
    </x:row>
    <x:row r="72" ht="15" hidden="0" customHeight="1">
      <x:c r="A72" s="109" t="str">
        <x:v>TAX-06</x:v>
      </x:c>
      <x:c r="B72" s="47" t="str">
        <x:v>Thời gian khấu hao tài sản</x:v>
      </x:c>
      <x:c r="C72" s="109" t="str">
        <x:v>Depreciation life</x:v>
      </x:c>
      <x:c r="D72" s="53" t="n">
        <x:v>20</x:v>
      </x:c>
      <x:c r="E72" s="109" t="str">
        <x:v>Năm</x:v>
      </x:c>
      <x:c r="F72" s="109" t="str">
        <x:v>Bắt buộc</x:v>
      </x:c>
      <x:c r="G72" s="43" t="str">
        <x:v>Giả định khấu hao đường thẳng theo thời gian vận hành.</x:v>
      </x:c>
      <x:c r="H72" s="103"/>
      <x:c r="I72" s="103"/>
      <x:c r="J72" s="103"/>
      <x:c r="K72" s="103"/>
    </x:row>
    <x:row r="73" ht="15" hidden="0" customHeight="1">
      <x:c r="A73" s="109" t="str">
        <x:v>TAX-07</x:v>
      </x:c>
      <x:c r="B73" s="43" t="str">
        <x:v>Thời gian chuyển lỗ tối đa</x:v>
      </x:c>
      <x:c r="C73" s="109" t="str">
        <x:v>Loss carryforward</x:v>
      </x:c>
      <x:c r="D73" s="52" t="n">
        <x:v>5</x:v>
      </x:c>
      <x:c r="E73" s="109" t="str">
        <x:v>Năm</x:v>
      </x:c>
      <x:c r="F73" s="109" t="str">
        <x:v>Bắt buộc</x:v>
      </x:c>
      <x:c r="G73" s="43" t="str">
        <x:v>Giả định cơ sở; cần cập nhật theo quy định áp dụng.</x:v>
      </x:c>
      <x:c r="H73" s="103"/>
      <x:c r="I73" s="103"/>
      <x:c r="J73" s="103"/>
      <x:c r="K73" s="103"/>
    </x:row>
    <x:row r="74" ht="15" hidden="0" customHeight="1">
      <x:c r="A74" s="109" t="str">
        <x:v>VAL-01</x:v>
      </x:c>
      <x:c r="B74" s="47" t="str">
        <x:v>Tỷ lệ chiết khấu dự án</x:v>
      </x:c>
      <x:c r="C74" s="109" t="str">
        <x:v>Project discount</x:v>
      </x:c>
      <x:c r="D74" s="78" t="n">
        <x:v>0.1</x:v>
      </x:c>
      <x:c r="E74" s="109" t="str">
        <x:v>%/năm</x:v>
      </x:c>
      <x:c r="F74" s="109" t="str">
        <x:v>Bắt buộc</x:v>
      </x:c>
      <x:c r="G74" s="43" t="str">
        <x:v>Giả định typical dùng tính Project NPV.</x:v>
      </x:c>
      <x:c r="H74" s="103"/>
      <x:c r="I74" s="103"/>
      <x:c r="J74" s="103"/>
      <x:c r="K74" s="103"/>
    </x:row>
    <x:row r="75" ht="15" hidden="0" customHeight="1">
      <x:c r="A75" s="109" t="str">
        <x:v>VAL-02</x:v>
      </x:c>
      <x:c r="B75" s="47" t="str">
        <x:v>Tỷ lệ chiết khấu vốn chủ sở hữu</x:v>
      </x:c>
      <x:c r="C75" s="109" t="str">
        <x:v>Equity discount</x:v>
      </x:c>
      <x:c r="D75" s="78" t="n">
        <x:v>0.12</x:v>
      </x:c>
      <x:c r="E75" s="109" t="str">
        <x:v>%/năm</x:v>
      </x:c>
      <x:c r="F75" s="109" t="str">
        <x:v>Bắt buộc</x:v>
      </x:c>
      <x:c r="G75" s="43" t="str">
        <x:v>Giả định typical dùng tính Equity NPV.</x:v>
      </x:c>
      <x:c r="H75" s="103"/>
      <x:c r="I75" s="103"/>
      <x:c r="J75" s="103"/>
      <x:c r="K75" s="103"/>
    </x:row>
    <x:row r="76" ht="15" hidden="0" customHeight="1">
      <x:c r="A76" s="103"/>
      <x:c r="B76" s="103"/>
      <x:c r="C76" s="103"/>
      <x:c r="D76" s="103"/>
      <x:c r="E76" s="103"/>
      <x:c r="F76" s="103"/>
      <x:c r="G76" s="112"/>
      <x:c r="H76" s="103"/>
      <x:c r="I76" s="103"/>
      <x:c r="J76" s="103"/>
      <x:c r="K76" s="103"/>
    </x:row>
    <x:row r="77" ht="15" hidden="0" customHeight="1">
      <x:c r="A77" s="103"/>
      <x:c r="B77" s="103"/>
      <x:c r="C77" s="103"/>
      <x:c r="D77" s="103"/>
      <x:c r="E77" s="103"/>
      <x:c r="F77" s="103"/>
      <x:c r="G77" s="112"/>
      <x:c r="H77" s="103"/>
      <x:c r="I77" s="103"/>
      <x:c r="J77" s="103"/>
      <x:c r="K77" s="103"/>
    </x:row>
    <x:row r="78" ht="15" hidden="0" customHeight="1">
      <x:c r="A78" s="83" t="str">
        <x:v>Ghi chú: các giả định pháp lý, thuế, giá điện và ưu đãi phải được cập nhật theo hồ sơ và quy định áp dụng cho từng dự án.</x:v>
      </x:c>
      <x:c r="B78" s="83"/>
      <x:c r="C78" s="83"/>
      <x:c r="D78" s="83"/>
      <x:c r="E78" s="83"/>
      <x:c r="F78" s="83"/>
      <x:c r="G78" s="83"/>
      <x:c r="H78" s="103"/>
      <x:c r="I78" s="103"/>
      <x:c r="J78" s="103"/>
      <x:c r="K78" s="103"/>
    </x:row>
    <x:row r="79">
      <x:c r="A79" s="1"/>
      <x:c r="B79" s="1"/>
      <x:c r="C79" s="1"/>
      <x:c r="D79" s="1"/>
      <x:c r="E79" s="1"/>
      <x:c r="F79" s="1"/>
      <x:c r="G79" s="1"/>
      <x:c r="H79" s="1"/>
      <x:c r="I79" s="1"/>
      <x:c r="J79" s="1"/>
      <x:c r="K79" s="1"/>
    </x:row>
    <x:row r="80">
      <x:c r="A80" s="1"/>
      <x:c r="B80" s="1"/>
      <x:c r="C80" s="1"/>
      <x:c r="D80" s="1"/>
      <x:c r="E80" s="1"/>
      <x:c r="F80" s="1"/>
      <x:c r="G80" s="1"/>
      <x:c r="H80" s="1"/>
      <x:c r="I80" s="1"/>
      <x:c r="J80" s="1"/>
      <x:c r="K80" s="1"/>
    </x:row>
    <x:row r="81">
      <x:c r="A81" s="1"/>
      <x:c r="B81" s="1"/>
      <x:c r="C81" s="1"/>
      <x:c r="D81" s="1"/>
      <x:c r="E81" s="1"/>
      <x:c r="F81" s="1"/>
      <x:c r="G81" s="1"/>
      <x:c r="H81" s="1"/>
      <x:c r="I81" s="1"/>
      <x:c r="J81" s="1"/>
      <x:c r="K81" s="1"/>
    </x:row>
    <x:row r="82">
      <x:c r="A82" s="1"/>
      <x:c r="B82" s="1"/>
      <x:c r="C82" s="1"/>
      <x:c r="D82" s="1"/>
      <x:c r="E82" s="1"/>
      <x:c r="F82" s="1"/>
      <x:c r="G82" s="1"/>
      <x:c r="H82" s="1"/>
      <x:c r="I82" s="1"/>
      <x:c r="J82" s="1"/>
      <x:c r="K82" s="1"/>
    </x:row>
  </x:sheetData>
  <x:mergeCells>
    <x:mergeCell ref="A1:G1"/>
    <x:mergeCell ref="A2:G2"/>
    <x:mergeCell ref="A3:G3"/>
    <x:mergeCell ref="A5:B5"/>
    <x:mergeCell ref="D6:G6"/>
    <x:mergeCell ref="D7:G7"/>
    <x:mergeCell ref="A10:G10"/>
    <x:mergeCell ref="A20:G20"/>
    <x:mergeCell ref="A30:G30"/>
    <x:mergeCell ref="A39:G39"/>
    <x:mergeCell ref="A49:G49"/>
    <x:mergeCell ref="A54:G54"/>
    <x:mergeCell ref="A66:G66"/>
    <x:mergeCell ref="A78:G78"/>
    <x:mergeCell ref="I5:K5"/>
  </x:mergeCells>
  <x:conditionalFormatting sqref="D37:D37">
    <x:cfRule type="cellIs" dxfId="0" priority="1" operator="equal">
      <x:formula>1</x:formula>
    </x:cfRule>
    <x:cfRule type="cellIs" dxfId="1" priority="2" operator="notEqual">
      <x:formula>1</x:formula>
    </x:cfRule>
  </x:conditionalFormatting>
  <x:conditionalFormatting sqref="J23:J23">
    <x:cfRule type="containsText" dxfId="2" priority="3" operator="containsText" text="OK"/>
    <x:cfRule type="containsText" dxfId="3" priority="4" operator="containsText" text="CHƯA"/>
  </x:conditionalFormatting>
  <x:dataValidations count="19">
    <x:dataValidation type="list" sqref="D40">
      <x:formula1>"P50,P75,P90,Khác"</x:formula1>
    </x:dataValidation>
    <x:dataValidation type="list" sqref="D60">
      <x:formula1>"Gốc đều,Niên kim"</x:formula1>
    </x:dataValidation>
    <x:dataValidation type="decimal" operator="between" sqref="D23:D24">
      <x:formula1>0</x:formula1>
      <x:formula2>1</x:formula2>
    </x:dataValidation>
    <x:dataValidation type="decimal" operator="between" sqref="D32:D36">
      <x:formula1>0</x:formula1>
      <x:formula2>1</x:formula2>
    </x:dataValidation>
    <x:dataValidation type="decimal" operator="between" sqref="D41">
      <x:formula1>0</x:formula1>
      <x:formula2>1</x:formula2>
    </x:dataValidation>
    <x:dataValidation type="decimal" operator="between" sqref="D43">
      <x:formula1>0</x:formula1>
      <x:formula2>1</x:formula2>
    </x:dataValidation>
    <x:dataValidation type="decimal" operator="between" sqref="D45">
      <x:formula1>0</x:formula1>
      <x:formula2>1</x:formula2>
    </x:dataValidation>
    <x:dataValidation type="decimal" operator="between" sqref="D51">
      <x:formula1>0</x:formula1>
      <x:formula2>1</x:formula2>
    </x:dataValidation>
    <x:dataValidation type="decimal" operator="between" sqref="D55">
      <x:formula1>0</x:formula1>
      <x:formula2>1</x:formula2>
    </x:dataValidation>
    <x:dataValidation type="decimal" operator="between" sqref="D57">
      <x:formula1>0</x:formula1>
      <x:formula2>1</x:formula2>
    </x:dataValidation>
    <x:dataValidation type="decimal" operator="between" sqref="D61">
      <x:formula1>0</x:formula1>
      <x:formula2>1</x:formula2>
    </x:dataValidation>
    <x:dataValidation type="decimal" operator="between" sqref="D67:D68">
      <x:formula1>0</x:formula1>
      <x:formula2>1</x:formula2>
    </x:dataValidation>
    <x:dataValidation type="decimal" operator="between" sqref="D74:D75">
      <x:formula1>0</x:formula1>
      <x:formula2>1</x:formula2>
    </x:dataValidation>
    <x:dataValidation type="decimal" operator="between" sqref="D12">
      <x:formula1>0</x:formula1>
      <x:formula2>10000</x:formula2>
    </x:dataValidation>
    <x:dataValidation type="whole" operator="between" sqref="D15">
      <x:formula1>1</x:formula1>
      <x:formula2>5</x:formula2>
    </x:dataValidation>
    <x:dataValidation type="whole" operator="between" sqref="D17">
      <x:formula1>1</x:formula1>
      <x:formula2>25</x:formula2>
    </x:dataValidation>
    <x:dataValidation type="whole" operator="between" sqref="D58:D59">
      <x:formula1>0</x:formula1>
      <x:formula2>100</x:formula2>
    </x:dataValidation>
    <x:dataValidation type="whole" operator="between" sqref="D69:D73">
      <x:formula1>0</x:formula1>
      <x:formula2>100</x:formula2>
    </x:dataValidation>
    <x:dataValidation type="whole" operator="between" sqref="D58">
      <x:formula1>1</x:formula1>
      <x:formula2>25</x:formula2>
    </x:dataValidation>
  </x:dataValidations>
  <x:pageMargins left="0.7" right="0.7" top="0.75" bottom="0.75" header="0.3" footer="0.3"/>
  <x:legacyDrawing xmlns:r="http://schemas.openxmlformats.org/officeDocument/2006/relationships" r:id="R580fe444a0624e66"/>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31" hidden="0" customWidth="1"/>
    <x:col min="3" max="3" width="12" hidden="0" customWidth="1"/>
    <x:col min="4" max="4" width="23" hidden="0" customWidth="1"/>
    <x:col min="5" max="5" width="16" hidden="0" customWidth="1"/>
    <x:col min="6" max="6" width="13" hidden="0" customWidth="1"/>
    <x:col min="7" max="7" width="23" hidden="0" customWidth="1"/>
    <x:col min="8" max="8" width="16" hidden="0" customWidth="1"/>
  </x:cols>
  <x:sheetData>
    <x:row r="1" ht="30" customHeight="1">
      <x:c r="A1" s="5" t="str">
        <x:v>TỔNG HỢP PHÂN TÍCH KINH TẾ TÀI CHÍNH</x:v>
      </x:c>
      <x:c r="B1" s="5"/>
      <x:c r="C1" s="5"/>
      <x:c r="D1" s="5"/>
      <x:c r="E1" s="5"/>
      <x:c r="F1" s="5"/>
      <x:c r="G1" s="5"/>
      <x:c r="H1" s="5"/>
    </x:row>
    <x:row r="2">
      <x:c r="A2" s="191" t="str">
        <x:f>'Input'!D11</x:f>
        <x:v>Dự án Nhà máy điện gió Vân Canh 2</x:v>
      </x:c>
      <x:c r="B2" s="191"/>
      <x:c r="C2" s="191"/>
      <x:c r="D2" s="191"/>
      <x:c r="E2" s="191"/>
      <x:c r="F2" s="191"/>
      <x:c r="G2" s="191"/>
      <x:c r="H2" s="191"/>
    </x:row>
    <x:row r="3">
      <x:c r="A3" s="12" t="str">
        <x:v>Phiên bản Ver1.3  |  Kịch bản cơ sở  |  Đơn vị: tỷ VND</x:v>
      </x:c>
      <x:c r="B3" s="12"/>
      <x:c r="C3" s="12"/>
      <x:c r="D3" s="12"/>
      <x:c r="E3" s="12"/>
      <x:c r="F3" s="12"/>
      <x:c r="G3" s="12"/>
      <x:c r="H3" s="12"/>
    </x:row>
    <x:row r="4">
      <x:c r="A4" s="1"/>
      <x:c r="B4" s="1"/>
      <x:c r="C4" s="1"/>
      <x:c r="D4" s="1"/>
      <x:c r="E4" s="1"/>
      <x:c r="F4" s="1"/>
      <x:c r="G4" s="1"/>
      <x:c r="H4" s="1"/>
    </x:row>
    <x:row r="5">
      <x:c r="A5" s="14" t="str">
        <x:v>THÔNG TIN DỰ ÁN</x:v>
      </x:c>
      <x:c r="B5" s="14"/>
      <x:c r="C5" s="14"/>
      <x:c r="D5" s="14"/>
      <x:c r="E5" s="14"/>
      <x:c r="F5" s="14"/>
      <x:c r="G5" s="14"/>
      <x:c r="H5" s="14"/>
    </x:row>
    <x:row r="6">
      <x:c r="A6" s="1" t="str">
        <x:v>Công suất</x:v>
      </x:c>
      <x:c r="B6" s="193" t="n">
        <x:f>'Input'!D12</x:f>
        <x:v>180</x:v>
      </x:c>
      <x:c r="C6" s="1" t="str">
        <x:v>MW</x:v>
      </x:c>
      <x:c r="D6" s="1" t="str">
        <x:v>Năm COD</x:v>
      </x:c>
      <x:c r="E6" s="194" t="n">
        <x:f>'Input'!D16</x:f>
        <x:v>2027</x:v>
      </x:c>
      <x:c r="F6" s="1" t="str">
        <x:v>Năm</x:v>
      </x:c>
      <x:c r="G6" s="1" t="str">
        <x:v>Thời gian vận hành</x:v>
      </x:c>
      <x:c r="H6" s="194" t="n">
        <x:f>'Input'!D17</x:f>
        <x:v>20</x:v>
      </x:c>
    </x:row>
    <x:row r="7">
      <x:c r="A7" s="1" t="str">
        <x:v>Tổng vốn đầu tư gồm VAT</x:v>
      </x:c>
      <x:c r="B7" s="195" t="n">
        <x:f>'Input'!D25</x:f>
        <x:v>6138.000000000001</x:v>
      </x:c>
      <x:c r="C7" s="1" t="str">
        <x:v>Tỷ VND</x:v>
      </x:c>
      <x:c r="D7" s="1" t="str">
        <x:v>Sản lượng năm đầu</x:v>
      </x:c>
      <x:c r="E7" s="196" t="n">
        <x:f>'Input'!D42</x:f>
        <x:v>473040</x:v>
      </x:c>
      <x:c r="F7" s="1" t="str">
        <x:v>MWh</x:v>
      </x:c>
      <x:c r="G7" s="1" t="str">
        <x:v>Giá bán điện</x:v>
      </x:c>
      <x:c r="H7" s="197" t="n">
        <x:f>'Input'!D44</x:f>
        <x:v>1807.4</x:v>
      </x:c>
    </x:row>
    <x:row r="8">
      <x:c r="A8" s="1" t="str">
        <x:v>Tỷ lệ vốn vay</x:v>
      </x:c>
      <x:c r="B8" s="198" t="n">
        <x:f>'Input'!D55</x:f>
        <x:v>0.7</x:v>
      </x:c>
      <x:c r="C8" s="1" t="str">
        <x:v>%</x:v>
      </x:c>
      <x:c r="D8" s="1" t="str">
        <x:v>Lãi suất vay</x:v>
      </x:c>
      <x:c r="E8" s="198" t="n">
        <x:f>'Input'!D57</x:f>
        <x:v>0.1</x:v>
      </x:c>
      <x:c r="F8" s="1" t="str">
        <x:v>%/năm</x:v>
      </x:c>
      <x:c r="G8" s="1" t="str">
        <x:v>Thời hạn vay</x:v>
      </x:c>
      <x:c r="H8" s="194" t="n">
        <x:f>'Input'!D58</x:f>
        <x:v>12</x:v>
      </x:c>
    </x:row>
    <x:row r="9">
      <x:c r="A9" s="1"/>
      <x:c r="B9" s="1"/>
      <x:c r="C9" s="1"/>
      <x:c r="D9" s="1"/>
      <x:c r="E9" s="1"/>
      <x:c r="F9" s="1"/>
      <x:c r="G9" s="1"/>
      <x:c r="H9" s="1"/>
    </x:row>
    <x:row r="10">
      <x:c r="A10" s="14" t="str">
        <x:v>CHỈ TIÊU HIỆU QUẢ ĐẦU TƯ</x:v>
      </x:c>
      <x:c r="B10" s="14"/>
      <x:c r="C10" s="14"/>
      <x:c r="D10" s="14"/>
      <x:c r="E10" s="14"/>
      <x:c r="F10" s="14"/>
      <x:c r="G10" s="14"/>
      <x:c r="H10" s="14"/>
    </x:row>
    <x:row r="11">
      <x:c r="A11" s="1" t="str">
        <x:v>Project IRR</x:v>
      </x:c>
      <x:c r="B11" s="198" t="n">
        <x:f>'Project_CF'!C34</x:f>
        <x:v>0.1000334313323855</x:v>
      </x:c>
      <x:c r="C11" s="1" t="str">
        <x:v>%</x:v>
      </x:c>
      <x:c r="D11" s="1" t="str">
        <x:v>Project NPV</x:v>
      </x:c>
      <x:c r="E11" s="195" t="n">
        <x:f>'Project_CF'!C35</x:f>
        <x:v>1.2357704933564833</x:v>
      </x:c>
      <x:c r="F11" s="1" t="str">
        <x:v>Tỷ VND</x:v>
      </x:c>
      <x:c r="G11" s="1" t="str">
        <x:v>Hoàn vốn dự án</x:v>
      </x:c>
      <x:c r="H11" s="194" t="n">
        <x:f>'Project_CF'!C37</x:f>
        <x:v>9</x:v>
      </x:c>
    </x:row>
    <x:row r="12">
      <x:c r="A12" s="1" t="str">
        <x:v>Equity IRR</x:v>
      </x:c>
      <x:c r="B12" s="198" t="n">
        <x:f>'Equity_CF'!C27</x:f>
        <x:v>0.09099776668955893</x:v>
      </x:c>
      <x:c r="C12" s="1" t="str">
        <x:v>%</x:v>
      </x:c>
      <x:c r="D12" s="1" t="str">
        <x:v>Equity NPV</x:v>
      </x:c>
      <x:c r="E12" s="195" t="n">
        <x:f>'Equity_CF'!C28</x:f>
        <x:v>-547.6557410268836</x:v>
      </x:c>
      <x:c r="F12" s="1" t="str">
        <x:v>Tỷ VND</x:v>
      </x:c>
      <x:c r="G12" s="1" t="str">
        <x:v>Hoàn vốn vốn CSH</x:v>
      </x:c>
      <x:c r="H12" s="194" t="n">
        <x:f>'Equity_CF'!C30</x:f>
        <x:v>14</x:v>
      </x:c>
    </x:row>
    <x:row r="13">
      <x:c r="A13" s="1" t="str">
        <x:v>DSCR tối thiểu</x:v>
      </x:c>
      <x:c r="B13" s="199" t="n">
        <x:f>'Debt'!C31</x:f>
        <x:v>1.038084759111856</x:v>
      </x:c>
      <x:c r="C13" s="1" t="str">
        <x:v>Lần</x:v>
      </x:c>
      <x:c r="D13" s="1" t="str">
        <x:v>DSCR bình quân</x:v>
      </x:c>
      <x:c r="E13" s="199" t="n">
        <x:f>'Debt'!C32</x:f>
        <x:v>2.044919752998612</x:v>
      </x:c>
      <x:c r="F13" s="1" t="str">
        <x:v>Lần</x:v>
      </x:c>
      <x:c r="G13" s="1" t="str">
        <x:v>LLCR</x:v>
      </x:c>
      <x:c r="H13" s="199" t="n">
        <x:f>'Debt'!C33</x:f>
        <x:v>1.2366039111450327</x:v>
      </x:c>
    </x:row>
    <x:row r="14">
      <x:c r="A14" s="1" t="str">
        <x:v>LCOE</x:v>
      </x:c>
      <x:c r="B14" s="197" t="n">
        <x:f>'Project_CF'!C38</x:f>
        <x:v>1766.4443266621306</x:v>
      </x:c>
      <x:c r="C14" s="1" t="str">
        <x:v>VND/kWh</x:v>
      </x:c>
      <x:c r="D14" s="1" t="str">
        <x:v>Giá điện hòa vốn</x:v>
      </x:c>
      <x:c r="E14" s="197" t="n">
        <x:f>'Project_CF'!C39</x:f>
        <x:v>1766.4443266621304</x:v>
      </x:c>
      <x:c r="F14" s="1" t="str">
        <x:v>VND/kWh</x:v>
      </x:c>
      <x:c r="G14" s="1" t="str">
        <x:v>Biên EBITDA năm đầu</x:v>
      </x:c>
      <x:c r="H14" s="198" t="n">
        <x:f>IF('Input'!D47=0,0,'Input'!D52/'Input'!D47)</x:f>
        <x:v>0.8694694852499676</x:v>
      </x:c>
    </x:row>
    <x:row r="15">
      <x:c r="A15" s="1" t="str">
        <x:v>Tổng lãi vay</x:v>
      </x:c>
      <x:c r="B15" s="195" t="n">
        <x:f>'Debt'!C29</x:f>
        <x:v>2890.4400000000005</x:v>
      </x:c>
      <x:c r="C15" s="1" t="str">
        <x:v>Tỷ VND</x:v>
      </x:c>
      <x:c r="D15" s="1" t="str">
        <x:v>Tổng thuế TNDN</x:v>
      </x:c>
      <x:c r="E15" s="195" t="n">
        <x:f>'Income_Statement'!C26</x:f>
        <x:v>541.7990093285295</x:v>
      </x:c>
      <x:c r="F15" s="1" t="str">
        <x:v>Tỷ VND</x:v>
      </x:c>
      <x:c r="G15" s="1" t="str">
        <x:v>Tổng vốn CSH thực góp</x:v>
      </x:c>
      <x:c r="H15" s="195" t="n">
        <x:f>'Equity_CF'!C31</x:f>
        <x:v>2399.4000000000005</x:v>
      </x:c>
    </x:row>
    <x:row r="16">
      <x:c r="A16" s="1" t="str">
        <x:v>EBITDA năm đầu</x:v>
      </x:c>
      <x:c r="B16" s="195" t="n">
        <x:f>'Input'!D52</x:f>
        <x:v>743.372496</x:v>
      </x:c>
      <x:c r="C16" s="1" t="str">
        <x:v>Tỷ VND</x:v>
      </x:c>
      <x:c r="D16" s="1" t="str">
        <x:v>Doanh thu năm đầu</x:v>
      </x:c>
      <x:c r="E16" s="195" t="n">
        <x:f>'Input'!D47</x:f>
        <x:v>854.972496</x:v>
      </x:c>
      <x:c r="F16" s="1" t="str">
        <x:v>Tỷ VND</x:v>
      </x:c>
      <x:c r="G16" s="1" t="str">
        <x:v>NPV chênh lệch CSH/Dự án</x:v>
      </x:c>
      <x:c r="H16" s="195" t="n">
        <x:f>E12-E11</x:f>
        <x:v>-548.8915115202401</x:v>
      </x:c>
    </x:row>
    <x:row r="17">
      <x:c r="A17" s="1"/>
      <x:c r="B17" s="1"/>
      <x:c r="C17" s="1"/>
      <x:c r="D17" s="1"/>
      <x:c r="E17" s="1"/>
      <x:c r="F17" s="1"/>
      <x:c r="G17" s="1"/>
      <x:c r="H17" s="1"/>
    </x:row>
    <x:row r="18">
      <x:c r="A18" s="14" t="str">
        <x:v>KIỂM TRA MÔ HÌNH</x:v>
      </x:c>
      <x:c r="B18" s="14"/>
      <x:c r="C18" s="14"/>
      <x:c r="D18" s="14"/>
      <x:c r="E18" s="14"/>
      <x:c r="F18" s="14"/>
      <x:c r="G18" s="14"/>
      <x:c r="H18" s="14"/>
    </x:row>
    <x:row r="19">
      <x:c r="A19" s="84" t="str">
        <x:v>Mã</x:v>
      </x:c>
      <x:c r="B19" s="84" t="str">
        <x:v>Nội dung kiểm tra</x:v>
      </x:c>
      <x:c r="C19" s="84" t="str">
        <x:v>Kết quả</x:v>
      </x:c>
      <x:c r="D19" s="84" t="str">
        <x:v>Trạng thái</x:v>
      </x:c>
      <x:c r="E19" s="1"/>
      <x:c r="F19" s="1"/>
      <x:c r="G19" s="1"/>
      <x:c r="H19" s="1"/>
    </x:row>
    <x:row r="20">
      <x:c r="A20" s="1" t="str">
        <x:v>CHK-01</x:v>
      </x:c>
      <x:c r="B20" s="1" t="str">
        <x:v>Tỷ lệ giải ngân bằng 100%</x:v>
      </x:c>
      <x:c r="C20" s="200" t="n">
        <x:f>'CAPEX'!C27</x:f>
        <x:v>1</x:v>
      </x:c>
      <x:c r="D20" s="21" t="str">
        <x:f>IF(ABS(C20-1)&lt;0.000001,"OK","KIỂM TRA")</x:f>
        <x:v>OK</x:v>
      </x:c>
      <x:c r="E20" s="1"/>
      <x:c r="F20" s="84" t="str">
        <x:v>TRẠNG THÁI TOÀN MÔ HÌNH</x:v>
      </x:c>
      <x:c r="G20" s="84"/>
      <x:c r="H20" s="84"/>
    </x:row>
    <x:row r="21">
      <x:c r="A21" s="1" t="str">
        <x:v>CHK-02</x:v>
      </x:c>
      <x:c r="B21" s="1" t="str">
        <x:v>Tổng CAPEX khớp dữ liệu đầu vào</x:v>
      </x:c>
      <x:c r="C21" s="201" t="n">
        <x:f>'CAPEX'!C28-'Input'!D21</x:f>
        <x:v>0</x:v>
      </x:c>
      <x:c r="D21" s="21" t="str">
        <x:f>IF(ABS(C21)&lt;0.01,"OK","KIỂM TRA")</x:f>
        <x:v>OK</x:v>
      </x:c>
      <x:c r="E21" s="1"/>
      <x:c r="F21" s="206" t="str">
        <x:f>IF(COUNTIF(D20:D25,"KIỂM TRA")=0,"OK","CẦN KIỂM TRA")</x:f>
        <x:v>CẦN KIỂM TRA</x:v>
      </x:c>
      <x:c r="G21" s="206"/>
      <x:c r="H21" s="206"/>
    </x:row>
    <x:row r="22">
      <x:c r="A22" s="1" t="str">
        <x:v>CHK-03</x:v>
      </x:c>
      <x:c r="B22" s="1" t="str">
        <x:v>Tổng giải ngân vay khớp khoản vay</x:v>
      </x:c>
      <x:c r="C22" s="201" t="n">
        <x:f>'Debt'!C28-'Input'!D63</x:f>
        <x:v>4.547473508864641e-13</x:v>
      </x:c>
      <x:c r="D22" s="21" t="str">
        <x:f>IF(ABS(C22)&lt;0.01,"OK","KIỂM TRA")</x:f>
        <x:v>OK</x:v>
      </x:c>
      <x:c r="E22" s="1"/>
      <x:c r="F22" s="206"/>
      <x:c r="G22" s="206"/>
      <x:c r="H22" s="206"/>
    </x:row>
    <x:row r="23">
      <x:c r="A23" s="1" t="str">
        <x:v>CHK-04</x:v>
      </x:c>
      <x:c r="B23" s="1" t="str">
        <x:v>Dư nợ cuối kỳ bằng 0</x:v>
      </x:c>
      <x:c r="C23" s="201" t="n">
        <x:f>'Debt'!AF18</x:f>
        <x:v>1.1368683772161603e-13</x:v>
      </x:c>
      <x:c r="D23" s="21" t="str">
        <x:f>IF(ABS(C23)&lt;0.01,"OK","KIỂM TRA")</x:f>
        <x:v>OK</x:v>
      </x:c>
      <x:c r="E23" s="1"/>
      <x:c r="F23" s="206"/>
      <x:c r="G23" s="206"/>
      <x:c r="H23" s="206"/>
    </x:row>
    <x:row r="24">
      <x:c r="A24" s="1" t="str">
        <x:v>CHK-05</x:v>
      </x:c>
      <x:c r="B24" s="1" t="str">
        <x:v>Dòng tiền có cả giá trị âm và dương</x:v>
      </x:c>
      <x:c r="C24" s="21" t="n">
        <x:f>COUNTIF('Project_CF'!C24:AF24,"&lt;0")*COUNTIF('Project_CF'!C24:AF24,"&gt;0")</x:f>
        <x:v>40</x:v>
      </x:c>
      <x:c r="D24" s="21" t="str">
        <x:f>IF(C24&gt;0,"OK","KIỂM TRA")</x:f>
        <x:v>OK</x:v>
      </x:c>
      <x:c r="E24" s="1"/>
      <x:c r="F24" s="1"/>
      <x:c r="G24" s="1"/>
      <x:c r="H24" s="1"/>
    </x:row>
    <x:row r="25">
      <x:c r="A25" s="1" t="str">
        <x:v>CHK-06</x:v>
      </x:c>
      <x:c r="B25" s="1" t="str">
        <x:v>DSCR tối thiểu đạt yêu cầu</x:v>
      </x:c>
      <x:c r="C25" s="202" t="n">
        <x:f>'Debt'!C31-'Input'!D62</x:f>
        <x:v>-0.1619152408881439</x:v>
      </x:c>
      <x:c r="D25" s="21" t="str">
        <x:f>IF(C25&gt;=0,"OK","KIỂM TRA")</x:f>
        <x:v>KIỂM TRA</x:v>
      </x:c>
      <x:c r="E25" s="1"/>
      <x:c r="F25" s="1"/>
      <x:c r="G25" s="1"/>
      <x:c r="H25" s="1"/>
    </x:row>
    <x:row r="26">
      <x:c r="A26" s="1"/>
      <x:c r="B26" s="1"/>
      <x:c r="C26" s="1"/>
      <x:c r="D26" s="1"/>
      <x:c r="E26" s="1"/>
      <x:c r="F26" s="1"/>
      <x:c r="G26" s="1"/>
      <x:c r="H26" s="1"/>
    </x:row>
    <x:row r="27">
      <x:c r="A27" s="207" t="str">
        <x:v>Lưu ý: kết quả phụ thuộc vào các giả định đầu vào. Giá điện, ưu đãi thuế, điều kiện vay và sản lượng P50/P90 phải được cập nhật theo PPA, hợp đồng tín dụng và báo cáo năng lượng của dự án.</x:v>
      </x:c>
      <x:c r="B27" s="207"/>
      <x:c r="C27" s="207"/>
      <x:c r="D27" s="207"/>
      <x:c r="E27" s="207"/>
      <x:c r="F27" s="207"/>
      <x:c r="G27" s="207"/>
      <x:c r="H27" s="207"/>
    </x:row>
    <x:row r="28">
      <x:c r="A28" s="207"/>
      <x:c r="B28" s="207"/>
      <x:c r="C28" s="207"/>
      <x:c r="D28" s="207"/>
      <x:c r="E28" s="207"/>
      <x:c r="F28" s="207"/>
      <x:c r="G28" s="207"/>
      <x:c r="H28" s="207"/>
    </x:row>
    <x:row r="29">
      <x:c r="A29" s="207"/>
      <x:c r="B29" s="207"/>
      <x:c r="C29" s="207"/>
      <x:c r="D29" s="207"/>
      <x:c r="E29" s="207"/>
      <x:c r="F29" s="207"/>
      <x:c r="G29" s="207"/>
      <x:c r="H29" s="207"/>
    </x:row>
    <x:row r="30">
      <x:c r="A30" s="1"/>
      <x:c r="B30" s="1"/>
      <x:c r="C30" s="1"/>
      <x:c r="D30" s="1"/>
      <x:c r="E30" s="1"/>
      <x:c r="F30" s="1"/>
      <x:c r="G30" s="1"/>
      <x:c r="H30" s="1"/>
    </x:row>
    <x:row r="31">
      <x:c r="A31" s="1"/>
      <x:c r="B31" s="1"/>
      <x:c r="C31" s="1"/>
      <x:c r="D31" s="1"/>
      <x:c r="E31" s="1"/>
      <x:c r="F31" s="1"/>
      <x:c r="G31" s="1"/>
      <x:c r="H31" s="1"/>
    </x:row>
    <x:row r="32">
      <x:c r="A32" s="1"/>
      <x:c r="B32" s="1"/>
      <x:c r="C32" s="1"/>
      <x:c r="D32" s="1"/>
      <x:c r="E32" s="1"/>
      <x:c r="F32" s="1"/>
      <x:c r="G32" s="1"/>
      <x:c r="H32" s="1"/>
    </x:row>
    <x:row r="33">
      <x:c r="A33" s="1"/>
      <x:c r="B33" s="1"/>
      <x:c r="C33" s="1"/>
      <x:c r="D33" s="1"/>
      <x:c r="E33" s="1"/>
      <x:c r="F33" s="1"/>
      <x:c r="G33" s="1"/>
      <x:c r="H33" s="1"/>
    </x:row>
    <x:row r="34">
      <x:c r="A34" s="1"/>
      <x:c r="B34" s="1"/>
      <x:c r="C34" s="1"/>
      <x:c r="D34" s="1"/>
      <x:c r="E34" s="1"/>
      <x:c r="F34" s="1"/>
      <x:c r="G34" s="1"/>
      <x:c r="H34" s="1"/>
    </x:row>
    <x:row r="35">
      <x:c r="A35" s="1"/>
      <x:c r="B35" s="1"/>
      <x:c r="C35" s="1"/>
      <x:c r="D35" s="1"/>
      <x:c r="E35" s="1"/>
      <x:c r="F35" s="1"/>
      <x:c r="G35" s="1"/>
      <x:c r="H35" s="1"/>
    </x:row>
    <x:row r="36">
      <x:c r="A36" s="1"/>
      <x:c r="B36" s="1"/>
      <x:c r="C36" s="1"/>
      <x:c r="D36" s="1"/>
      <x:c r="E36" s="1"/>
      <x:c r="F36" s="1"/>
      <x:c r="G36" s="1"/>
      <x:c r="H36" s="1"/>
    </x:row>
    <x:row r="37">
      <x:c r="A37" s="1"/>
      <x:c r="B37" s="1"/>
      <x:c r="C37" s="1"/>
      <x:c r="D37" s="1"/>
      <x:c r="E37" s="1"/>
      <x:c r="F37" s="1"/>
      <x:c r="G37" s="1"/>
      <x:c r="H37" s="1"/>
    </x:row>
    <x:row r="38">
      <x:c r="A38" s="1"/>
      <x:c r="B38" s="1"/>
      <x:c r="C38" s="1"/>
      <x:c r="D38" s="1"/>
      <x:c r="E38" s="1"/>
      <x:c r="F38" s="1"/>
      <x:c r="G38" s="1"/>
      <x:c r="H38" s="1"/>
    </x:row>
    <x:row r="39">
      <x:c r="A39" s="1"/>
      <x:c r="B39" s="1"/>
      <x:c r="C39" s="1"/>
      <x:c r="D39" s="1"/>
      <x:c r="E39" s="1"/>
      <x:c r="F39" s="1"/>
      <x:c r="G39" s="1"/>
      <x:c r="H39" s="1"/>
    </x:row>
    <x:row r="40">
      <x:c r="A40" s="1"/>
      <x:c r="B40" s="1"/>
      <x:c r="C40" s="1"/>
      <x:c r="D40" s="1"/>
      <x:c r="E40" s="1"/>
      <x:c r="F40" s="1"/>
      <x:c r="G40" s="1"/>
      <x:c r="H40" s="1"/>
    </x:row>
    <x:row r="41">
      <x:c r="A41" s="1"/>
      <x:c r="B41" s="1"/>
      <x:c r="C41" s="1"/>
      <x:c r="D41" s="1"/>
      <x:c r="E41" s="1"/>
      <x:c r="F41" s="1"/>
      <x:c r="G41" s="1"/>
      <x:c r="H41" s="1"/>
    </x:row>
    <x:row r="42">
      <x:c r="A42" s="1"/>
      <x:c r="B42" s="1"/>
      <x:c r="C42" s="1"/>
      <x:c r="D42" s="1"/>
      <x:c r="E42" s="1"/>
      <x:c r="F42" s="1"/>
      <x:c r="G42" s="1"/>
      <x:c r="H42" s="1"/>
    </x:row>
    <x:row r="43">
      <x:c r="A43" s="1"/>
      <x:c r="B43" s="1"/>
      <x:c r="C43" s="1"/>
      <x:c r="D43" s="1"/>
      <x:c r="E43" s="1"/>
      <x:c r="F43" s="1"/>
      <x:c r="G43" s="1"/>
      <x:c r="H43" s="1"/>
    </x:row>
    <x:row r="44">
      <x:c r="A44" s="1"/>
      <x:c r="B44" s="1"/>
      <x:c r="C44" s="1"/>
      <x:c r="D44" s="1"/>
      <x:c r="E44" s="1"/>
      <x:c r="F44" s="1"/>
      <x:c r="G44" s="1"/>
      <x:c r="H44" s="1"/>
    </x:row>
    <x:row r="45">
      <x:c r="A45" s="1"/>
      <x:c r="B45" s="1"/>
      <x:c r="C45" s="1"/>
      <x:c r="D45" s="1"/>
      <x:c r="E45" s="1"/>
      <x:c r="F45" s="1"/>
      <x:c r="G45" s="1"/>
      <x:c r="H45" s="1"/>
    </x:row>
    <x:row r="46">
      <x:c r="A46" s="1"/>
      <x:c r="B46" s="1"/>
      <x:c r="C46" s="1"/>
      <x:c r="D46" s="1"/>
      <x:c r="E46" s="1"/>
      <x:c r="F46" s="1"/>
      <x:c r="G46" s="1"/>
      <x:c r="H46" s="1"/>
    </x:row>
    <x:row r="47">
      <x:c r="A47" s="1"/>
      <x:c r="B47" s="1"/>
      <x:c r="C47" s="1"/>
      <x:c r="D47" s="1"/>
      <x:c r="E47" s="1"/>
      <x:c r="F47" s="1"/>
      <x:c r="G47" s="1"/>
      <x:c r="H47" s="1"/>
    </x:row>
    <x:row r="48">
      <x:c r="A48" s="1"/>
      <x:c r="B48" s="1"/>
      <x:c r="C48" s="1"/>
      <x:c r="D48" s="1"/>
      <x:c r="E48" s="1"/>
      <x:c r="F48" s="1"/>
      <x:c r="G48" s="1"/>
      <x:c r="H48" s="1"/>
    </x:row>
    <x:row r="49">
      <x:c r="A49" s="1"/>
      <x:c r="B49" s="1"/>
      <x:c r="C49" s="1"/>
      <x:c r="D49" s="1"/>
      <x:c r="E49" s="1"/>
      <x:c r="F49" s="1"/>
      <x:c r="G49" s="1"/>
      <x:c r="H49" s="1"/>
    </x:row>
    <x:row r="50">
      <x:c r="A50" s="1"/>
      <x:c r="B50" s="1"/>
      <x:c r="C50" s="1"/>
      <x:c r="D50" s="1"/>
      <x:c r="E50" s="1"/>
      <x:c r="F50" s="1"/>
      <x:c r="G50" s="1"/>
      <x:c r="H50" s="1"/>
    </x:row>
  </x:sheetData>
  <x:mergeCells>
    <x:mergeCell ref="A1:H1"/>
    <x:mergeCell ref="A2:H2"/>
    <x:mergeCell ref="A3:H3"/>
    <x:mergeCell ref="A5:H5"/>
    <x:mergeCell ref="A10:H10"/>
    <x:mergeCell ref="A18:H18"/>
    <x:mergeCell ref="F20:H20"/>
    <x:mergeCell ref="F21:H23"/>
    <x:mergeCell ref="A27:H29"/>
  </x:mergeCells>
  <x:conditionalFormatting sqref="F21:F21">
    <x:cfRule type="containsText" dxfId="8" priority="1" operator="containsText" text="CẦN"/>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VỐN ĐẦU TƯ VÀ TIẾN ĐỘ GIẢI NGÂN</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Tổng hợp CAPEX, VAT, giải ngân vốn vay, lãi vay xây dựng và nhu cầu vốn chủ sở hữu.</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'Input'!$D$14+0</x:f>
        <x:v>2025</x:v>
      </x:c>
      <x:c r="D6" s="133" t="n">
        <x:f>'Input'!$D$14+1</x:f>
        <x:v>2026</x:v>
      </x:c>
      <x:c r="E6" s="133" t="n">
        <x:f>'Input'!$D$14+2</x:f>
        <x:v>2027</x:v>
      </x:c>
      <x:c r="F6" s="133" t="n">
        <x:f>'Input'!$D$14+3</x:f>
        <x:v>2028</x:v>
      </x:c>
      <x:c r="G6" s="133" t="n">
        <x:f>'Input'!$D$14+4</x:f>
        <x:v>2029</x:v>
      </x:c>
      <x:c r="H6" s="133" t="n">
        <x:f>'Input'!$D$14+5</x:f>
        <x:v>2030</x:v>
      </x:c>
      <x:c r="I6" s="133" t="n">
        <x:f>'Input'!$D$14+6</x:f>
        <x:v>2031</x:v>
      </x:c>
      <x:c r="J6" s="133" t="n">
        <x:f>'Input'!$D$14+7</x:f>
        <x:v>2032</x:v>
      </x:c>
      <x:c r="K6" s="133" t="n">
        <x:f>'Input'!$D$14+8</x:f>
        <x:v>2033</x:v>
      </x:c>
      <x:c r="L6" s="133" t="n">
        <x:f>'Input'!$D$14+9</x:f>
        <x:v>2034</x:v>
      </x:c>
      <x:c r="M6" s="133" t="n">
        <x:f>'Input'!$D$14+10</x:f>
        <x:v>2035</x:v>
      </x:c>
      <x:c r="N6" s="133" t="n">
        <x:f>'Input'!$D$14+11</x:f>
        <x:v>2036</x:v>
      </x:c>
      <x:c r="O6" s="133" t="n">
        <x:f>'Input'!$D$14+12</x:f>
        <x:v>2037</x:v>
      </x:c>
      <x:c r="P6" s="133" t="n">
        <x:f>'Input'!$D$14+13</x:f>
        <x:v>2038</x:v>
      </x:c>
      <x:c r="Q6" s="133" t="n">
        <x:f>'Input'!$D$14+14</x:f>
        <x:v>2039</x:v>
      </x:c>
      <x:c r="R6" s="133" t="n">
        <x:f>'Input'!$D$14+15</x:f>
        <x:v>2040</x:v>
      </x:c>
      <x:c r="S6" s="133" t="n">
        <x:f>'Input'!$D$14+16</x:f>
        <x:v>2041</x:v>
      </x:c>
      <x:c r="T6" s="133" t="n">
        <x:f>'Input'!$D$14+17</x:f>
        <x:v>2042</x:v>
      </x:c>
      <x:c r="U6" s="133" t="n">
        <x:f>'Input'!$D$14+18</x:f>
        <x:v>2043</x:v>
      </x:c>
      <x:c r="V6" s="133" t="n">
        <x:f>'Input'!$D$14+19</x:f>
        <x:v>2044</x:v>
      </x:c>
      <x:c r="W6" s="133" t="n">
        <x:f>'Input'!$D$14+20</x:f>
        <x:v>2045</x:v>
      </x:c>
      <x:c r="X6" s="133" t="n">
        <x:f>'Input'!$D$14+21</x:f>
        <x:v>2046</x:v>
      </x:c>
      <x:c r="Y6" s="133" t="n">
        <x:f>'Input'!$D$14+22</x:f>
        <x:v>2047</x:v>
      </x:c>
      <x:c r="Z6" s="133" t="n">
        <x:f>'Input'!$D$14+23</x:f>
        <x:v>2048</x:v>
      </x:c>
      <x:c r="AA6" s="133" t="n">
        <x:f>'Input'!$D$14+24</x:f>
        <x:v>2049</x:v>
      </x:c>
      <x:c r="AB6" s="133" t="n">
        <x:f>'Input'!$D$14+25</x:f>
        <x:v>2050</x:v>
      </x:c>
      <x:c r="AC6" s="133" t="n">
        <x:f>'Input'!$D$14+26</x:f>
        <x:v>2051</x:v>
      </x:c>
      <x:c r="AD6" s="133" t="n">
        <x:f>'Input'!$D$14+27</x:f>
        <x:v>2052</x:v>
      </x:c>
      <x:c r="AE6" s="133" t="n">
        <x:f>'Input'!$D$14+28</x:f>
        <x:v>2053</x:v>
      </x:c>
      <x:c r="AF6" s="133" t="n">
        <x:f>'Input'!$D$14+29</x:f>
        <x:v>2054</x:v>
      </x:c>
    </x:row>
    <x:row r="7" ht="15" hidden="0" customHeight="1">
      <x:c r="A7" s="216" t="str"/>
      <x:c r="B7" s="216" t="str">
        <x:v>Kỳ dự án</x:v>
      </x:c>
      <x:c r="C7" s="210" t="n">
        <x:v>0</x:v>
      </x:c>
      <x:c r="D7" s="210" t="n">
        <x:v>1</x:v>
      </x:c>
      <x:c r="E7" s="210" t="n">
        <x:v>2</x:v>
      </x:c>
      <x:c r="F7" s="210" t="n">
        <x:v>3</x:v>
      </x:c>
      <x:c r="G7" s="210" t="n">
        <x:v>4</x:v>
      </x:c>
      <x:c r="H7" s="210" t="n">
        <x:v>5</x:v>
      </x:c>
      <x:c r="I7" s="210" t="n">
        <x:v>6</x:v>
      </x:c>
      <x:c r="J7" s="210" t="n">
        <x:v>7</x:v>
      </x:c>
      <x:c r="K7" s="210" t="n">
        <x:v>8</x:v>
      </x:c>
      <x:c r="L7" s="210" t="n">
        <x:v>9</x:v>
      </x:c>
      <x:c r="M7" s="210" t="n">
        <x:v>10</x:v>
      </x:c>
      <x:c r="N7" s="210" t="n">
        <x:v>11</x:v>
      </x:c>
      <x:c r="O7" s="210" t="n">
        <x:v>12</x:v>
      </x:c>
      <x:c r="P7" s="210" t="n">
        <x:v>13</x:v>
      </x:c>
      <x:c r="Q7" s="210" t="n">
        <x:v>14</x:v>
      </x:c>
      <x:c r="R7" s="210" t="n">
        <x:v>15</x:v>
      </x:c>
      <x:c r="S7" s="210" t="n">
        <x:v>16</x:v>
      </x:c>
      <x:c r="T7" s="210" t="n">
        <x:v>17</x:v>
      </x:c>
      <x:c r="U7" s="210" t="n">
        <x:v>18</x:v>
      </x:c>
      <x:c r="V7" s="210" t="n">
        <x:v>19</x:v>
      </x:c>
      <x:c r="W7" s="210" t="n">
        <x:v>20</x:v>
      </x:c>
      <x:c r="X7" s="210" t="n">
        <x:v>21</x:v>
      </x:c>
      <x:c r="Y7" s="210" t="n">
        <x:v>22</x:v>
      </x:c>
      <x:c r="Z7" s="210" t="n">
        <x:v>23</x:v>
      </x:c>
      <x:c r="AA7" s="210" t="n">
        <x:v>24</x:v>
      </x:c>
      <x:c r="AB7" s="210" t="n">
        <x:v>25</x:v>
      </x:c>
      <x:c r="AC7" s="210" t="n">
        <x:v>26</x:v>
      </x:c>
      <x:c r="AD7" s="210" t="n">
        <x:v>27</x:v>
      </x:c>
      <x:c r="AE7" s="210" t="n">
        <x:v>28</x:v>
      </x:c>
      <x:c r="AF7" s="210" t="n">
        <x:v>29</x:v>
      </x:c>
    </x:row>
    <x:row r="8" ht="15" hidden="0" customHeight="1">
      <x:c r="A8" s="216" t="str"/>
      <x:c r="B8" s="216" t="str">
        <x:v>Cờ xây dựng</x:v>
      </x:c>
      <x:c r="C8" s="210" t="n">
        <x:f>IF(C$6="","",IF(C$6&lt;'Input'!$D$16,1,0))</x:f>
        <x:v>1</x:v>
      </x:c>
      <x:c r="D8" s="210" t="n">
        <x:f>IF(D$6="","",IF(D$6&lt;'Input'!$D$16,1,0))</x:f>
        <x:v>1</x:v>
      </x:c>
      <x:c r="E8" s="210" t="n">
        <x:f>IF(E$6="","",IF(E$6&lt;'Input'!$D$16,1,0))</x:f>
        <x:v>0</x:v>
      </x:c>
      <x:c r="F8" s="210" t="n">
        <x:f>IF(F$6="","",IF(F$6&lt;'Input'!$D$16,1,0))</x:f>
        <x:v>0</x:v>
      </x:c>
      <x:c r="G8" s="210" t="n">
        <x:f>IF(G$6="","",IF(G$6&lt;'Input'!$D$16,1,0))</x:f>
        <x:v>0</x:v>
      </x:c>
      <x:c r="H8" s="210" t="n">
        <x:f>IF(H$6="","",IF(H$6&lt;'Input'!$D$16,1,0))</x:f>
        <x:v>0</x:v>
      </x:c>
      <x:c r="I8" s="210" t="n">
        <x:f>IF(I$6="","",IF(I$6&lt;'Input'!$D$16,1,0))</x:f>
        <x:v>0</x:v>
      </x:c>
      <x:c r="J8" s="210" t="n">
        <x:f>IF(J$6="","",IF(J$6&lt;'Input'!$D$16,1,0))</x:f>
        <x:v>0</x:v>
      </x:c>
      <x:c r="K8" s="210" t="n">
        <x:f>IF(K$6="","",IF(K$6&lt;'Input'!$D$16,1,0))</x:f>
        <x:v>0</x:v>
      </x:c>
      <x:c r="L8" s="210" t="n">
        <x:f>IF(L$6="","",IF(L$6&lt;'Input'!$D$16,1,0))</x:f>
        <x:v>0</x:v>
      </x:c>
      <x:c r="M8" s="210" t="n">
        <x:f>IF(M$6="","",IF(M$6&lt;'Input'!$D$16,1,0))</x:f>
        <x:v>0</x:v>
      </x:c>
      <x:c r="N8" s="210" t="n">
        <x:f>IF(N$6="","",IF(N$6&lt;'Input'!$D$16,1,0))</x:f>
        <x:v>0</x:v>
      </x:c>
      <x:c r="O8" s="210" t="n">
        <x:f>IF(O$6="","",IF(O$6&lt;'Input'!$D$16,1,0))</x:f>
        <x:v>0</x:v>
      </x:c>
      <x:c r="P8" s="210" t="n">
        <x:f>IF(P$6="","",IF(P$6&lt;'Input'!$D$16,1,0))</x:f>
        <x:v>0</x:v>
      </x:c>
      <x:c r="Q8" s="210" t="n">
        <x:f>IF(Q$6="","",IF(Q$6&lt;'Input'!$D$16,1,0))</x:f>
        <x:v>0</x:v>
      </x:c>
      <x:c r="R8" s="210" t="n">
        <x:f>IF(R$6="","",IF(R$6&lt;'Input'!$D$16,1,0))</x:f>
        <x:v>0</x:v>
      </x:c>
      <x:c r="S8" s="210" t="n">
        <x:f>IF(S$6="","",IF(S$6&lt;'Input'!$D$16,1,0))</x:f>
        <x:v>0</x:v>
      </x:c>
      <x:c r="T8" s="210" t="n">
        <x:f>IF(T$6="","",IF(T$6&lt;'Input'!$D$16,1,0))</x:f>
        <x:v>0</x:v>
      </x:c>
      <x:c r="U8" s="210" t="n">
        <x:f>IF(U$6="","",IF(U$6&lt;'Input'!$D$16,1,0))</x:f>
        <x:v>0</x:v>
      </x:c>
      <x:c r="V8" s="210" t="n">
        <x:f>IF(V$6="","",IF(V$6&lt;'Input'!$D$16,1,0))</x:f>
        <x:v>0</x:v>
      </x:c>
      <x:c r="W8" s="210" t="n">
        <x:f>IF(W$6="","",IF(W$6&lt;'Input'!$D$16,1,0))</x:f>
        <x:v>0</x:v>
      </x:c>
      <x:c r="X8" s="210" t="n">
        <x:f>IF(X$6="","",IF(X$6&lt;'Input'!$D$16,1,0))</x:f>
        <x:v>0</x:v>
      </x:c>
      <x:c r="Y8" s="210" t="n">
        <x:f>IF(Y$6="","",IF(Y$6&lt;'Input'!$D$16,1,0))</x:f>
        <x:v>0</x:v>
      </x:c>
      <x:c r="Z8" s="210" t="n">
        <x:f>IF(Z$6="","",IF(Z$6&lt;'Input'!$D$16,1,0))</x:f>
        <x:v>0</x:v>
      </x:c>
      <x:c r="AA8" s="210" t="n">
        <x:f>IF(AA$6="","",IF(AA$6&lt;'Input'!$D$16,1,0))</x:f>
        <x:v>0</x:v>
      </x:c>
      <x:c r="AB8" s="210" t="n">
        <x:f>IF(AB$6="","",IF(AB$6&lt;'Input'!$D$16,1,0))</x:f>
        <x:v>0</x:v>
      </x:c>
      <x:c r="AC8" s="210" t="n">
        <x:f>IF(AC$6="","",IF(AC$6&lt;'Input'!$D$16,1,0))</x:f>
        <x:v>0</x:v>
      </x:c>
      <x:c r="AD8" s="210" t="n">
        <x:f>IF(AD$6="","",IF(AD$6&lt;'Input'!$D$16,1,0))</x:f>
        <x:v>0</x:v>
      </x:c>
      <x:c r="AE8" s="210" t="n">
        <x:f>IF(AE$6="","",IF(AE$6&lt;'Input'!$D$16,1,0))</x:f>
        <x:v>0</x:v>
      </x:c>
      <x:c r="AF8" s="210" t="n">
        <x:f>IF(AF$6="","",IF(AF$6&lt;'Input'!$D$16,1,0))</x:f>
        <x:v>0</x:v>
      </x:c>
    </x:row>
    <x:row r="9" ht="15" hidden="0" customHeight="1">
      <x:c r="A9" s="216" t="str"/>
      <x:c r="B9" s="216" t="str">
        <x:v>Năm vận hành</x:v>
      </x:c>
      <x:c r="C9" s="210" t="n">
        <x:f>IF(C$6="","",IF(AND(C$6&gt;='Input'!$D$16,C$6&lt;='Input'!$D$18),C$6-'Input'!$D$16+1,0))</x:f>
        <x:v>0</x:v>
      </x:c>
      <x:c r="D9" s="210" t="n">
        <x:f>IF(D$6="","",IF(AND(D$6&gt;='Input'!$D$16,D$6&lt;='Input'!$D$18),D$6-'Input'!$D$16+1,0))</x:f>
        <x:v>0</x:v>
      </x:c>
      <x:c r="E9" s="210" t="n">
        <x:f>IF(E$6="","",IF(AND(E$6&gt;='Input'!$D$16,E$6&lt;='Input'!$D$18),E$6-'Input'!$D$16+1,0))</x:f>
        <x:v>1</x:v>
      </x:c>
      <x:c r="F9" s="210" t="n">
        <x:f>IF(F$6="","",IF(AND(F$6&gt;='Input'!$D$16,F$6&lt;='Input'!$D$18),F$6-'Input'!$D$16+1,0))</x:f>
        <x:v>2</x:v>
      </x:c>
      <x:c r="G9" s="210" t="n">
        <x:f>IF(G$6="","",IF(AND(G$6&gt;='Input'!$D$16,G$6&lt;='Input'!$D$18),G$6-'Input'!$D$16+1,0))</x:f>
        <x:v>3</x:v>
      </x:c>
      <x:c r="H9" s="210" t="n">
        <x:f>IF(H$6="","",IF(AND(H$6&gt;='Input'!$D$16,H$6&lt;='Input'!$D$18),H$6-'Input'!$D$16+1,0))</x:f>
        <x:v>4</x:v>
      </x:c>
      <x:c r="I9" s="210" t="n">
        <x:f>IF(I$6="","",IF(AND(I$6&gt;='Input'!$D$16,I$6&lt;='Input'!$D$18),I$6-'Input'!$D$16+1,0))</x:f>
        <x:v>5</x:v>
      </x:c>
      <x:c r="J9" s="210" t="n">
        <x:f>IF(J$6="","",IF(AND(J$6&gt;='Input'!$D$16,J$6&lt;='Input'!$D$18),J$6-'Input'!$D$16+1,0))</x:f>
        <x:v>6</x:v>
      </x:c>
      <x:c r="K9" s="210" t="n">
        <x:f>IF(K$6="","",IF(AND(K$6&gt;='Input'!$D$16,K$6&lt;='Input'!$D$18),K$6-'Input'!$D$16+1,0))</x:f>
        <x:v>7</x:v>
      </x:c>
      <x:c r="L9" s="210" t="n">
        <x:f>IF(L$6="","",IF(AND(L$6&gt;='Input'!$D$16,L$6&lt;='Input'!$D$18),L$6-'Input'!$D$16+1,0))</x:f>
        <x:v>8</x:v>
      </x:c>
      <x:c r="M9" s="210" t="n">
        <x:f>IF(M$6="","",IF(AND(M$6&gt;='Input'!$D$16,M$6&lt;='Input'!$D$18),M$6-'Input'!$D$16+1,0))</x:f>
        <x:v>9</x:v>
      </x:c>
      <x:c r="N9" s="210" t="n">
        <x:f>IF(N$6="","",IF(AND(N$6&gt;='Input'!$D$16,N$6&lt;='Input'!$D$18),N$6-'Input'!$D$16+1,0))</x:f>
        <x:v>10</x:v>
      </x:c>
      <x:c r="O9" s="210" t="n">
        <x:f>IF(O$6="","",IF(AND(O$6&gt;='Input'!$D$16,O$6&lt;='Input'!$D$18),O$6-'Input'!$D$16+1,0))</x:f>
        <x:v>11</x:v>
      </x:c>
      <x:c r="P9" s="210" t="n">
        <x:f>IF(P$6="","",IF(AND(P$6&gt;='Input'!$D$16,P$6&lt;='Input'!$D$18),P$6-'Input'!$D$16+1,0))</x:f>
        <x:v>12</x:v>
      </x:c>
      <x:c r="Q9" s="210" t="n">
        <x:f>IF(Q$6="","",IF(AND(Q$6&gt;='Input'!$D$16,Q$6&lt;='Input'!$D$18),Q$6-'Input'!$D$16+1,0))</x:f>
        <x:v>13</x:v>
      </x:c>
      <x:c r="R9" s="210" t="n">
        <x:f>IF(R$6="","",IF(AND(R$6&gt;='Input'!$D$16,R$6&lt;='Input'!$D$18),R$6-'Input'!$D$16+1,0))</x:f>
        <x:v>14</x:v>
      </x:c>
      <x:c r="S9" s="210" t="n">
        <x:f>IF(S$6="","",IF(AND(S$6&gt;='Input'!$D$16,S$6&lt;='Input'!$D$18),S$6-'Input'!$D$16+1,0))</x:f>
        <x:v>15</x:v>
      </x:c>
      <x:c r="T9" s="210" t="n">
        <x:f>IF(T$6="","",IF(AND(T$6&gt;='Input'!$D$16,T$6&lt;='Input'!$D$18),T$6-'Input'!$D$16+1,0))</x:f>
        <x:v>16</x:v>
      </x:c>
      <x:c r="U9" s="210" t="n">
        <x:f>IF(U$6="","",IF(AND(U$6&gt;='Input'!$D$16,U$6&lt;='Input'!$D$18),U$6-'Input'!$D$16+1,0))</x:f>
        <x:v>17</x:v>
      </x:c>
      <x:c r="V9" s="210" t="n">
        <x:f>IF(V$6="","",IF(AND(V$6&gt;='Input'!$D$16,V$6&lt;='Input'!$D$18),V$6-'Input'!$D$16+1,0))</x:f>
        <x:v>18</x:v>
      </x:c>
      <x:c r="W9" s="210" t="n">
        <x:f>IF(W$6="","",IF(AND(W$6&gt;='Input'!$D$16,W$6&lt;='Input'!$D$18),W$6-'Input'!$D$16+1,0))</x:f>
        <x:v>19</x:v>
      </x:c>
      <x:c r="X9" s="210" t="n">
        <x:f>IF(X$6="","",IF(AND(X$6&gt;='Input'!$D$16,X$6&lt;='Input'!$D$18),X$6-'Input'!$D$16+1,0))</x:f>
        <x:v>20</x:v>
      </x:c>
      <x:c r="Y9" s="210" t="n">
        <x:f>IF(Y$6="","",IF(AND(Y$6&gt;='Input'!$D$16,Y$6&lt;='Input'!$D$18),Y$6-'Input'!$D$16+1,0))</x:f>
        <x:v>0</x:v>
      </x:c>
      <x:c r="Z9" s="210" t="n">
        <x:f>IF(Z$6="","",IF(AND(Z$6&gt;='Input'!$D$16,Z$6&lt;='Input'!$D$18),Z$6-'Input'!$D$16+1,0))</x:f>
        <x:v>0</x:v>
      </x:c>
      <x:c r="AA9" s="210" t="n">
        <x:f>IF(AA$6="","",IF(AND(AA$6&gt;='Input'!$D$16,AA$6&lt;='Input'!$D$18),AA$6-'Input'!$D$16+1,0))</x:f>
        <x:v>0</x:v>
      </x:c>
      <x:c r="AB9" s="210" t="n">
        <x:f>IF(AB$6="","",IF(AND(AB$6&gt;='Input'!$D$16,AB$6&lt;='Input'!$D$18),AB$6-'Input'!$D$16+1,0))</x:f>
        <x:v>0</x:v>
      </x:c>
      <x:c r="AC9" s="210" t="n">
        <x:f>IF(AC$6="","",IF(AND(AC$6&gt;='Input'!$D$16,AC$6&lt;='Input'!$D$18),AC$6-'Input'!$D$16+1,0))</x:f>
        <x:v>0</x:v>
      </x:c>
      <x:c r="AD9" s="210" t="n">
        <x:f>IF(AD$6="","",IF(AND(AD$6&gt;='Input'!$D$16,AD$6&lt;='Input'!$D$18),AD$6-'Input'!$D$16+1,0))</x:f>
        <x:v>0</x:v>
      </x:c>
      <x:c r="AE9" s="210" t="n">
        <x:f>IF(AE$6="","",IF(AND(AE$6&gt;='Input'!$D$16,AE$6&lt;='Input'!$D$18),AE$6-'Input'!$D$16+1,0))</x:f>
        <x:v>0</x:v>
      </x:c>
      <x:c r="AF9" s="210" t="n">
        <x:f>IF(AF$6="","",IF(AND(AF$6&gt;='Input'!$D$16,AF$6&lt;='Input'!$D$18),AF$6-'Input'!$D$16+1,0))</x:f>
        <x:v>0</x:v>
      </x:c>
    </x:row>
    <x:row r="10" ht="15" hidden="0" customHeight="1">
      <x:c r="A10" s="216"/>
      <x:c r="B10" s="216"/>
      <x:c r="C10" s="209"/>
      <x:c r="D10" s="209"/>
      <x:c r="E10" s="209"/>
      <x:c r="F10" s="209"/>
      <x:c r="G10" s="209"/>
      <x:c r="H10" s="209"/>
      <x:c r="I10" s="209"/>
      <x:c r="J10" s="209"/>
      <x:c r="K10" s="209"/>
      <x:c r="L10" s="209"/>
      <x:c r="M10" s="209"/>
      <x:c r="N10" s="209"/>
      <x:c r="O10" s="209"/>
      <x:c r="P10" s="209"/>
      <x:c r="Q10" s="209"/>
      <x:c r="R10" s="209"/>
      <x:c r="S10" s="209"/>
      <x:c r="T10" s="209"/>
      <x:c r="U10" s="209"/>
      <x:c r="V10" s="209"/>
      <x:c r="W10" s="209"/>
      <x:c r="X10" s="209"/>
      <x:c r="Y10" s="209"/>
      <x:c r="Z10" s="209"/>
      <x:c r="AA10" s="209"/>
      <x:c r="AB10" s="209"/>
      <x:c r="AC10" s="209"/>
      <x:c r="AD10" s="209"/>
      <x:c r="AE10" s="209"/>
      <x:c r="AF10" s="209"/>
    </x:row>
    <x:row r="11" ht="15" hidden="0" customHeight="1">
      <x:c r="A11" s="218" t="str">
        <x:v>1. TIẾN ĐỘ VỐN ĐẦU TƯ</x:v>
      </x:c>
      <x:c r="B11" s="218"/>
      <x:c r="C11" s="142"/>
      <x:c r="D11" s="142"/>
      <x:c r="E11" s="142"/>
      <x:c r="F11" s="142"/>
      <x:c r="G11" s="142"/>
      <x:c r="H11" s="142"/>
      <x:c r="I11" s="142"/>
      <x:c r="J11" s="142"/>
      <x:c r="K11" s="142"/>
      <x:c r="L11" s="142"/>
      <x:c r="M11" s="142"/>
      <x:c r="N11" s="142"/>
      <x:c r="O11" s="142"/>
      <x:c r="P11" s="142"/>
      <x:c r="Q11" s="142"/>
      <x:c r="R11" s="142"/>
      <x:c r="S11" s="142"/>
      <x:c r="T11" s="142"/>
      <x:c r="U11" s="142"/>
      <x:c r="V11" s="142"/>
      <x:c r="W11" s="142"/>
      <x:c r="X11" s="142"/>
      <x:c r="Y11" s="142"/>
      <x:c r="Z11" s="142"/>
      <x:c r="AA11" s="142"/>
      <x:c r="AB11" s="142"/>
      <x:c r="AC11" s="142"/>
      <x:c r="AD11" s="142"/>
      <x:c r="AE11" s="142"/>
      <x:c r="AF11" s="142"/>
    </x:row>
    <x:row r="12" ht="15" hidden="0" customHeight="1">
      <x:c r="A12" s="219" t="str">
        <x:v>CAP-01</x:v>
      </x:c>
      <x:c r="B12" s="219" t="str">
        <x:v>Tỷ lệ giải ngân</x:v>
      </x:c>
      <x:c r="C12" s="147" t="n">
        <x:f>IF(C$8=1,INDEX('Input'!$D$32:$D$36,C$7+1),0)</x:f>
        <x:v>0.4</x:v>
      </x:c>
      <x:c r="D12" s="147" t="n">
        <x:f>IF(D$8=1,INDEX('Input'!$D$32:$D$36,D$7+1),0)</x:f>
        <x:v>0.6</x:v>
      </x:c>
      <x:c r="E12" s="147" t="n">
        <x:f>IF(E$8=1,INDEX('Input'!$D$32:$D$36,E$7+1),0)</x:f>
        <x:v>0</x:v>
      </x:c>
      <x:c r="F12" s="147" t="n">
        <x:f>IF(F$8=1,INDEX('Input'!$D$32:$D$36,F$7+1),0)</x:f>
        <x:v>0</x:v>
      </x:c>
      <x:c r="G12" s="147" t="n">
        <x:f>IF(G$8=1,INDEX('Input'!$D$32:$D$36,G$7+1),0)</x:f>
        <x:v>0</x:v>
      </x:c>
      <x:c r="H12" s="147" t="n">
        <x:f>IF(H$8=1,INDEX('Input'!$D$32:$D$36,H$7+1),0)</x:f>
        <x:v>0</x:v>
      </x:c>
      <x:c r="I12" s="147" t="n">
        <x:f>IF(I$8=1,INDEX('Input'!$D$32:$D$36,I$7+1),0)</x:f>
        <x:v>0</x:v>
      </x:c>
      <x:c r="J12" s="147" t="n">
        <x:f>IF(J$8=1,INDEX('Input'!$D$32:$D$36,J$7+1),0)</x:f>
        <x:v>0</x:v>
      </x:c>
      <x:c r="K12" s="147" t="n">
        <x:f>IF(K$8=1,INDEX('Input'!$D$32:$D$36,K$7+1),0)</x:f>
        <x:v>0</x:v>
      </x:c>
      <x:c r="L12" s="147" t="n">
        <x:f>IF(L$8=1,INDEX('Input'!$D$32:$D$36,L$7+1),0)</x:f>
        <x:v>0</x:v>
      </x:c>
      <x:c r="M12" s="147" t="n">
        <x:f>IF(M$8=1,INDEX('Input'!$D$32:$D$36,M$7+1),0)</x:f>
        <x:v>0</x:v>
      </x:c>
      <x:c r="N12" s="147" t="n">
        <x:f>IF(N$8=1,INDEX('Input'!$D$32:$D$36,N$7+1),0)</x:f>
        <x:v>0</x:v>
      </x:c>
      <x:c r="O12" s="147" t="n">
        <x:f>IF(O$8=1,INDEX('Input'!$D$32:$D$36,O$7+1),0)</x:f>
        <x:v>0</x:v>
      </x:c>
      <x:c r="P12" s="147" t="n">
        <x:f>IF(P$8=1,INDEX('Input'!$D$32:$D$36,P$7+1),0)</x:f>
        <x:v>0</x:v>
      </x:c>
      <x:c r="Q12" s="147" t="n">
        <x:f>IF(Q$8=1,INDEX('Input'!$D$32:$D$36,Q$7+1),0)</x:f>
        <x:v>0</x:v>
      </x:c>
      <x:c r="R12" s="147" t="n">
        <x:f>IF(R$8=1,INDEX('Input'!$D$32:$D$36,R$7+1),0)</x:f>
        <x:v>0</x:v>
      </x:c>
      <x:c r="S12" s="147" t="n">
        <x:f>IF(S$8=1,INDEX('Input'!$D$32:$D$36,S$7+1),0)</x:f>
        <x:v>0</x:v>
      </x:c>
      <x:c r="T12" s="147" t="n">
        <x:f>IF(T$8=1,INDEX('Input'!$D$32:$D$36,T$7+1),0)</x:f>
        <x:v>0</x:v>
      </x:c>
      <x:c r="U12" s="147" t="n">
        <x:f>IF(U$8=1,INDEX('Input'!$D$32:$D$36,U$7+1),0)</x:f>
        <x:v>0</x:v>
      </x:c>
      <x:c r="V12" s="147" t="n">
        <x:f>IF(V$8=1,INDEX('Input'!$D$32:$D$36,V$7+1),0)</x:f>
        <x:v>0</x:v>
      </x:c>
      <x:c r="W12" s="147" t="n">
        <x:f>IF(W$8=1,INDEX('Input'!$D$32:$D$36,W$7+1),0)</x:f>
        <x:v>0</x:v>
      </x:c>
      <x:c r="X12" s="147" t="n">
        <x:f>IF(X$8=1,INDEX('Input'!$D$32:$D$36,X$7+1),0)</x:f>
        <x:v>0</x:v>
      </x:c>
      <x:c r="Y12" s="147" t="n">
        <x:f>IF(Y$8=1,INDEX('Input'!$D$32:$D$36,Y$7+1),0)</x:f>
        <x:v>0</x:v>
      </x:c>
      <x:c r="Z12" s="147" t="n">
        <x:f>IF(Z$8=1,INDEX('Input'!$D$32:$D$36,Z$7+1),0)</x:f>
        <x:v>0</x:v>
      </x:c>
      <x:c r="AA12" s="147" t="n">
        <x:f>IF(AA$8=1,INDEX('Input'!$D$32:$D$36,AA$7+1),0)</x:f>
        <x:v>0</x:v>
      </x:c>
      <x:c r="AB12" s="147" t="n">
        <x:f>IF(AB$8=1,INDEX('Input'!$D$32:$D$36,AB$7+1),0)</x:f>
        <x:v>0</x:v>
      </x:c>
      <x:c r="AC12" s="147" t="n">
        <x:f>IF(AC$8=1,INDEX('Input'!$D$32:$D$36,AC$7+1),0)</x:f>
        <x:v>0</x:v>
      </x:c>
      <x:c r="AD12" s="147" t="n">
        <x:f>IF(AD$8=1,INDEX('Input'!$D$32:$D$36,AD$7+1),0)</x:f>
        <x:v>0</x:v>
      </x:c>
      <x:c r="AE12" s="147" t="n">
        <x:f>IF(AE$8=1,INDEX('Input'!$D$32:$D$36,AE$7+1),0)</x:f>
        <x:v>0</x:v>
      </x:c>
      <x:c r="AF12" s="147" t="n">
        <x:f>IF(AF$8=1,INDEX('Input'!$D$32:$D$36,AF$7+1),0)</x:f>
        <x:v>0</x:v>
      </x:c>
    </x:row>
    <x:row r="13" ht="15" hidden="0" customHeight="1">
      <x:c r="A13" s="219" t="str">
        <x:v>CAP-02</x:v>
      </x:c>
      <x:c r="B13" s="220" t="str">
        <x:v>CAPEX chưa VAT</x:v>
      </x:c>
      <x:c r="C13" s="150" t="n">
        <x:f>'Input'!$D$21*C12</x:f>
        <x:v>2232</x:v>
      </x:c>
      <x:c r="D13" s="150" t="n">
        <x:f>'Input'!$D$21*D12</x:f>
        <x:v>3348</x:v>
      </x:c>
      <x:c r="E13" s="150" t="n">
        <x:f>'Input'!$D$21*E12</x:f>
        <x:v>0</x:v>
      </x:c>
      <x:c r="F13" s="150" t="n">
        <x:f>'Input'!$D$21*F12</x:f>
        <x:v>0</x:v>
      </x:c>
      <x:c r="G13" s="150" t="n">
        <x:f>'Input'!$D$21*G12</x:f>
        <x:v>0</x:v>
      </x:c>
      <x:c r="H13" s="150" t="n">
        <x:f>'Input'!$D$21*H12</x:f>
        <x:v>0</x:v>
      </x:c>
      <x:c r="I13" s="150" t="n">
        <x:f>'Input'!$D$21*I12</x:f>
        <x:v>0</x:v>
      </x:c>
      <x:c r="J13" s="150" t="n">
        <x:f>'Input'!$D$21*J12</x:f>
        <x:v>0</x:v>
      </x:c>
      <x:c r="K13" s="150" t="n">
        <x:f>'Input'!$D$21*K12</x:f>
        <x:v>0</x:v>
      </x:c>
      <x:c r="L13" s="150" t="n">
        <x:f>'Input'!$D$21*L12</x:f>
        <x:v>0</x:v>
      </x:c>
      <x:c r="M13" s="150" t="n">
        <x:f>'Input'!$D$21*M12</x:f>
        <x:v>0</x:v>
      </x:c>
      <x:c r="N13" s="150" t="n">
        <x:f>'Input'!$D$21*N12</x:f>
        <x:v>0</x:v>
      </x:c>
      <x:c r="O13" s="150" t="n">
        <x:f>'Input'!$D$21*O12</x:f>
        <x:v>0</x:v>
      </x:c>
      <x:c r="P13" s="150" t="n">
        <x:f>'Input'!$D$21*P12</x:f>
        <x:v>0</x:v>
      </x:c>
      <x:c r="Q13" s="150" t="n">
        <x:f>'Input'!$D$21*Q12</x:f>
        <x:v>0</x:v>
      </x:c>
      <x:c r="R13" s="150" t="n">
        <x:f>'Input'!$D$21*R12</x:f>
        <x:v>0</x:v>
      </x:c>
      <x:c r="S13" s="150" t="n">
        <x:f>'Input'!$D$21*S12</x:f>
        <x:v>0</x:v>
      </x:c>
      <x:c r="T13" s="150" t="n">
        <x:f>'Input'!$D$21*T12</x:f>
        <x:v>0</x:v>
      </x:c>
      <x:c r="U13" s="150" t="n">
        <x:f>'Input'!$D$21*U12</x:f>
        <x:v>0</x:v>
      </x:c>
      <x:c r="V13" s="150" t="n">
        <x:f>'Input'!$D$21*V12</x:f>
        <x:v>0</x:v>
      </x:c>
      <x:c r="W13" s="150" t="n">
        <x:f>'Input'!$D$21*W12</x:f>
        <x:v>0</x:v>
      </x:c>
      <x:c r="X13" s="150" t="n">
        <x:f>'Input'!$D$21*X12</x:f>
        <x:v>0</x:v>
      </x:c>
      <x:c r="Y13" s="150" t="n">
        <x:f>'Input'!$D$21*Y12</x:f>
        <x:v>0</x:v>
      </x:c>
      <x:c r="Z13" s="150" t="n">
        <x:f>'Input'!$D$21*Z12</x:f>
        <x:v>0</x:v>
      </x:c>
      <x:c r="AA13" s="150" t="n">
        <x:f>'Input'!$D$21*AA12</x:f>
        <x:v>0</x:v>
      </x:c>
      <x:c r="AB13" s="150" t="n">
        <x:f>'Input'!$D$21*AB12</x:f>
        <x:v>0</x:v>
      </x:c>
      <x:c r="AC13" s="150" t="n">
        <x:f>'Input'!$D$21*AC12</x:f>
        <x:v>0</x:v>
      </x:c>
      <x:c r="AD13" s="150" t="n">
        <x:f>'Input'!$D$21*AD12</x:f>
        <x:v>0</x:v>
      </x:c>
      <x:c r="AE13" s="150" t="n">
        <x:f>'Input'!$D$21*AE12</x:f>
        <x:v>0</x:v>
      </x:c>
      <x:c r="AF13" s="150" t="n">
        <x:f>'Input'!$D$21*AF12</x:f>
        <x:v>0</x:v>
      </x:c>
    </x:row>
    <x:row r="14" ht="15" hidden="0" customHeight="1">
      <x:c r="A14" s="219" t="str">
        <x:v>CAP-03</x:v>
      </x:c>
      <x:c r="B14" s="219" t="str">
        <x:v>VAT đầu vào</x:v>
      </x:c>
      <x:c r="C14" s="153" t="n">
        <x:f>C13*'Input'!$D$23</x:f>
        <x:v>223.20000000000002</x:v>
      </x:c>
      <x:c r="D14" s="153" t="n">
        <x:f>D13*'Input'!$D$23</x:f>
        <x:v>334.8</x:v>
      </x:c>
      <x:c r="E14" s="153" t="n">
        <x:f>E13*'Input'!$D$23</x:f>
        <x:v>0</x:v>
      </x:c>
      <x:c r="F14" s="153" t="n">
        <x:f>F13*'Input'!$D$23</x:f>
        <x:v>0</x:v>
      </x:c>
      <x:c r="G14" s="153" t="n">
        <x:f>G13*'Input'!$D$23</x:f>
        <x:v>0</x:v>
      </x:c>
      <x:c r="H14" s="153" t="n">
        <x:f>H13*'Input'!$D$23</x:f>
        <x:v>0</x:v>
      </x:c>
      <x:c r="I14" s="153" t="n">
        <x:f>I13*'Input'!$D$23</x:f>
        <x:v>0</x:v>
      </x:c>
      <x:c r="J14" s="153" t="n">
        <x:f>J13*'Input'!$D$23</x:f>
        <x:v>0</x:v>
      </x:c>
      <x:c r="K14" s="153" t="n">
        <x:f>K13*'Input'!$D$23</x:f>
        <x:v>0</x:v>
      </x:c>
      <x:c r="L14" s="153" t="n">
        <x:f>L13*'Input'!$D$23</x:f>
        <x:v>0</x:v>
      </x:c>
      <x:c r="M14" s="153" t="n">
        <x:f>M13*'Input'!$D$23</x:f>
        <x:v>0</x:v>
      </x:c>
      <x:c r="N14" s="153" t="n">
        <x:f>N13*'Input'!$D$23</x:f>
        <x:v>0</x:v>
      </x:c>
      <x:c r="O14" s="153" t="n">
        <x:f>O13*'Input'!$D$23</x:f>
        <x:v>0</x:v>
      </x:c>
      <x:c r="P14" s="153" t="n">
        <x:f>P13*'Input'!$D$23</x:f>
        <x:v>0</x:v>
      </x:c>
      <x:c r="Q14" s="153" t="n">
        <x:f>Q13*'Input'!$D$23</x:f>
        <x:v>0</x:v>
      </x:c>
      <x:c r="R14" s="153" t="n">
        <x:f>R13*'Input'!$D$23</x:f>
        <x:v>0</x:v>
      </x:c>
      <x:c r="S14" s="153" t="n">
        <x:f>S13*'Input'!$D$23</x:f>
        <x:v>0</x:v>
      </x:c>
      <x:c r="T14" s="153" t="n">
        <x:f>T13*'Input'!$D$23</x:f>
        <x:v>0</x:v>
      </x:c>
      <x:c r="U14" s="153" t="n">
        <x:f>U13*'Input'!$D$23</x:f>
        <x:v>0</x:v>
      </x:c>
      <x:c r="V14" s="153" t="n">
        <x:f>V13*'Input'!$D$23</x:f>
        <x:v>0</x:v>
      </x:c>
      <x:c r="W14" s="153" t="n">
        <x:f>W13*'Input'!$D$23</x:f>
        <x:v>0</x:v>
      </x:c>
      <x:c r="X14" s="153" t="n">
        <x:f>X13*'Input'!$D$23</x:f>
        <x:v>0</x:v>
      </x:c>
      <x:c r="Y14" s="153" t="n">
        <x:f>Y13*'Input'!$D$23</x:f>
        <x:v>0</x:v>
      </x:c>
      <x:c r="Z14" s="153" t="n">
        <x:f>Z13*'Input'!$D$23</x:f>
        <x:v>0</x:v>
      </x:c>
      <x:c r="AA14" s="153" t="n">
        <x:f>AA13*'Input'!$D$23</x:f>
        <x:v>0</x:v>
      </x:c>
      <x:c r="AB14" s="153" t="n">
        <x:f>AB13*'Input'!$D$23</x:f>
        <x:v>0</x:v>
      </x:c>
      <x:c r="AC14" s="153" t="n">
        <x:f>AC13*'Input'!$D$23</x:f>
        <x:v>0</x:v>
      </x:c>
      <x:c r="AD14" s="153" t="n">
        <x:f>AD13*'Input'!$D$23</x:f>
        <x:v>0</x:v>
      </x:c>
      <x:c r="AE14" s="153" t="n">
        <x:f>AE13*'Input'!$D$23</x:f>
        <x:v>0</x:v>
      </x:c>
      <x:c r="AF14" s="153" t="n">
        <x:f>AF13*'Input'!$D$23</x:f>
        <x:v>0</x:v>
      </x:c>
    </x:row>
    <x:row r="15" ht="15" hidden="0" customHeight="1">
      <x:c r="A15" s="219" t="str">
        <x:v>CAP-04</x:v>
      </x:c>
      <x:c r="B15" s="220" t="str">
        <x:v>Chi đầu tư bao gồm VAT</x:v>
      </x:c>
      <x:c r="C15" s="150" t="n">
        <x:f>SUM(C13:C14)</x:f>
        <x:v>2455.2</x:v>
      </x:c>
      <x:c r="D15" s="150" t="n">
        <x:f>SUM(D13:D14)</x:f>
        <x:v>3682.8</x:v>
      </x:c>
      <x:c r="E15" s="150" t="n">
        <x:f>SUM(E13:E14)</x:f>
        <x:v>0</x:v>
      </x:c>
      <x:c r="F15" s="150" t="n">
        <x:f>SUM(F13:F14)</x:f>
        <x:v>0</x:v>
      </x:c>
      <x:c r="G15" s="150" t="n">
        <x:f>SUM(G13:G14)</x:f>
        <x:v>0</x:v>
      </x:c>
      <x:c r="H15" s="150" t="n">
        <x:f>SUM(H13:H14)</x:f>
        <x:v>0</x:v>
      </x:c>
      <x:c r="I15" s="150" t="n">
        <x:f>SUM(I13:I14)</x:f>
        <x:v>0</x:v>
      </x:c>
      <x:c r="J15" s="150" t="n">
        <x:f>SUM(J13:J14)</x:f>
        <x:v>0</x:v>
      </x:c>
      <x:c r="K15" s="150" t="n">
        <x:f>SUM(K13:K14)</x:f>
        <x:v>0</x:v>
      </x:c>
      <x:c r="L15" s="150" t="n">
        <x:f>SUM(L13:L14)</x:f>
        <x:v>0</x:v>
      </x:c>
      <x:c r="M15" s="150" t="n">
        <x:f>SUM(M13:M14)</x:f>
        <x:v>0</x:v>
      </x:c>
      <x:c r="N15" s="150" t="n">
        <x:f>SUM(N13:N14)</x:f>
        <x:v>0</x:v>
      </x:c>
      <x:c r="O15" s="150" t="n">
        <x:f>SUM(O13:O14)</x:f>
        <x:v>0</x:v>
      </x:c>
      <x:c r="P15" s="150" t="n">
        <x:f>SUM(P13:P14)</x:f>
        <x:v>0</x:v>
      </x:c>
      <x:c r="Q15" s="150" t="n">
        <x:f>SUM(Q13:Q14)</x:f>
        <x:v>0</x:v>
      </x:c>
      <x:c r="R15" s="150" t="n">
        <x:f>SUM(R13:R14)</x:f>
        <x:v>0</x:v>
      </x:c>
      <x:c r="S15" s="150" t="n">
        <x:f>SUM(S13:S14)</x:f>
        <x:v>0</x:v>
      </x:c>
      <x:c r="T15" s="150" t="n">
        <x:f>SUM(T13:T14)</x:f>
        <x:v>0</x:v>
      </x:c>
      <x:c r="U15" s="150" t="n">
        <x:f>SUM(U13:U14)</x:f>
        <x:v>0</x:v>
      </x:c>
      <x:c r="V15" s="150" t="n">
        <x:f>SUM(V13:V14)</x:f>
        <x:v>0</x:v>
      </x:c>
      <x:c r="W15" s="150" t="n">
        <x:f>SUM(W13:W14)</x:f>
        <x:v>0</x:v>
      </x:c>
      <x:c r="X15" s="150" t="n">
        <x:f>SUM(X13:X14)</x:f>
        <x:v>0</x:v>
      </x:c>
      <x:c r="Y15" s="150" t="n">
        <x:f>SUM(Y13:Y14)</x:f>
        <x:v>0</x:v>
      </x:c>
      <x:c r="Z15" s="150" t="n">
        <x:f>SUM(Z13:Z14)</x:f>
        <x:v>0</x:v>
      </x:c>
      <x:c r="AA15" s="150" t="n">
        <x:f>SUM(AA13:AA14)</x:f>
        <x:v>0</x:v>
      </x:c>
      <x:c r="AB15" s="150" t="n">
        <x:f>SUM(AB13:AB14)</x:f>
        <x:v>0</x:v>
      </x:c>
      <x:c r="AC15" s="150" t="n">
        <x:f>SUM(AC13:AC14)</x:f>
        <x:v>0</x:v>
      </x:c>
      <x:c r="AD15" s="150" t="n">
        <x:f>SUM(AD13:AD14)</x:f>
        <x:v>0</x:v>
      </x:c>
      <x:c r="AE15" s="150" t="n">
        <x:f>SUM(AE13:AE14)</x:f>
        <x:v>0</x:v>
      </x:c>
      <x:c r="AF15" s="150" t="n">
        <x:f>SUM(AF13:AF14)</x:f>
        <x:v>0</x:v>
      </x:c>
    </x:row>
    <x:row r="16" ht="15" hidden="0" customHeight="1">
      <x:c r="A16" s="219" t="str">
        <x:v>CAP-05</x:v>
      </x:c>
      <x:c r="B16" s="219" t="str">
        <x:v>VAT đủ điều kiện hoàn/khấu trừ</x:v>
      </x:c>
      <x:c r="C16" s="153" t="n">
        <x:f>C14*'Input'!$D$24</x:f>
        <x:v>223.20000000000002</x:v>
      </x:c>
      <x:c r="D16" s="153" t="n">
        <x:f>D14*'Input'!$D$24</x:f>
        <x:v>334.8</x:v>
      </x:c>
      <x:c r="E16" s="153" t="n">
        <x:f>E14*'Input'!$D$24</x:f>
        <x:v>0</x:v>
      </x:c>
      <x:c r="F16" s="153" t="n">
        <x:f>F14*'Input'!$D$24</x:f>
        <x:v>0</x:v>
      </x:c>
      <x:c r="G16" s="153" t="n">
        <x:f>G14*'Input'!$D$24</x:f>
        <x:v>0</x:v>
      </x:c>
      <x:c r="H16" s="153" t="n">
        <x:f>H14*'Input'!$D$24</x:f>
        <x:v>0</x:v>
      </x:c>
      <x:c r="I16" s="153" t="n">
        <x:f>I14*'Input'!$D$24</x:f>
        <x:v>0</x:v>
      </x:c>
      <x:c r="J16" s="153" t="n">
        <x:f>J14*'Input'!$D$24</x:f>
        <x:v>0</x:v>
      </x:c>
      <x:c r="K16" s="153" t="n">
        <x:f>K14*'Input'!$D$24</x:f>
        <x:v>0</x:v>
      </x:c>
      <x:c r="L16" s="153" t="n">
        <x:f>L14*'Input'!$D$24</x:f>
        <x:v>0</x:v>
      </x:c>
      <x:c r="M16" s="153" t="n">
        <x:f>M14*'Input'!$D$24</x:f>
        <x:v>0</x:v>
      </x:c>
      <x:c r="N16" s="153" t="n">
        <x:f>N14*'Input'!$D$24</x:f>
        <x:v>0</x:v>
      </x:c>
      <x:c r="O16" s="153" t="n">
        <x:f>O14*'Input'!$D$24</x:f>
        <x:v>0</x:v>
      </x:c>
      <x:c r="P16" s="153" t="n">
        <x:f>P14*'Input'!$D$24</x:f>
        <x:v>0</x:v>
      </x:c>
      <x:c r="Q16" s="153" t="n">
        <x:f>Q14*'Input'!$D$24</x:f>
        <x:v>0</x:v>
      </x:c>
      <x:c r="R16" s="153" t="n">
        <x:f>R14*'Input'!$D$24</x:f>
        <x:v>0</x:v>
      </x:c>
      <x:c r="S16" s="153" t="n">
        <x:f>S14*'Input'!$D$24</x:f>
        <x:v>0</x:v>
      </x:c>
      <x:c r="T16" s="153" t="n">
        <x:f>T14*'Input'!$D$24</x:f>
        <x:v>0</x:v>
      </x:c>
      <x:c r="U16" s="153" t="n">
        <x:f>U14*'Input'!$D$24</x:f>
        <x:v>0</x:v>
      </x:c>
      <x:c r="V16" s="153" t="n">
        <x:f>V14*'Input'!$D$24</x:f>
        <x:v>0</x:v>
      </x:c>
      <x:c r="W16" s="153" t="n">
        <x:f>W14*'Input'!$D$24</x:f>
        <x:v>0</x:v>
      </x:c>
      <x:c r="X16" s="153" t="n">
        <x:f>X14*'Input'!$D$24</x:f>
        <x:v>0</x:v>
      </x:c>
      <x:c r="Y16" s="153" t="n">
        <x:f>Y14*'Input'!$D$24</x:f>
        <x:v>0</x:v>
      </x:c>
      <x:c r="Z16" s="153" t="n">
        <x:f>Z14*'Input'!$D$24</x:f>
        <x:v>0</x:v>
      </x:c>
      <x:c r="AA16" s="153" t="n">
        <x:f>AA14*'Input'!$D$24</x:f>
        <x:v>0</x:v>
      </x:c>
      <x:c r="AB16" s="153" t="n">
        <x:f>AB14*'Input'!$D$24</x:f>
        <x:v>0</x:v>
      </x:c>
      <x:c r="AC16" s="153" t="n">
        <x:f>AC14*'Input'!$D$24</x:f>
        <x:v>0</x:v>
      </x:c>
      <x:c r="AD16" s="153" t="n">
        <x:f>AD14*'Input'!$D$24</x:f>
        <x:v>0</x:v>
      </x:c>
      <x:c r="AE16" s="153" t="n">
        <x:f>AE14*'Input'!$D$24</x:f>
        <x:v>0</x:v>
      </x:c>
      <x:c r="AF16" s="153" t="n">
        <x:f>AF14*'Input'!$D$24</x:f>
        <x:v>0</x:v>
      </x:c>
    </x:row>
    <x:row r="17" ht="15" hidden="0" customHeight="1">
      <x:c r="A17" s="219" t="str">
        <x:v>CAP-06</x:v>
      </x:c>
      <x:c r="B17" s="219" t="str">
        <x:v>VAT nhận hoàn/khấu trừ</x:v>
      </x:c>
      <x:c r="C17" s="153" t="n">
        <x:f>IF(C$6="",0,SUMIFS($C$16:$AF$16,$C$6:$AF$6,C$6-'Input'!$D$27))</x:f>
        <x:v>0</x:v>
      </x:c>
      <x:c r="D17" s="153" t="n">
        <x:f>IF(D$6="",0,SUMIFS($C$16:$AF$16,$C$6:$AF$6,D$6-'Input'!$D$27))</x:f>
        <x:v>223.20000000000002</x:v>
      </x:c>
      <x:c r="E17" s="153" t="n">
        <x:f>IF(E$6="",0,SUMIFS($C$16:$AF$16,$C$6:$AF$6,E$6-'Input'!$D$27))</x:f>
        <x:v>334.8</x:v>
      </x:c>
      <x:c r="F17" s="153" t="n">
        <x:f>IF(F$6="",0,SUMIFS($C$16:$AF$16,$C$6:$AF$6,F$6-'Input'!$D$27))</x:f>
        <x:v>0</x:v>
      </x:c>
      <x:c r="G17" s="153" t="n">
        <x:f>IF(G$6="",0,SUMIFS($C$16:$AF$16,$C$6:$AF$6,G$6-'Input'!$D$27))</x:f>
        <x:v>0</x:v>
      </x:c>
      <x:c r="H17" s="153" t="n">
        <x:f>IF(H$6="",0,SUMIFS($C$16:$AF$16,$C$6:$AF$6,H$6-'Input'!$D$27))</x:f>
        <x:v>0</x:v>
      </x:c>
      <x:c r="I17" s="153" t="n">
        <x:f>IF(I$6="",0,SUMIFS($C$16:$AF$16,$C$6:$AF$6,I$6-'Input'!$D$27))</x:f>
        <x:v>0</x:v>
      </x:c>
      <x:c r="J17" s="153" t="n">
        <x:f>IF(J$6="",0,SUMIFS($C$16:$AF$16,$C$6:$AF$6,J$6-'Input'!$D$27))</x:f>
        <x:v>0</x:v>
      </x:c>
      <x:c r="K17" s="153" t="n">
        <x:f>IF(K$6="",0,SUMIFS($C$16:$AF$16,$C$6:$AF$6,K$6-'Input'!$D$27))</x:f>
        <x:v>0</x:v>
      </x:c>
      <x:c r="L17" s="153" t="n">
        <x:f>IF(L$6="",0,SUMIFS($C$16:$AF$16,$C$6:$AF$6,L$6-'Input'!$D$27))</x:f>
        <x:v>0</x:v>
      </x:c>
      <x:c r="M17" s="153" t="n">
        <x:f>IF(M$6="",0,SUMIFS($C$16:$AF$16,$C$6:$AF$6,M$6-'Input'!$D$27))</x:f>
        <x:v>0</x:v>
      </x:c>
      <x:c r="N17" s="153" t="n">
        <x:f>IF(N$6="",0,SUMIFS($C$16:$AF$16,$C$6:$AF$6,N$6-'Input'!$D$27))</x:f>
        <x:v>0</x:v>
      </x:c>
      <x:c r="O17" s="153" t="n">
        <x:f>IF(O$6="",0,SUMIFS($C$16:$AF$16,$C$6:$AF$6,O$6-'Input'!$D$27))</x:f>
        <x:v>0</x:v>
      </x:c>
      <x:c r="P17" s="153" t="n">
        <x:f>IF(P$6="",0,SUMIFS($C$16:$AF$16,$C$6:$AF$6,P$6-'Input'!$D$27))</x:f>
        <x:v>0</x:v>
      </x:c>
      <x:c r="Q17" s="153" t="n">
        <x:f>IF(Q$6="",0,SUMIFS($C$16:$AF$16,$C$6:$AF$6,Q$6-'Input'!$D$27))</x:f>
        <x:v>0</x:v>
      </x:c>
      <x:c r="R17" s="153" t="n">
        <x:f>IF(R$6="",0,SUMIFS($C$16:$AF$16,$C$6:$AF$6,R$6-'Input'!$D$27))</x:f>
        <x:v>0</x:v>
      </x:c>
      <x:c r="S17" s="153" t="n">
        <x:f>IF(S$6="",0,SUMIFS($C$16:$AF$16,$C$6:$AF$6,S$6-'Input'!$D$27))</x:f>
        <x:v>0</x:v>
      </x:c>
      <x:c r="T17" s="153" t="n">
        <x:f>IF(T$6="",0,SUMIFS($C$16:$AF$16,$C$6:$AF$6,T$6-'Input'!$D$27))</x:f>
        <x:v>0</x:v>
      </x:c>
      <x:c r="U17" s="153" t="n">
        <x:f>IF(U$6="",0,SUMIFS($C$16:$AF$16,$C$6:$AF$6,U$6-'Input'!$D$27))</x:f>
        <x:v>0</x:v>
      </x:c>
      <x:c r="V17" s="153" t="n">
        <x:f>IF(V$6="",0,SUMIFS($C$16:$AF$16,$C$6:$AF$6,V$6-'Input'!$D$27))</x:f>
        <x:v>0</x:v>
      </x:c>
      <x:c r="W17" s="153" t="n">
        <x:f>IF(W$6="",0,SUMIFS($C$16:$AF$16,$C$6:$AF$6,W$6-'Input'!$D$27))</x:f>
        <x:v>0</x:v>
      </x:c>
      <x:c r="X17" s="153" t="n">
        <x:f>IF(X$6="",0,SUMIFS($C$16:$AF$16,$C$6:$AF$6,X$6-'Input'!$D$27))</x:f>
        <x:v>0</x:v>
      </x:c>
      <x:c r="Y17" s="153" t="n">
        <x:f>IF(Y$6="",0,SUMIFS($C$16:$AF$16,$C$6:$AF$6,Y$6-'Input'!$D$27))</x:f>
        <x:v>0</x:v>
      </x:c>
      <x:c r="Z17" s="153" t="n">
        <x:f>IF(Z$6="",0,SUMIFS($C$16:$AF$16,$C$6:$AF$6,Z$6-'Input'!$D$27))</x:f>
        <x:v>0</x:v>
      </x:c>
      <x:c r="AA17" s="153" t="n">
        <x:f>IF(AA$6="",0,SUMIFS($C$16:$AF$16,$C$6:$AF$6,AA$6-'Input'!$D$27))</x:f>
        <x:v>0</x:v>
      </x:c>
      <x:c r="AB17" s="153" t="n">
        <x:f>IF(AB$6="",0,SUMIFS($C$16:$AF$16,$C$6:$AF$6,AB$6-'Input'!$D$27))</x:f>
        <x:v>0</x:v>
      </x:c>
      <x:c r="AC17" s="153" t="n">
        <x:f>IF(AC$6="",0,SUMIFS($C$16:$AF$16,$C$6:$AF$6,AC$6-'Input'!$D$27))</x:f>
        <x:v>0</x:v>
      </x:c>
      <x:c r="AD17" s="153" t="n">
        <x:f>IF(AD$6="",0,SUMIFS($C$16:$AF$16,$C$6:$AF$6,AD$6-'Input'!$D$27))</x:f>
        <x:v>0</x:v>
      </x:c>
      <x:c r="AE17" s="153" t="n">
        <x:f>IF(AE$6="",0,SUMIFS($C$16:$AF$16,$C$6:$AF$6,AE$6-'Input'!$D$27))</x:f>
        <x:v>0</x:v>
      </x:c>
      <x:c r="AF17" s="153" t="n">
        <x:f>IF(AF$6="",0,SUMIFS($C$16:$AF$16,$C$6:$AF$6,AF$6-'Input'!$D$27))</x:f>
        <x:v>0</x:v>
      </x:c>
    </x:row>
    <x:row r="18" ht="15" hidden="0" customHeight="1">
      <x:c r="A18" s="219" t="str">
        <x:v>CAP-07</x:v>
      </x:c>
      <x:c r="B18" s="219" t="str">
        <x:v>VAT không được hoàn</x:v>
      </x:c>
      <x:c r="C18" s="153" t="n">
        <x:f>C14-C16</x:f>
        <x:v>0</x:v>
      </x:c>
      <x:c r="D18" s="153" t="n">
        <x:f>D14-D16</x:f>
        <x:v>0</x:v>
      </x:c>
      <x:c r="E18" s="153" t="n">
        <x:f>E14-E16</x:f>
        <x:v>0</x:v>
      </x:c>
      <x:c r="F18" s="153" t="n">
        <x:f>F14-F16</x:f>
        <x:v>0</x:v>
      </x:c>
      <x:c r="G18" s="153" t="n">
        <x:f>G14-G16</x:f>
        <x:v>0</x:v>
      </x:c>
      <x:c r="H18" s="153" t="n">
        <x:f>H14-H16</x:f>
        <x:v>0</x:v>
      </x:c>
      <x:c r="I18" s="153" t="n">
        <x:f>I14-I16</x:f>
        <x:v>0</x:v>
      </x:c>
      <x:c r="J18" s="153" t="n">
        <x:f>J14-J16</x:f>
        <x:v>0</x:v>
      </x:c>
      <x:c r="K18" s="153" t="n">
        <x:f>K14-K16</x:f>
        <x:v>0</x:v>
      </x:c>
      <x:c r="L18" s="153" t="n">
        <x:f>L14-L16</x:f>
        <x:v>0</x:v>
      </x:c>
      <x:c r="M18" s="153" t="n">
        <x:f>M14-M16</x:f>
        <x:v>0</x:v>
      </x:c>
      <x:c r="N18" s="153" t="n">
        <x:f>N14-N16</x:f>
        <x:v>0</x:v>
      </x:c>
      <x:c r="O18" s="153" t="n">
        <x:f>O14-O16</x:f>
        <x:v>0</x:v>
      </x:c>
      <x:c r="P18" s="153" t="n">
        <x:f>P14-P16</x:f>
        <x:v>0</x:v>
      </x:c>
      <x:c r="Q18" s="153" t="n">
        <x:f>Q14-Q16</x:f>
        <x:v>0</x:v>
      </x:c>
      <x:c r="R18" s="153" t="n">
        <x:f>R14-R16</x:f>
        <x:v>0</x:v>
      </x:c>
      <x:c r="S18" s="153" t="n">
        <x:f>S14-S16</x:f>
        <x:v>0</x:v>
      </x:c>
      <x:c r="T18" s="153" t="n">
        <x:f>T14-T16</x:f>
        <x:v>0</x:v>
      </x:c>
      <x:c r="U18" s="153" t="n">
        <x:f>U14-U16</x:f>
        <x:v>0</x:v>
      </x:c>
      <x:c r="V18" s="153" t="n">
        <x:f>V14-V16</x:f>
        <x:v>0</x:v>
      </x:c>
      <x:c r="W18" s="153" t="n">
        <x:f>W14-W16</x:f>
        <x:v>0</x:v>
      </x:c>
      <x:c r="X18" s="153" t="n">
        <x:f>X14-X16</x:f>
        <x:v>0</x:v>
      </x:c>
      <x:c r="Y18" s="153" t="n">
        <x:f>Y14-Y16</x:f>
        <x:v>0</x:v>
      </x:c>
      <x:c r="Z18" s="153" t="n">
        <x:f>Z14-Z16</x:f>
        <x:v>0</x:v>
      </x:c>
      <x:c r="AA18" s="153" t="n">
        <x:f>AA14-AA16</x:f>
        <x:v>0</x:v>
      </x:c>
      <x:c r="AB18" s="153" t="n">
        <x:f>AB14-AB16</x:f>
        <x:v>0</x:v>
      </x:c>
      <x:c r="AC18" s="153" t="n">
        <x:f>AC14-AC16</x:f>
        <x:v>0</x:v>
      </x:c>
      <x:c r="AD18" s="153" t="n">
        <x:f>AD14-AD16</x:f>
        <x:v>0</x:v>
      </x:c>
      <x:c r="AE18" s="153" t="n">
        <x:f>AE14-AE16</x:f>
        <x:v>0</x:v>
      </x:c>
      <x:c r="AF18" s="153" t="n">
        <x:f>AF14-AF16</x:f>
        <x:v>0</x:v>
      </x:c>
    </x:row>
    <x:row r="19" ht="15" hidden="0" customHeight="1">
      <x:c r="A19" s="219" t="str">
        <x:v>CAP-08</x:v>
      </x:c>
      <x:c r="B19" s="220" t="str">
        <x:v>CAPEX kinh tế</x:v>
      </x:c>
      <x:c r="C19" s="150" t="n">
        <x:f>SUM(C13,C18)</x:f>
        <x:v>2232</x:v>
      </x:c>
      <x:c r="D19" s="150" t="n">
        <x:f>SUM(D13,D18)</x:f>
        <x:v>3348</x:v>
      </x:c>
      <x:c r="E19" s="150" t="n">
        <x:f>SUM(E13,E18)</x:f>
        <x:v>0</x:v>
      </x:c>
      <x:c r="F19" s="150" t="n">
        <x:f>SUM(F13,F18)</x:f>
        <x:v>0</x:v>
      </x:c>
      <x:c r="G19" s="150" t="n">
        <x:f>SUM(G13,G18)</x:f>
        <x:v>0</x:v>
      </x:c>
      <x:c r="H19" s="150" t="n">
        <x:f>SUM(H13,H18)</x:f>
        <x:v>0</x:v>
      </x:c>
      <x:c r="I19" s="150" t="n">
        <x:f>SUM(I13,I18)</x:f>
        <x:v>0</x:v>
      </x:c>
      <x:c r="J19" s="150" t="n">
        <x:f>SUM(J13,J18)</x:f>
        <x:v>0</x:v>
      </x:c>
      <x:c r="K19" s="150" t="n">
        <x:f>SUM(K13,K18)</x:f>
        <x:v>0</x:v>
      </x:c>
      <x:c r="L19" s="150" t="n">
        <x:f>SUM(L13,L18)</x:f>
        <x:v>0</x:v>
      </x:c>
      <x:c r="M19" s="150" t="n">
        <x:f>SUM(M13,M18)</x:f>
        <x:v>0</x:v>
      </x:c>
      <x:c r="N19" s="150" t="n">
        <x:f>SUM(N13,N18)</x:f>
        <x:v>0</x:v>
      </x:c>
      <x:c r="O19" s="150" t="n">
        <x:f>SUM(O13,O18)</x:f>
        <x:v>0</x:v>
      </x:c>
      <x:c r="P19" s="150" t="n">
        <x:f>SUM(P13,P18)</x:f>
        <x:v>0</x:v>
      </x:c>
      <x:c r="Q19" s="150" t="n">
        <x:f>SUM(Q13,Q18)</x:f>
        <x:v>0</x:v>
      </x:c>
      <x:c r="R19" s="150" t="n">
        <x:f>SUM(R13,R18)</x:f>
        <x:v>0</x:v>
      </x:c>
      <x:c r="S19" s="150" t="n">
        <x:f>SUM(S13,S18)</x:f>
        <x:v>0</x:v>
      </x:c>
      <x:c r="T19" s="150" t="n">
        <x:f>SUM(T13,T18)</x:f>
        <x:v>0</x:v>
      </x:c>
      <x:c r="U19" s="150" t="n">
        <x:f>SUM(U13,U18)</x:f>
        <x:v>0</x:v>
      </x:c>
      <x:c r="V19" s="150" t="n">
        <x:f>SUM(V13,V18)</x:f>
        <x:v>0</x:v>
      </x:c>
      <x:c r="W19" s="150" t="n">
        <x:f>SUM(W13,W18)</x:f>
        <x:v>0</x:v>
      </x:c>
      <x:c r="X19" s="150" t="n">
        <x:f>SUM(X13,X18)</x:f>
        <x:v>0</x:v>
      </x:c>
      <x:c r="Y19" s="150" t="n">
        <x:f>SUM(Y13,Y18)</x:f>
        <x:v>0</x:v>
      </x:c>
      <x:c r="Z19" s="150" t="n">
        <x:f>SUM(Z13,Z18)</x:f>
        <x:v>0</x:v>
      </x:c>
      <x:c r="AA19" s="150" t="n">
        <x:f>SUM(AA13,AA18)</x:f>
        <x:v>0</x:v>
      </x:c>
      <x:c r="AB19" s="150" t="n">
        <x:f>SUM(AB13,AB18)</x:f>
        <x:v>0</x:v>
      </x:c>
      <x:c r="AC19" s="150" t="n">
        <x:f>SUM(AC13,AC18)</x:f>
        <x:v>0</x:v>
      </x:c>
      <x:c r="AD19" s="150" t="n">
        <x:f>SUM(AD13,AD18)</x:f>
        <x:v>0</x:v>
      </x:c>
      <x:c r="AE19" s="150" t="n">
        <x:f>SUM(AE13,AE18)</x:f>
        <x:v>0</x:v>
      </x:c>
      <x:c r="AF19" s="150" t="n">
        <x:f>SUM(AF13,AF18)</x:f>
        <x:v>0</x:v>
      </x:c>
    </x:row>
    <x:row r="20" ht="15" hidden="0" customHeight="1">
      <x:c r="A20" s="219" t="str">
        <x:v>CAP-09</x:v>
      </x:c>
      <x:c r="B20" s="220" t="str">
        <x:v>Giải ngân vốn vay</x:v>
      </x:c>
      <x:c r="C20" s="150" t="n">
        <x:f>C19*'Input'!$D$55</x:f>
        <x:v>1562.3999999999999</x:v>
      </x:c>
      <x:c r="D20" s="150" t="n">
        <x:f>D19*'Input'!$D$55</x:f>
        <x:v>2343.6</x:v>
      </x:c>
      <x:c r="E20" s="150" t="n">
        <x:f>E19*'Input'!$D$55</x:f>
        <x:v>0</x:v>
      </x:c>
      <x:c r="F20" s="150" t="n">
        <x:f>F19*'Input'!$D$55</x:f>
        <x:v>0</x:v>
      </x:c>
      <x:c r="G20" s="150" t="n">
        <x:f>G19*'Input'!$D$55</x:f>
        <x:v>0</x:v>
      </x:c>
      <x:c r="H20" s="150" t="n">
        <x:f>H19*'Input'!$D$55</x:f>
        <x:v>0</x:v>
      </x:c>
      <x:c r="I20" s="150" t="n">
        <x:f>I19*'Input'!$D$55</x:f>
        <x:v>0</x:v>
      </x:c>
      <x:c r="J20" s="150" t="n">
        <x:f>J19*'Input'!$D$55</x:f>
        <x:v>0</x:v>
      </x:c>
      <x:c r="K20" s="150" t="n">
        <x:f>K19*'Input'!$D$55</x:f>
        <x:v>0</x:v>
      </x:c>
      <x:c r="L20" s="150" t="n">
        <x:f>L19*'Input'!$D$55</x:f>
        <x:v>0</x:v>
      </x:c>
      <x:c r="M20" s="150" t="n">
        <x:f>M19*'Input'!$D$55</x:f>
        <x:v>0</x:v>
      </x:c>
      <x:c r="N20" s="150" t="n">
        <x:f>N19*'Input'!$D$55</x:f>
        <x:v>0</x:v>
      </x:c>
      <x:c r="O20" s="150" t="n">
        <x:f>O19*'Input'!$D$55</x:f>
        <x:v>0</x:v>
      </x:c>
      <x:c r="P20" s="150" t="n">
        <x:f>P19*'Input'!$D$55</x:f>
        <x:v>0</x:v>
      </x:c>
      <x:c r="Q20" s="150" t="n">
        <x:f>Q19*'Input'!$D$55</x:f>
        <x:v>0</x:v>
      </x:c>
      <x:c r="R20" s="150" t="n">
        <x:f>R19*'Input'!$D$55</x:f>
        <x:v>0</x:v>
      </x:c>
      <x:c r="S20" s="150" t="n">
        <x:f>S19*'Input'!$D$55</x:f>
        <x:v>0</x:v>
      </x:c>
      <x:c r="T20" s="150" t="n">
        <x:f>T19*'Input'!$D$55</x:f>
        <x:v>0</x:v>
      </x:c>
      <x:c r="U20" s="150" t="n">
        <x:f>U19*'Input'!$D$55</x:f>
        <x:v>0</x:v>
      </x:c>
      <x:c r="V20" s="150" t="n">
        <x:f>V19*'Input'!$D$55</x:f>
        <x:v>0</x:v>
      </x:c>
      <x:c r="W20" s="150" t="n">
        <x:f>W19*'Input'!$D$55</x:f>
        <x:v>0</x:v>
      </x:c>
      <x:c r="X20" s="150" t="n">
        <x:f>X19*'Input'!$D$55</x:f>
        <x:v>0</x:v>
      </x:c>
      <x:c r="Y20" s="150" t="n">
        <x:f>Y19*'Input'!$D$55</x:f>
        <x:v>0</x:v>
      </x:c>
      <x:c r="Z20" s="150" t="n">
        <x:f>Z19*'Input'!$D$55</x:f>
        <x:v>0</x:v>
      </x:c>
      <x:c r="AA20" s="150" t="n">
        <x:f>AA19*'Input'!$D$55</x:f>
        <x:v>0</x:v>
      </x:c>
      <x:c r="AB20" s="150" t="n">
        <x:f>AB19*'Input'!$D$55</x:f>
        <x:v>0</x:v>
      </x:c>
      <x:c r="AC20" s="150" t="n">
        <x:f>AC19*'Input'!$D$55</x:f>
        <x:v>0</x:v>
      </x:c>
      <x:c r="AD20" s="150" t="n">
        <x:f>AD19*'Input'!$D$55</x:f>
        <x:v>0</x:v>
      </x:c>
      <x:c r="AE20" s="150" t="n">
        <x:f>AE19*'Input'!$D$55</x:f>
        <x:v>0</x:v>
      </x:c>
      <x:c r="AF20" s="150" t="n">
        <x:f>AF19*'Input'!$D$55</x:f>
        <x:v>0</x:v>
      </x:c>
    </x:row>
    <x:row r="21" ht="15" hidden="0" customHeight="1">
      <x:c r="A21" s="219" t="str">
        <x:v>CAP-10</x:v>
      </x:c>
      <x:c r="B21" s="219" t="str">
        <x:v>Vốn chủ sở hữu cơ sở</x:v>
      </x:c>
      <x:c r="C21" s="153" t="n">
        <x:f>C19-C20</x:f>
        <x:v>669.6000000000001</x:v>
      </x:c>
      <x:c r="D21" s="153" t="n">
        <x:f>D19-D20</x:f>
        <x:v>1004.4000000000001</x:v>
      </x:c>
      <x:c r="E21" s="153" t="n">
        <x:f>E19-E20</x:f>
        <x:v>0</x:v>
      </x:c>
      <x:c r="F21" s="153" t="n">
        <x:f>F19-F20</x:f>
        <x:v>0</x:v>
      </x:c>
      <x:c r="G21" s="153" t="n">
        <x:f>G19-G20</x:f>
        <x:v>0</x:v>
      </x:c>
      <x:c r="H21" s="153" t="n">
        <x:f>H19-H20</x:f>
        <x:v>0</x:v>
      </x:c>
      <x:c r="I21" s="153" t="n">
        <x:f>I19-I20</x:f>
        <x:v>0</x:v>
      </x:c>
      <x:c r="J21" s="153" t="n">
        <x:f>J19-J20</x:f>
        <x:v>0</x:v>
      </x:c>
      <x:c r="K21" s="153" t="n">
        <x:f>K19-K20</x:f>
        <x:v>0</x:v>
      </x:c>
      <x:c r="L21" s="153" t="n">
        <x:f>L19-L20</x:f>
        <x:v>0</x:v>
      </x:c>
      <x:c r="M21" s="153" t="n">
        <x:f>M19-M20</x:f>
        <x:v>0</x:v>
      </x:c>
      <x:c r="N21" s="153" t="n">
        <x:f>N19-N20</x:f>
        <x:v>0</x:v>
      </x:c>
      <x:c r="O21" s="153" t="n">
        <x:f>O19-O20</x:f>
        <x:v>0</x:v>
      </x:c>
      <x:c r="P21" s="153" t="n">
        <x:f>P19-P20</x:f>
        <x:v>0</x:v>
      </x:c>
      <x:c r="Q21" s="153" t="n">
        <x:f>Q19-Q20</x:f>
        <x:v>0</x:v>
      </x:c>
      <x:c r="R21" s="153" t="n">
        <x:f>R19-R20</x:f>
        <x:v>0</x:v>
      </x:c>
      <x:c r="S21" s="153" t="n">
        <x:f>S19-S20</x:f>
        <x:v>0</x:v>
      </x:c>
      <x:c r="T21" s="153" t="n">
        <x:f>T19-T20</x:f>
        <x:v>0</x:v>
      </x:c>
      <x:c r="U21" s="153" t="n">
        <x:f>U19-U20</x:f>
        <x:v>0</x:v>
      </x:c>
      <x:c r="V21" s="153" t="n">
        <x:f>V19-V20</x:f>
        <x:v>0</x:v>
      </x:c>
      <x:c r="W21" s="153" t="n">
        <x:f>W19-W20</x:f>
        <x:v>0</x:v>
      </x:c>
      <x:c r="X21" s="153" t="n">
        <x:f>X19-X20</x:f>
        <x:v>0</x:v>
      </x:c>
      <x:c r="Y21" s="153" t="n">
        <x:f>Y19-Y20</x:f>
        <x:v>0</x:v>
      </x:c>
      <x:c r="Z21" s="153" t="n">
        <x:f>Z19-Z20</x:f>
        <x:v>0</x:v>
      </x:c>
      <x:c r="AA21" s="153" t="n">
        <x:f>AA19-AA20</x:f>
        <x:v>0</x:v>
      </x:c>
      <x:c r="AB21" s="153" t="n">
        <x:f>AB19-AB20</x:f>
        <x:v>0</x:v>
      </x:c>
      <x:c r="AC21" s="153" t="n">
        <x:f>AC19-AC20</x:f>
        <x:v>0</x:v>
      </x:c>
      <x:c r="AD21" s="153" t="n">
        <x:f>AD19-AD20</x:f>
        <x:v>0</x:v>
      </x:c>
      <x:c r="AE21" s="153" t="n">
        <x:f>AE19-AE20</x:f>
        <x:v>0</x:v>
      </x:c>
      <x:c r="AF21" s="153" t="n">
        <x:f>AF19-AF20</x:f>
        <x:v>0</x:v>
      </x:c>
    </x:row>
    <x:row r="22" ht="15" hidden="0" customHeight="1">
      <x:c r="A22" s="219" t="str">
        <x:v>CAP-11</x:v>
      </x:c>
      <x:c r="B22" s="219" t="str">
        <x:v>Phí thu xếp khoản vay</x:v>
      </x:c>
      <x:c r="C22" s="153" t="n">
        <x:f>'Input'!$D$63*'Input'!$D$61</x:f>
        <x:v>39.059999999999995</x:v>
      </x:c>
      <x:c r="D22" s="153" t="n">
        <x:f>0</x:f>
        <x:v>0</x:v>
      </x:c>
      <x:c r="E22" s="153" t="n">
        <x:f>0</x:f>
        <x:v>0</x:v>
      </x:c>
      <x:c r="F22" s="153" t="n">
        <x:f>0</x:f>
        <x:v>0</x:v>
      </x:c>
      <x:c r="G22" s="153" t="n">
        <x:f>0</x:f>
        <x:v>0</x:v>
      </x:c>
      <x:c r="H22" s="153" t="n">
        <x:f>0</x:f>
        <x:v>0</x:v>
      </x:c>
      <x:c r="I22" s="153" t="n">
        <x:f>0</x:f>
        <x:v>0</x:v>
      </x:c>
      <x:c r="J22" s="153" t="n">
        <x:f>0</x:f>
        <x:v>0</x:v>
      </x:c>
      <x:c r="K22" s="153" t="n">
        <x:f>0</x:f>
        <x:v>0</x:v>
      </x:c>
      <x:c r="L22" s="153" t="n">
        <x:f>0</x:f>
        <x:v>0</x:v>
      </x:c>
      <x:c r="M22" s="153" t="n">
        <x:f>0</x:f>
        <x:v>0</x:v>
      </x:c>
      <x:c r="N22" s="153" t="n">
        <x:f>0</x:f>
        <x:v>0</x:v>
      </x:c>
      <x:c r="O22" s="153" t="n">
        <x:f>0</x:f>
        <x:v>0</x:v>
      </x:c>
      <x:c r="P22" s="153" t="n">
        <x:f>0</x:f>
        <x:v>0</x:v>
      </x:c>
      <x:c r="Q22" s="153" t="n">
        <x:f>0</x:f>
        <x:v>0</x:v>
      </x:c>
      <x:c r="R22" s="153" t="n">
        <x:f>0</x:f>
        <x:v>0</x:v>
      </x:c>
      <x:c r="S22" s="153" t="n">
        <x:f>0</x:f>
        <x:v>0</x:v>
      </x:c>
      <x:c r="T22" s="153" t="n">
        <x:f>0</x:f>
        <x:v>0</x:v>
      </x:c>
      <x:c r="U22" s="153" t="n">
        <x:f>0</x:f>
        <x:v>0</x:v>
      </x:c>
      <x:c r="V22" s="153" t="n">
        <x:f>0</x:f>
        <x:v>0</x:v>
      </x:c>
      <x:c r="W22" s="153" t="n">
        <x:f>0</x:f>
        <x:v>0</x:v>
      </x:c>
      <x:c r="X22" s="153" t="n">
        <x:f>0</x:f>
        <x:v>0</x:v>
      </x:c>
      <x:c r="Y22" s="153" t="n">
        <x:f>0</x:f>
        <x:v>0</x:v>
      </x:c>
      <x:c r="Z22" s="153" t="n">
        <x:f>0</x:f>
        <x:v>0</x:v>
      </x:c>
      <x:c r="AA22" s="153" t="n">
        <x:f>0</x:f>
        <x:v>0</x:v>
      </x:c>
      <x:c r="AB22" s="153" t="n">
        <x:f>0</x:f>
        <x:v>0</x:v>
      </x:c>
      <x:c r="AC22" s="153" t="n">
        <x:f>0</x:f>
        <x:v>0</x:v>
      </x:c>
      <x:c r="AD22" s="153" t="n">
        <x:f>0</x:f>
        <x:v>0</x:v>
      </x:c>
      <x:c r="AE22" s="153" t="n">
        <x:f>0</x:f>
        <x:v>0</x:v>
      </x:c>
      <x:c r="AF22" s="153" t="n">
        <x:f>0</x:f>
        <x:v>0</x:v>
      </x:c>
    </x:row>
    <x:row r="23" ht="15" hidden="0" customHeight="1">
      <x:c r="A23" s="219" t="str">
        <x:v>CAP-12</x:v>
      </x:c>
      <x:c r="B23" s="219" t="str">
        <x:v>Lãi vay trong xây dựng</x:v>
      </x:c>
      <x:c r="C23" s="153" t="n">
        <x:f>IF(C$8=1,'Debt'!C16,0)</x:f>
        <x:v>78.12</x:v>
      </x:c>
      <x:c r="D23" s="153" t="n">
        <x:f>IF(D$8=1,'Debt'!D16,0)</x:f>
        <x:v>273.42</x:v>
      </x:c>
      <x:c r="E23" s="153" t="n">
        <x:f>IF(E$8=1,'Debt'!E16,0)</x:f>
        <x:v>0</x:v>
      </x:c>
      <x:c r="F23" s="153" t="n">
        <x:f>IF(F$8=1,'Debt'!F16,0)</x:f>
        <x:v>0</x:v>
      </x:c>
      <x:c r="G23" s="153" t="n">
        <x:f>IF(G$8=1,'Debt'!G16,0)</x:f>
        <x:v>0</x:v>
      </x:c>
      <x:c r="H23" s="153" t="n">
        <x:f>IF(H$8=1,'Debt'!H16,0)</x:f>
        <x:v>0</x:v>
      </x:c>
      <x:c r="I23" s="153" t="n">
        <x:f>IF(I$8=1,'Debt'!I16,0)</x:f>
        <x:v>0</x:v>
      </x:c>
      <x:c r="J23" s="153" t="n">
        <x:f>IF(J$8=1,'Debt'!J16,0)</x:f>
        <x:v>0</x:v>
      </x:c>
      <x:c r="K23" s="153" t="n">
        <x:f>IF(K$8=1,'Debt'!K16,0)</x:f>
        <x:v>0</x:v>
      </x:c>
      <x:c r="L23" s="153" t="n">
        <x:f>IF(L$8=1,'Debt'!L16,0)</x:f>
        <x:v>0</x:v>
      </x:c>
      <x:c r="M23" s="153" t="n">
        <x:f>IF(M$8=1,'Debt'!M16,0)</x:f>
        <x:v>0</x:v>
      </x:c>
      <x:c r="N23" s="153" t="n">
        <x:f>IF(N$8=1,'Debt'!N16,0)</x:f>
        <x:v>0</x:v>
      </x:c>
      <x:c r="O23" s="153" t="n">
        <x:f>IF(O$8=1,'Debt'!O16,0)</x:f>
        <x:v>0</x:v>
      </x:c>
      <x:c r="P23" s="153" t="n">
        <x:f>IF(P$8=1,'Debt'!P16,0)</x:f>
        <x:v>0</x:v>
      </x:c>
      <x:c r="Q23" s="153" t="n">
        <x:f>IF(Q$8=1,'Debt'!Q16,0)</x:f>
        <x:v>0</x:v>
      </x:c>
      <x:c r="R23" s="153" t="n">
        <x:f>IF(R$8=1,'Debt'!R16,0)</x:f>
        <x:v>0</x:v>
      </x:c>
      <x:c r="S23" s="153" t="n">
        <x:f>IF(S$8=1,'Debt'!S16,0)</x:f>
        <x:v>0</x:v>
      </x:c>
      <x:c r="T23" s="153" t="n">
        <x:f>IF(T$8=1,'Debt'!T16,0)</x:f>
        <x:v>0</x:v>
      </x:c>
      <x:c r="U23" s="153" t="n">
        <x:f>IF(U$8=1,'Debt'!U16,0)</x:f>
        <x:v>0</x:v>
      </x:c>
      <x:c r="V23" s="153" t="n">
        <x:f>IF(V$8=1,'Debt'!V16,0)</x:f>
        <x:v>0</x:v>
      </x:c>
      <x:c r="W23" s="153" t="n">
        <x:f>IF(W$8=1,'Debt'!W16,0)</x:f>
        <x:v>0</x:v>
      </x:c>
      <x:c r="X23" s="153" t="n">
        <x:f>IF(X$8=1,'Debt'!X16,0)</x:f>
        <x:v>0</x:v>
      </x:c>
      <x:c r="Y23" s="153" t="n">
        <x:f>IF(Y$8=1,'Debt'!Y16,0)</x:f>
        <x:v>0</x:v>
      </x:c>
      <x:c r="Z23" s="153" t="n">
        <x:f>IF(Z$8=1,'Debt'!Z16,0)</x:f>
        <x:v>0</x:v>
      </x:c>
      <x:c r="AA23" s="153" t="n">
        <x:f>IF(AA$8=1,'Debt'!AA16,0)</x:f>
        <x:v>0</x:v>
      </x:c>
      <x:c r="AB23" s="153" t="n">
        <x:f>IF(AB$8=1,'Debt'!AB16,0)</x:f>
        <x:v>0</x:v>
      </x:c>
      <x:c r="AC23" s="153" t="n">
        <x:f>IF(AC$8=1,'Debt'!AC16,0)</x:f>
        <x:v>0</x:v>
      </x:c>
      <x:c r="AD23" s="153" t="n">
        <x:f>IF(AD$8=1,'Debt'!AD16,0)</x:f>
        <x:v>0</x:v>
      </x:c>
      <x:c r="AE23" s="153" t="n">
        <x:f>IF(AE$8=1,'Debt'!AE16,0)</x:f>
        <x:v>0</x:v>
      </x:c>
      <x:c r="AF23" s="153" t="n">
        <x:f>IF(AF$8=1,'Debt'!AF16,0)</x:f>
        <x:v>0</x:v>
      </x:c>
    </x:row>
    <x:row r="24" ht="15" hidden="0" customHeight="1">
      <x:c r="A24" s="219" t="str">
        <x:v>CAP-13</x:v>
      </x:c>
      <x:c r="B24" s="220" t="str">
        <x:v>Nhu cầu vốn chủ sở hữu thực tế</x:v>
      </x:c>
      <x:c r="C24" s="150" t="n">
        <x:f>C15+C22+IF(C$8=1,C23,0)-C20-C17</x:f>
        <x:v>1009.9799999999998</x:v>
      </x:c>
      <x:c r="D24" s="150" t="n">
        <x:f>D15+D22+IF(D$8=1,D23,0)-D20-D17</x:f>
        <x:v>1389.4200000000003</x:v>
      </x:c>
      <x:c r="E24" s="150" t="n">
        <x:f>E15+E22+IF(E$8=1,E23,0)-E20-E17</x:f>
        <x:v>-334.8</x:v>
      </x:c>
      <x:c r="F24" s="150" t="n">
        <x:f>F15+F22+IF(F$8=1,F23,0)-F20-F17</x:f>
        <x:v>0</x:v>
      </x:c>
      <x:c r="G24" s="150" t="n">
        <x:f>G15+G22+IF(G$8=1,G23,0)-G20-G17</x:f>
        <x:v>0</x:v>
      </x:c>
      <x:c r="H24" s="150" t="n">
        <x:f>H15+H22+IF(H$8=1,H23,0)-H20-H17</x:f>
        <x:v>0</x:v>
      </x:c>
      <x:c r="I24" s="150" t="n">
        <x:f>I15+I22+IF(I$8=1,I23,0)-I20-I17</x:f>
        <x:v>0</x:v>
      </x:c>
      <x:c r="J24" s="150" t="n">
        <x:f>J15+J22+IF(J$8=1,J23,0)-J20-J17</x:f>
        <x:v>0</x:v>
      </x:c>
      <x:c r="K24" s="150" t="n">
        <x:f>K15+K22+IF(K$8=1,K23,0)-K20-K17</x:f>
        <x:v>0</x:v>
      </x:c>
      <x:c r="L24" s="150" t="n">
        <x:f>L15+L22+IF(L$8=1,L23,0)-L20-L17</x:f>
        <x:v>0</x:v>
      </x:c>
      <x:c r="M24" s="150" t="n">
        <x:f>M15+M22+IF(M$8=1,M23,0)-M20-M17</x:f>
        <x:v>0</x:v>
      </x:c>
      <x:c r="N24" s="150" t="n">
        <x:f>N15+N22+IF(N$8=1,N23,0)-N20-N17</x:f>
        <x:v>0</x:v>
      </x:c>
      <x:c r="O24" s="150" t="n">
        <x:f>O15+O22+IF(O$8=1,O23,0)-O20-O17</x:f>
        <x:v>0</x:v>
      </x:c>
      <x:c r="P24" s="150" t="n">
        <x:f>P15+P22+IF(P$8=1,P23,0)-P20-P17</x:f>
        <x:v>0</x:v>
      </x:c>
      <x:c r="Q24" s="150" t="n">
        <x:f>Q15+Q22+IF(Q$8=1,Q23,0)-Q20-Q17</x:f>
        <x:v>0</x:v>
      </x:c>
      <x:c r="R24" s="150" t="n">
        <x:f>R15+R22+IF(R$8=1,R23,0)-R20-R17</x:f>
        <x:v>0</x:v>
      </x:c>
      <x:c r="S24" s="150" t="n">
        <x:f>S15+S22+IF(S$8=1,S23,0)-S20-S17</x:f>
        <x:v>0</x:v>
      </x:c>
      <x:c r="T24" s="150" t="n">
        <x:f>T15+T22+IF(T$8=1,T23,0)-T20-T17</x:f>
        <x:v>0</x:v>
      </x:c>
      <x:c r="U24" s="150" t="n">
        <x:f>U15+U22+IF(U$8=1,U23,0)-U20-U17</x:f>
        <x:v>0</x:v>
      </x:c>
      <x:c r="V24" s="150" t="n">
        <x:f>V15+V22+IF(V$8=1,V23,0)-V20-V17</x:f>
        <x:v>0</x:v>
      </x:c>
      <x:c r="W24" s="150" t="n">
        <x:f>W15+W22+IF(W$8=1,W23,0)-W20-W17</x:f>
        <x:v>0</x:v>
      </x:c>
      <x:c r="X24" s="150" t="n">
        <x:f>X15+X22+IF(X$8=1,X23,0)-X20-X17</x:f>
        <x:v>0</x:v>
      </x:c>
      <x:c r="Y24" s="150" t="n">
        <x:f>Y15+Y22+IF(Y$8=1,Y23,0)-Y20-Y17</x:f>
        <x:v>0</x:v>
      </x:c>
      <x:c r="Z24" s="150" t="n">
        <x:f>Z15+Z22+IF(Z$8=1,Z23,0)-Z20-Z17</x:f>
        <x:v>0</x:v>
      </x:c>
      <x:c r="AA24" s="150" t="n">
        <x:f>AA15+AA22+IF(AA$8=1,AA23,0)-AA20-AA17</x:f>
        <x:v>0</x:v>
      </x:c>
      <x:c r="AB24" s="150" t="n">
        <x:f>AB15+AB22+IF(AB$8=1,AB23,0)-AB20-AB17</x:f>
        <x:v>0</x:v>
      </x:c>
      <x:c r="AC24" s="150" t="n">
        <x:f>AC15+AC22+IF(AC$8=1,AC23,0)-AC20-AC17</x:f>
        <x:v>0</x:v>
      </x:c>
      <x:c r="AD24" s="150" t="n">
        <x:f>AD15+AD22+IF(AD$8=1,AD23,0)-AD20-AD17</x:f>
        <x:v>0</x:v>
      </x:c>
      <x:c r="AE24" s="150" t="n">
        <x:f>AE15+AE22+IF(AE$8=1,AE23,0)-AE20-AE17</x:f>
        <x:v>0</x:v>
      </x:c>
      <x:c r="AF24" s="150" t="n">
        <x:f>AF15+AF22+IF(AF$8=1,AF23,0)-AF20-AF17</x:f>
        <x:v>0</x:v>
      </x:c>
    </x:row>
    <x:row r="25" ht="15" hidden="0" customHeight="1">
      <x:c r="A25" s="216"/>
      <x:c r="B25" s="216"/>
      <x:c r="C25" s="209"/>
      <x:c r="D25" s="209"/>
      <x:c r="E25" s="209"/>
      <x:c r="F25" s="209"/>
      <x:c r="G25" s="209"/>
      <x:c r="H25" s="209"/>
      <x:c r="I25" s="209"/>
      <x:c r="J25" s="209"/>
      <x:c r="K25" s="209"/>
      <x:c r="L25" s="209"/>
      <x:c r="M25" s="209"/>
      <x:c r="N25" s="209"/>
      <x:c r="O25" s="209"/>
      <x:c r="P25" s="209"/>
      <x:c r="Q25" s="209"/>
      <x:c r="R25" s="209"/>
      <x:c r="S25" s="209"/>
      <x:c r="T25" s="209"/>
      <x:c r="U25" s="209"/>
      <x:c r="V25" s="209"/>
      <x:c r="W25" s="209"/>
      <x:c r="X25" s="209"/>
      <x:c r="Y25" s="209"/>
      <x:c r="Z25" s="209"/>
      <x:c r="AA25" s="209"/>
      <x:c r="AB25" s="209"/>
      <x:c r="AC25" s="209"/>
      <x:c r="AD25" s="209"/>
      <x:c r="AE25" s="209"/>
      <x:c r="AF25" s="209"/>
    </x:row>
    <x:row r="26" ht="15" hidden="0" customHeight="1">
      <x:c r="A26" s="218" t="str">
        <x:v>2. TỔNG HỢP VÀ KIỂM TRA</x:v>
      </x:c>
      <x:c r="B26" s="218"/>
      <x:c r="C26" s="142"/>
      <x:c r="D26" s="142"/>
      <x:c r="E26" s="142"/>
      <x:c r="F26" s="142"/>
      <x:c r="G26" s="142"/>
      <x:c r="H26" s="142"/>
      <x:c r="I26" s="142"/>
      <x:c r="J26" s="142"/>
      <x:c r="K26" s="142"/>
      <x:c r="L26" s="142"/>
      <x:c r="M26" s="142"/>
      <x:c r="N26" s="142"/>
      <x:c r="O26" s="142"/>
      <x:c r="P26" s="142"/>
      <x:c r="Q26" s="142"/>
      <x:c r="R26" s="142"/>
      <x:c r="S26" s="142"/>
      <x:c r="T26" s="142"/>
      <x:c r="U26" s="142"/>
      <x:c r="V26" s="142"/>
      <x:c r="W26" s="142"/>
      <x:c r="X26" s="142"/>
      <x:c r="Y26" s="142"/>
      <x:c r="Z26" s="142"/>
      <x:c r="AA26" s="142"/>
      <x:c r="AB26" s="142"/>
      <x:c r="AC26" s="142"/>
      <x:c r="AD26" s="142"/>
      <x:c r="AE26" s="142"/>
      <x:c r="AF26" s="142"/>
    </x:row>
    <x:row r="27" ht="15" hidden="0" customHeight="1">
      <x:c r="A27" s="216" t="str">
        <x:v>CHK-01</x:v>
      </x:c>
      <x:c r="B27" s="216" t="str">
        <x:v>Tổng tỷ lệ giải ngân</x:v>
      </x:c>
      <x:c r="C27" s="211" t="n">
        <x:f>SUM(C12:AF12)</x:f>
        <x:v>1</x:v>
      </x:c>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t="str">
        <x:v>CHK-02</x:v>
      </x:c>
      <x:c r="B28" s="216" t="str">
        <x:v>Tổng CAPEX chưa VAT</x:v>
      </x:c>
      <x:c r="C28" s="212" t="n">
        <x:f>SUM(C13:AF13)</x:f>
        <x:v>5580</x:v>
      </x:c>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t="str">
        <x:v>CHK-03</x:v>
      </x:c>
      <x:c r="B29" s="216" t="str">
        <x:v>Tổng vốn vay giải ngân</x:v>
      </x:c>
      <x:c r="C29" s="212" t="n">
        <x:f>SUM(C20:AF20)</x:f>
        <x:v>3906</x:v>
      </x:c>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t="str">
        <x:v>CHK-04</x:v>
      </x:c>
      <x:c r="B30" s="216" t="str">
        <x:v>Tổng lãi vay xây dựng</x:v>
      </x:c>
      <x:c r="C30" s="212" t="n">
        <x:f>SUM(C23:AF23)</x:f>
        <x:v>351.54</x:v>
      </x:c>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t="str">
        <x:v>CHK-05</x:v>
      </x:c>
      <x:c r="B31" s="216" t="str">
        <x:v>Trạng thái mô hình vốn đầu tư</x:v>
      </x:c>
      <x:c r="C31" s="213" t="str">
        <x:f>IF(AND(ABS(C27-1)&lt;0.000001,ABS(C28-'Input'!$D$21)&lt;0.01,ABS(C29-'Input'!$D$63)&lt;0.01),"OK","KIỂM TRA")</x:f>
        <x:v>OK</x:v>
      </x:c>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1:AF11"/>
    <x:mergeCell ref="A26:AF26"/>
  </x:mergeCells>
  <x:conditionalFormatting sqref="C31:C31">
    <x:cfRule type="containsText" dxfId="4" priority="1" operator="containsText" text="OK"/>
    <x:cfRule type="containsText" dxfId="5" priority="2" operator="containsText" text="KIỂM TRA"/>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SẢN LƯỢNG, DOANH THU VÀ CHI PHÍ VẬN HÀNH</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Dự báo sản lượng điện thương phẩm, giá bán điện, doanh thu và O&amp;M theo toàn bộ vòng đời dự án.</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SẢN LƯỢNG VÀ DOANH THU</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REV-01</x:v>
      </x:c>
      <x:c r="B11" s="220" t="str">
        <x:v>Sản lượng điện thương phẩm (MWh)</x:v>
      </x:c>
      <x:c r="C11" s="161" t="n">
        <x:f>IF(C$8&gt;0,'Input'!$D$42*(1-'Input'!$D$43)^(C$8-1),0)</x:f>
        <x:v>0</x:v>
      </x:c>
      <x:c r="D11" s="161" t="n">
        <x:f>IF(D$8&gt;0,'Input'!$D$42*(1-'Input'!$D$43)^(D$8-1),0)</x:f>
        <x:v>0</x:v>
      </x:c>
      <x:c r="E11" s="161" t="n">
        <x:f>IF(E$8&gt;0,'Input'!$D$42*(1-'Input'!$D$43)^(E$8-1),0)</x:f>
        <x:v>473040</x:v>
      </x:c>
      <x:c r="F11" s="161" t="n">
        <x:f>IF(F$8&gt;0,'Input'!$D$42*(1-'Input'!$D$43)^(F$8-1),0)</x:f>
        <x:v>472093.92</x:v>
      </x:c>
      <x:c r="G11" s="161" t="n">
        <x:f>IF(G$8&gt;0,'Input'!$D$42*(1-'Input'!$D$43)^(G$8-1),0)</x:f>
        <x:v>471149.73216</x:v>
      </x:c>
      <x:c r="H11" s="161" t="n">
        <x:f>IF(H$8&gt;0,'Input'!$D$42*(1-'Input'!$D$43)^(H$8-1),0)</x:f>
        <x:v>470207.43269568</x:v>
      </x:c>
      <x:c r="I11" s="161" t="n">
        <x:f>IF(I$8&gt;0,'Input'!$D$42*(1-'Input'!$D$43)^(I$8-1),0)</x:f>
        <x:v>469267.0178302886</x:v>
      </x:c>
      <x:c r="J11" s="161" t="n">
        <x:f>IF(J$8&gt;0,'Input'!$D$42*(1-'Input'!$D$43)^(J$8-1),0)</x:f>
        <x:v>468328.48379462806</x:v>
      </x:c>
      <x:c r="K11" s="161" t="n">
        <x:f>IF(K$8&gt;0,'Input'!$D$42*(1-'Input'!$D$43)^(K$8-1),0)</x:f>
        <x:v>467391.82682703884</x:v>
      </x:c>
      <x:c r="L11" s="161" t="n">
        <x:f>IF(L$8&gt;0,'Input'!$D$42*(1-'Input'!$D$43)^(L$8-1),0)</x:f>
        <x:v>466457.04317338474</x:v>
      </x:c>
      <x:c r="M11" s="161" t="n">
        <x:f>IF(M$8&gt;0,'Input'!$D$42*(1-'Input'!$D$43)^(M$8-1),0)</x:f>
        <x:v>465524.12908703793</x:v>
      </x:c>
      <x:c r="N11" s="161" t="n">
        <x:f>IF(N$8&gt;0,'Input'!$D$42*(1-'Input'!$D$43)^(N$8-1),0)</x:f>
        <x:v>464593.0808288639</x:v>
      </x:c>
      <x:c r="O11" s="161" t="n">
        <x:f>IF(O$8&gt;0,'Input'!$D$42*(1-'Input'!$D$43)^(O$8-1),0)</x:f>
        <x:v>463663.89466720616</x:v>
      </x:c>
      <x:c r="P11" s="161" t="n">
        <x:f>IF(P$8&gt;0,'Input'!$D$42*(1-'Input'!$D$43)^(P$8-1),0)</x:f>
        <x:v>462736.5668778717</x:v>
      </x:c>
      <x:c r="Q11" s="161" t="n">
        <x:f>IF(Q$8&gt;0,'Input'!$D$42*(1-'Input'!$D$43)^(Q$8-1),0)</x:f>
        <x:v>461811.093744116</x:v>
      </x:c>
      <x:c r="R11" s="161" t="n">
        <x:f>IF(R$8&gt;0,'Input'!$D$42*(1-'Input'!$D$43)^(R$8-1),0)</x:f>
        <x:v>460887.4715566278</x:v>
      </x:c>
      <x:c r="S11" s="161" t="n">
        <x:f>IF(S$8&gt;0,'Input'!$D$42*(1-'Input'!$D$43)^(S$8-1),0)</x:f>
        <x:v>459965.6966135145</x:v>
      </x:c>
      <x:c r="T11" s="161" t="n">
        <x:f>IF(T$8&gt;0,'Input'!$D$42*(1-'Input'!$D$43)^(T$8-1),0)</x:f>
        <x:v>459045.7652202875</x:v>
      </x:c>
      <x:c r="U11" s="161" t="n">
        <x:f>IF(U$8&gt;0,'Input'!$D$42*(1-'Input'!$D$43)^(U$8-1),0)</x:f>
        <x:v>458127.67368984694</x:v>
      </x:c>
      <x:c r="V11" s="161" t="n">
        <x:f>IF(V$8&gt;0,'Input'!$D$42*(1-'Input'!$D$43)^(V$8-1),0)</x:f>
        <x:v>457211.41834246716</x:v>
      </x:c>
      <x:c r="W11" s="161" t="n">
        <x:f>IF(W$8&gt;0,'Input'!$D$42*(1-'Input'!$D$43)^(W$8-1),0)</x:f>
        <x:v>456296.99550578225</x:v>
      </x:c>
      <x:c r="X11" s="161" t="n">
        <x:f>IF(X$8&gt;0,'Input'!$D$42*(1-'Input'!$D$43)^(X$8-1),0)</x:f>
        <x:v>455384.4015147707</x:v>
      </x:c>
      <x:c r="Y11" s="161" t="n">
        <x:f>IF(Y$8&gt;0,'Input'!$D$42*(1-'Input'!$D$43)^(Y$8-1),0)</x:f>
        <x:v>0</x:v>
      </x:c>
      <x:c r="Z11" s="161" t="n">
        <x:f>IF(Z$8&gt;0,'Input'!$D$42*(1-'Input'!$D$43)^(Z$8-1),0)</x:f>
        <x:v>0</x:v>
      </x:c>
      <x:c r="AA11" s="161" t="n">
        <x:f>IF(AA$8&gt;0,'Input'!$D$42*(1-'Input'!$D$43)^(AA$8-1),0)</x:f>
        <x:v>0</x:v>
      </x:c>
      <x:c r="AB11" s="161" t="n">
        <x:f>IF(AB$8&gt;0,'Input'!$D$42*(1-'Input'!$D$43)^(AB$8-1),0)</x:f>
        <x:v>0</x:v>
      </x:c>
      <x:c r="AC11" s="161" t="n">
        <x:f>IF(AC$8&gt;0,'Input'!$D$42*(1-'Input'!$D$43)^(AC$8-1),0)</x:f>
        <x:v>0</x:v>
      </x:c>
      <x:c r="AD11" s="161" t="n">
        <x:f>IF(AD$8&gt;0,'Input'!$D$42*(1-'Input'!$D$43)^(AD$8-1),0)</x:f>
        <x:v>0</x:v>
      </x:c>
      <x:c r="AE11" s="161" t="n">
        <x:f>IF(AE$8&gt;0,'Input'!$D$42*(1-'Input'!$D$43)^(AE$8-1),0)</x:f>
        <x:v>0</x:v>
      </x:c>
      <x:c r="AF11" s="161" t="n">
        <x:f>IF(AF$8&gt;0,'Input'!$D$42*(1-'Input'!$D$43)^(AF$8-1),0)</x:f>
        <x:v>0</x:v>
      </x:c>
    </x:row>
    <x:row r="12" ht="15" hidden="0" customHeight="1">
      <x:c r="A12" s="219" t="str">
        <x:v>REV-02</x:v>
      </x:c>
      <x:c r="B12" s="219" t="str">
        <x:v>Hệ số suy giảm lũy kế</x:v>
      </x:c>
      <x:c r="C12" s="147" t="n">
        <x:f>IF(C$8&gt;0,(1-'Input'!$D$43)^(C$8-1),0)</x:f>
        <x:v>0</x:v>
      </x:c>
      <x:c r="D12" s="147" t="n">
        <x:f>IF(D$8&gt;0,(1-'Input'!$D$43)^(D$8-1),0)</x:f>
        <x:v>0</x:v>
      </x:c>
      <x:c r="E12" s="147" t="n">
        <x:f>IF(E$8&gt;0,(1-'Input'!$D$43)^(E$8-1),0)</x:f>
        <x:v>1</x:v>
      </x:c>
      <x:c r="F12" s="147" t="n">
        <x:f>IF(F$8&gt;0,(1-'Input'!$D$43)^(F$8-1),0)</x:f>
        <x:v>0.998</x:v>
      </x:c>
      <x:c r="G12" s="147" t="n">
        <x:f>IF(G$8&gt;0,(1-'Input'!$D$43)^(G$8-1),0)</x:f>
        <x:v>0.996004</x:v>
      </x:c>
      <x:c r="H12" s="147" t="n">
        <x:f>IF(H$8&gt;0,(1-'Input'!$D$43)^(H$8-1),0)</x:f>
        <x:v>0.994011992</x:v>
      </x:c>
      <x:c r="I12" s="147" t="n">
        <x:f>IF(I$8&gt;0,(1-'Input'!$D$43)^(I$8-1),0)</x:f>
        <x:v>0.992023968016</x:v>
      </x:c>
      <x:c r="J12" s="147" t="n">
        <x:f>IF(J$8&gt;0,(1-'Input'!$D$43)^(J$8-1),0)</x:f>
        <x:v>0.990039920079968</x:v>
      </x:c>
      <x:c r="K12" s="147" t="n">
        <x:f>IF(K$8&gt;0,(1-'Input'!$D$43)^(K$8-1),0)</x:f>
        <x:v>0.9880598402398081</x:v>
      </x:c>
      <x:c r="L12" s="147" t="n">
        <x:f>IF(L$8&gt;0,(1-'Input'!$D$43)^(L$8-1),0)</x:f>
        <x:v>0.9860837205593285</x:v>
      </x:c>
      <x:c r="M12" s="147" t="n">
        <x:f>IF(M$8&gt;0,(1-'Input'!$D$43)^(M$8-1),0)</x:f>
        <x:v>0.9841115531182097</x:v>
      </x:c>
      <x:c r="N12" s="147" t="n">
        <x:f>IF(N$8&gt;0,(1-'Input'!$D$43)^(N$8-1),0)</x:f>
        <x:v>0.9821433300119734</x:v>
      </x:c>
      <x:c r="O12" s="147" t="n">
        <x:f>IF(O$8&gt;0,(1-'Input'!$D$43)^(O$8-1),0)</x:f>
        <x:v>0.9801790433519494</x:v>
      </x:c>
      <x:c r="P12" s="147" t="n">
        <x:f>IF(P$8&gt;0,(1-'Input'!$D$43)^(P$8-1),0)</x:f>
        <x:v>0.9782186852652455</x:v>
      </x:c>
      <x:c r="Q12" s="147" t="n">
        <x:f>IF(Q$8&gt;0,(1-'Input'!$D$43)^(Q$8-1),0)</x:f>
        <x:v>0.976262247894715</x:v>
      </x:c>
      <x:c r="R12" s="147" t="n">
        <x:f>IF(R$8&gt;0,(1-'Input'!$D$43)^(R$8-1),0)</x:f>
        <x:v>0.9743097233989256</x:v>
      </x:c>
      <x:c r="S12" s="147" t="n">
        <x:f>IF(S$8&gt;0,(1-'Input'!$D$43)^(S$8-1),0)</x:f>
        <x:v>0.9723611039521277</x:v>
      </x:c>
      <x:c r="T12" s="147" t="n">
        <x:f>IF(T$8&gt;0,(1-'Input'!$D$43)^(T$8-1),0)</x:f>
        <x:v>0.9704163817442235</x:v>
      </x:c>
      <x:c r="U12" s="147" t="n">
        <x:f>IF(U$8&gt;0,(1-'Input'!$D$43)^(U$8-1),0)</x:f>
        <x:v>0.9684755489807351</x:v>
      </x:c>
      <x:c r="V12" s="147" t="n">
        <x:f>IF(V$8&gt;0,(1-'Input'!$D$43)^(V$8-1),0)</x:f>
        <x:v>0.9665385978827735</x:v>
      </x:c>
      <x:c r="W12" s="147" t="n">
        <x:f>IF(W$8&gt;0,(1-'Input'!$D$43)^(W$8-1),0)</x:f>
        <x:v>0.964605520687008</x:v>
      </x:c>
      <x:c r="X12" s="147" t="n">
        <x:f>IF(X$8&gt;0,(1-'Input'!$D$43)^(X$8-1),0)</x:f>
        <x:v>0.962676309645634</x:v>
      </x:c>
      <x:c r="Y12" s="147" t="n">
        <x:f>IF(Y$8&gt;0,(1-'Input'!$D$43)^(Y$8-1),0)</x:f>
        <x:v>0</x:v>
      </x:c>
      <x:c r="Z12" s="147" t="n">
        <x:f>IF(Z$8&gt;0,(1-'Input'!$D$43)^(Z$8-1),0)</x:f>
        <x:v>0</x:v>
      </x:c>
      <x:c r="AA12" s="147" t="n">
        <x:f>IF(AA$8&gt;0,(1-'Input'!$D$43)^(AA$8-1),0)</x:f>
        <x:v>0</x:v>
      </x:c>
      <x:c r="AB12" s="147" t="n">
        <x:f>IF(AB$8&gt;0,(1-'Input'!$D$43)^(AB$8-1),0)</x:f>
        <x:v>0</x:v>
      </x:c>
      <x:c r="AC12" s="147" t="n">
        <x:f>IF(AC$8&gt;0,(1-'Input'!$D$43)^(AC$8-1),0)</x:f>
        <x:v>0</x:v>
      </x:c>
      <x:c r="AD12" s="147" t="n">
        <x:f>IF(AD$8&gt;0,(1-'Input'!$D$43)^(AD$8-1),0)</x:f>
        <x:v>0</x:v>
      </x:c>
      <x:c r="AE12" s="147" t="n">
        <x:f>IF(AE$8&gt;0,(1-'Input'!$D$43)^(AE$8-1),0)</x:f>
        <x:v>0</x:v>
      </x:c>
      <x:c r="AF12" s="147" t="n">
        <x:f>IF(AF$8&gt;0,(1-'Input'!$D$43)^(AF$8-1),0)</x:f>
        <x:v>0</x:v>
      </x:c>
    </x:row>
    <x:row r="13" ht="15" hidden="0" customHeight="1">
      <x:c r="A13" s="219" t="str">
        <x:v>REV-03</x:v>
      </x:c>
      <x:c r="B13" s="220" t="str">
        <x:v>Giá bán điện (VND/kWh)</x:v>
      </x:c>
      <x:c r="C13" s="150" t="n">
        <x:f>IF(C$8&gt;0,'Input'!$D$44*(1+'Input'!$D$45)^(C$8-1),0)</x:f>
        <x:v>0</x:v>
      </x:c>
      <x:c r="D13" s="150" t="n">
        <x:f>IF(D$8&gt;0,'Input'!$D$44*(1+'Input'!$D$45)^(D$8-1),0)</x:f>
        <x:v>0</x:v>
      </x:c>
      <x:c r="E13" s="150" t="n">
        <x:f>IF(E$8&gt;0,'Input'!$D$44*(1+'Input'!$D$45)^(E$8-1),0)</x:f>
        <x:v>1807.4</x:v>
      </x:c>
      <x:c r="F13" s="150" t="n">
        <x:f>IF(F$8&gt;0,'Input'!$D$44*(1+'Input'!$D$45)^(F$8-1),0)</x:f>
        <x:v>1807.4</x:v>
      </x:c>
      <x:c r="G13" s="150" t="n">
        <x:f>IF(G$8&gt;0,'Input'!$D$44*(1+'Input'!$D$45)^(G$8-1),0)</x:f>
        <x:v>1807.4</x:v>
      </x:c>
      <x:c r="H13" s="150" t="n">
        <x:f>IF(H$8&gt;0,'Input'!$D$44*(1+'Input'!$D$45)^(H$8-1),0)</x:f>
        <x:v>1807.4</x:v>
      </x:c>
      <x:c r="I13" s="150" t="n">
        <x:f>IF(I$8&gt;0,'Input'!$D$44*(1+'Input'!$D$45)^(I$8-1),0)</x:f>
        <x:v>1807.4</x:v>
      </x:c>
      <x:c r="J13" s="150" t="n">
        <x:f>IF(J$8&gt;0,'Input'!$D$44*(1+'Input'!$D$45)^(J$8-1),0)</x:f>
        <x:v>1807.4</x:v>
      </x:c>
      <x:c r="K13" s="150" t="n">
        <x:f>IF(K$8&gt;0,'Input'!$D$44*(1+'Input'!$D$45)^(K$8-1),0)</x:f>
        <x:v>1807.4</x:v>
      </x:c>
      <x:c r="L13" s="150" t="n">
        <x:f>IF(L$8&gt;0,'Input'!$D$44*(1+'Input'!$D$45)^(L$8-1),0)</x:f>
        <x:v>1807.4</x:v>
      </x:c>
      <x:c r="M13" s="150" t="n">
        <x:f>IF(M$8&gt;0,'Input'!$D$44*(1+'Input'!$D$45)^(M$8-1),0)</x:f>
        <x:v>1807.4</x:v>
      </x:c>
      <x:c r="N13" s="150" t="n">
        <x:f>IF(N$8&gt;0,'Input'!$D$44*(1+'Input'!$D$45)^(N$8-1),0)</x:f>
        <x:v>1807.4</x:v>
      </x:c>
      <x:c r="O13" s="150" t="n">
        <x:f>IF(O$8&gt;0,'Input'!$D$44*(1+'Input'!$D$45)^(O$8-1),0)</x:f>
        <x:v>1807.4</x:v>
      </x:c>
      <x:c r="P13" s="150" t="n">
        <x:f>IF(P$8&gt;0,'Input'!$D$44*(1+'Input'!$D$45)^(P$8-1),0)</x:f>
        <x:v>1807.4</x:v>
      </x:c>
      <x:c r="Q13" s="150" t="n">
        <x:f>IF(Q$8&gt;0,'Input'!$D$44*(1+'Input'!$D$45)^(Q$8-1),0)</x:f>
        <x:v>1807.4</x:v>
      </x:c>
      <x:c r="R13" s="150" t="n">
        <x:f>IF(R$8&gt;0,'Input'!$D$44*(1+'Input'!$D$45)^(R$8-1),0)</x:f>
        <x:v>1807.4</x:v>
      </x:c>
      <x:c r="S13" s="150" t="n">
        <x:f>IF(S$8&gt;0,'Input'!$D$44*(1+'Input'!$D$45)^(S$8-1),0)</x:f>
        <x:v>1807.4</x:v>
      </x:c>
      <x:c r="T13" s="150" t="n">
        <x:f>IF(T$8&gt;0,'Input'!$D$44*(1+'Input'!$D$45)^(T$8-1),0)</x:f>
        <x:v>1807.4</x:v>
      </x:c>
      <x:c r="U13" s="150" t="n">
        <x:f>IF(U$8&gt;0,'Input'!$D$44*(1+'Input'!$D$45)^(U$8-1),0)</x:f>
        <x:v>1807.4</x:v>
      </x:c>
      <x:c r="V13" s="150" t="n">
        <x:f>IF(V$8&gt;0,'Input'!$D$44*(1+'Input'!$D$45)^(V$8-1),0)</x:f>
        <x:v>1807.4</x:v>
      </x:c>
      <x:c r="W13" s="150" t="n">
        <x:f>IF(W$8&gt;0,'Input'!$D$44*(1+'Input'!$D$45)^(W$8-1),0)</x:f>
        <x:v>1807.4</x:v>
      </x:c>
      <x:c r="X13" s="150" t="n">
        <x:f>IF(X$8&gt;0,'Input'!$D$44*(1+'Input'!$D$45)^(X$8-1),0)</x:f>
        <x:v>1807.4</x:v>
      </x:c>
      <x:c r="Y13" s="150" t="n">
        <x:f>IF(Y$8&gt;0,'Input'!$D$44*(1+'Input'!$D$45)^(Y$8-1),0)</x:f>
        <x:v>0</x:v>
      </x:c>
      <x:c r="Z13" s="150" t="n">
        <x:f>IF(Z$8&gt;0,'Input'!$D$44*(1+'Input'!$D$45)^(Z$8-1),0)</x:f>
        <x:v>0</x:v>
      </x:c>
      <x:c r="AA13" s="150" t="n">
        <x:f>IF(AA$8&gt;0,'Input'!$D$44*(1+'Input'!$D$45)^(AA$8-1),0)</x:f>
        <x:v>0</x:v>
      </x:c>
      <x:c r="AB13" s="150" t="n">
        <x:f>IF(AB$8&gt;0,'Input'!$D$44*(1+'Input'!$D$45)^(AB$8-1),0)</x:f>
        <x:v>0</x:v>
      </x:c>
      <x:c r="AC13" s="150" t="n">
        <x:f>IF(AC$8&gt;0,'Input'!$D$44*(1+'Input'!$D$45)^(AC$8-1),0)</x:f>
        <x:v>0</x:v>
      </x:c>
      <x:c r="AD13" s="150" t="n">
        <x:f>IF(AD$8&gt;0,'Input'!$D$44*(1+'Input'!$D$45)^(AD$8-1),0)</x:f>
        <x:v>0</x:v>
      </x:c>
      <x:c r="AE13" s="150" t="n">
        <x:f>IF(AE$8&gt;0,'Input'!$D$44*(1+'Input'!$D$45)^(AE$8-1),0)</x:f>
        <x:v>0</x:v>
      </x:c>
      <x:c r="AF13" s="150" t="n">
        <x:f>IF(AF$8&gt;0,'Input'!$D$44*(1+'Input'!$D$45)^(AF$8-1),0)</x:f>
        <x:v>0</x:v>
      </x:c>
    </x:row>
    <x:row r="14" ht="15" hidden="0" customHeight="1">
      <x:c r="A14" s="219" t="str">
        <x:v>REV-04</x:v>
      </x:c>
      <x:c r="B14" s="219" t="str">
        <x:v>Doanh thu bán điện</x:v>
      </x:c>
      <x:c r="C14" s="153" t="n">
        <x:f>C11*1000*C13/1000000000</x:f>
        <x:v>0</x:v>
      </x:c>
      <x:c r="D14" s="153" t="n">
        <x:f>D11*1000*D13/1000000000</x:f>
        <x:v>0</x:v>
      </x:c>
      <x:c r="E14" s="153" t="n">
        <x:f>E11*1000*E13/1000000000</x:f>
        <x:v>854.972496</x:v>
      </x:c>
      <x:c r="F14" s="153" t="n">
        <x:f>F11*1000*F13/1000000000</x:f>
        <x:v>853.262551008</x:v>
      </x:c>
      <x:c r="G14" s="153" t="n">
        <x:f>G11*1000*G13/1000000000</x:f>
        <x:v>851.5560259059841</x:v>
      </x:c>
      <x:c r="H14" s="153" t="n">
        <x:f>H11*1000*H13/1000000000</x:f>
        <x:v>849.8529138541721</x:v>
      </x:c>
      <x:c r="I14" s="153" t="n">
        <x:f>I11*1000*I13/1000000000</x:f>
        <x:v>848.1532080264637</x:v>
      </x:c>
      <x:c r="J14" s="153" t="n">
        <x:f>J11*1000*J13/1000000000</x:f>
        <x:v>846.4569016104109</x:v>
      </x:c>
      <x:c r="K14" s="153" t="n">
        <x:f>K11*1000*K13/1000000000</x:f>
        <x:v>844.7639878071901</x:v>
      </x:c>
      <x:c r="L14" s="153" t="n">
        <x:f>L11*1000*L13/1000000000</x:f>
        <x:v>843.0744598315756</x:v>
      </x:c>
      <x:c r="M14" s="153" t="n">
        <x:f>M11*1000*M13/1000000000</x:f>
        <x:v>841.3883109119123</x:v>
      </x:c>
      <x:c r="N14" s="153" t="n">
        <x:f>N11*1000*N13/1000000000</x:f>
        <x:v>839.7055342900887</x:v>
      </x:c>
      <x:c r="O14" s="153" t="n">
        <x:f>O11*1000*O13/1000000000</x:f>
        <x:v>838.0261232215084</x:v>
      </x:c>
      <x:c r="P14" s="153" t="n">
        <x:f>P11*1000*P13/1000000000</x:f>
        <x:v>836.3500709750654</x:v>
      </x:c>
      <x:c r="Q14" s="153" t="n">
        <x:f>Q11*1000*Q13/1000000000</x:f>
        <x:v>834.6773708331153</x:v>
      </x:c>
      <x:c r="R14" s="153" t="n">
        <x:f>R11*1000*R13/1000000000</x:f>
        <x:v>833.0080160914491</x:v>
      </x:c>
      <x:c r="S14" s="153" t="n">
        <x:f>S11*1000*S13/1000000000</x:f>
        <x:v>831.3420000592661</x:v>
      </x:c>
      <x:c r="T14" s="153" t="n">
        <x:f>T11*1000*T13/1000000000</x:f>
        <x:v>829.6793160591477</x:v>
      </x:c>
      <x:c r="U14" s="153" t="n">
        <x:f>U11*1000*U13/1000000000</x:f>
        <x:v>828.0199574270295</x:v>
      </x:c>
      <x:c r="V14" s="153" t="n">
        <x:f>V11*1000*V13/1000000000</x:f>
        <x:v>826.3639175121752</x:v>
      </x:c>
      <x:c r="W14" s="153" t="n">
        <x:f>W11*1000*W13/1000000000</x:f>
        <x:v>824.7111896771509</x:v>
      </x:c>
      <x:c r="X14" s="153" t="n">
        <x:f>X11*1000*X13/1000000000</x:f>
        <x:v>823.0617672977967</x:v>
      </x:c>
      <x:c r="Y14" s="153" t="n">
        <x:f>Y11*1000*Y13/1000000000</x:f>
        <x:v>0</x:v>
      </x:c>
      <x:c r="Z14" s="153" t="n">
        <x:f>Z11*1000*Z13/1000000000</x:f>
        <x:v>0</x:v>
      </x:c>
      <x:c r="AA14" s="153" t="n">
        <x:f>AA11*1000*AA13/1000000000</x:f>
        <x:v>0</x:v>
      </x:c>
      <x:c r="AB14" s="153" t="n">
        <x:f>AB11*1000*AB13/1000000000</x:f>
        <x:v>0</x:v>
      </x:c>
      <x:c r="AC14" s="153" t="n">
        <x:f>AC11*1000*AC13/1000000000</x:f>
        <x:v>0</x:v>
      </x:c>
      <x:c r="AD14" s="153" t="n">
        <x:f>AD11*1000*AD13/1000000000</x:f>
        <x:v>0</x:v>
      </x:c>
      <x:c r="AE14" s="153" t="n">
        <x:f>AE11*1000*AE13/1000000000</x:f>
        <x:v>0</x:v>
      </x:c>
      <x:c r="AF14" s="153" t="n">
        <x:f>AF11*1000*AF13/1000000000</x:f>
        <x:v>0</x:v>
      </x:c>
    </x:row>
    <x:row r="15" ht="15" hidden="0" customHeight="1">
      <x:c r="A15" s="219" t="str">
        <x:v>REV-05</x:v>
      </x:c>
      <x:c r="B15" s="219" t="str">
        <x:v>Doanh thu khác</x:v>
      </x:c>
      <x:c r="C15" s="153" t="n">
        <x:f>IF(C$8&gt;0,'Input'!$D$46*(1+'Input'!$D$45)^(C$8-1),0)</x:f>
        <x:v>0</x:v>
      </x:c>
      <x:c r="D15" s="153" t="n">
        <x:f>IF(D$8&gt;0,'Input'!$D$46*(1+'Input'!$D$45)^(D$8-1),0)</x:f>
        <x:v>0</x:v>
      </x:c>
      <x:c r="E15" s="153" t="n">
        <x:f>IF(E$8&gt;0,'Input'!$D$46*(1+'Input'!$D$45)^(E$8-1),0)</x:f>
        <x:v>0</x:v>
      </x:c>
      <x:c r="F15" s="153" t="n">
        <x:f>IF(F$8&gt;0,'Input'!$D$46*(1+'Input'!$D$45)^(F$8-1),0)</x:f>
        <x:v>0</x:v>
      </x:c>
      <x:c r="G15" s="153" t="n">
        <x:f>IF(G$8&gt;0,'Input'!$D$46*(1+'Input'!$D$45)^(G$8-1),0)</x:f>
        <x:v>0</x:v>
      </x:c>
      <x:c r="H15" s="153" t="n">
        <x:f>IF(H$8&gt;0,'Input'!$D$46*(1+'Input'!$D$45)^(H$8-1),0)</x:f>
        <x:v>0</x:v>
      </x:c>
      <x:c r="I15" s="153" t="n">
        <x:f>IF(I$8&gt;0,'Input'!$D$46*(1+'Input'!$D$45)^(I$8-1),0)</x:f>
        <x:v>0</x:v>
      </x:c>
      <x:c r="J15" s="153" t="n">
        <x:f>IF(J$8&gt;0,'Input'!$D$46*(1+'Input'!$D$45)^(J$8-1),0)</x:f>
        <x:v>0</x:v>
      </x:c>
      <x:c r="K15" s="153" t="n">
        <x:f>IF(K$8&gt;0,'Input'!$D$46*(1+'Input'!$D$45)^(K$8-1),0)</x:f>
        <x:v>0</x:v>
      </x:c>
      <x:c r="L15" s="153" t="n">
        <x:f>IF(L$8&gt;0,'Input'!$D$46*(1+'Input'!$D$45)^(L$8-1),0)</x:f>
        <x:v>0</x:v>
      </x:c>
      <x:c r="M15" s="153" t="n">
        <x:f>IF(M$8&gt;0,'Input'!$D$46*(1+'Input'!$D$45)^(M$8-1),0)</x:f>
        <x:v>0</x:v>
      </x:c>
      <x:c r="N15" s="153" t="n">
        <x:f>IF(N$8&gt;0,'Input'!$D$46*(1+'Input'!$D$45)^(N$8-1),0)</x:f>
        <x:v>0</x:v>
      </x:c>
      <x:c r="O15" s="153" t="n">
        <x:f>IF(O$8&gt;0,'Input'!$D$46*(1+'Input'!$D$45)^(O$8-1),0)</x:f>
        <x:v>0</x:v>
      </x:c>
      <x:c r="P15" s="153" t="n">
        <x:f>IF(P$8&gt;0,'Input'!$D$46*(1+'Input'!$D$45)^(P$8-1),0)</x:f>
        <x:v>0</x:v>
      </x:c>
      <x:c r="Q15" s="153" t="n">
        <x:f>IF(Q$8&gt;0,'Input'!$D$46*(1+'Input'!$D$45)^(Q$8-1),0)</x:f>
        <x:v>0</x:v>
      </x:c>
      <x:c r="R15" s="153" t="n">
        <x:f>IF(R$8&gt;0,'Input'!$D$46*(1+'Input'!$D$45)^(R$8-1),0)</x:f>
        <x:v>0</x:v>
      </x:c>
      <x:c r="S15" s="153" t="n">
        <x:f>IF(S$8&gt;0,'Input'!$D$46*(1+'Input'!$D$45)^(S$8-1),0)</x:f>
        <x:v>0</x:v>
      </x:c>
      <x:c r="T15" s="153" t="n">
        <x:f>IF(T$8&gt;0,'Input'!$D$46*(1+'Input'!$D$45)^(T$8-1),0)</x:f>
        <x:v>0</x:v>
      </x:c>
      <x:c r="U15" s="153" t="n">
        <x:f>IF(U$8&gt;0,'Input'!$D$46*(1+'Input'!$D$45)^(U$8-1),0)</x:f>
        <x:v>0</x:v>
      </x:c>
      <x:c r="V15" s="153" t="n">
        <x:f>IF(V$8&gt;0,'Input'!$D$46*(1+'Input'!$D$45)^(V$8-1),0)</x:f>
        <x:v>0</x:v>
      </x:c>
      <x:c r="W15" s="153" t="n">
        <x:f>IF(W$8&gt;0,'Input'!$D$46*(1+'Input'!$D$45)^(W$8-1),0)</x:f>
        <x:v>0</x:v>
      </x:c>
      <x:c r="X15" s="153" t="n">
        <x:f>IF(X$8&gt;0,'Input'!$D$46*(1+'Input'!$D$45)^(X$8-1),0)</x:f>
        <x:v>0</x:v>
      </x:c>
      <x:c r="Y15" s="153" t="n">
        <x:f>IF(Y$8&gt;0,'Input'!$D$46*(1+'Input'!$D$45)^(Y$8-1),0)</x:f>
        <x:v>0</x:v>
      </x:c>
      <x:c r="Z15" s="153" t="n">
        <x:f>IF(Z$8&gt;0,'Input'!$D$46*(1+'Input'!$D$45)^(Z$8-1),0)</x:f>
        <x:v>0</x:v>
      </x:c>
      <x:c r="AA15" s="153" t="n">
        <x:f>IF(AA$8&gt;0,'Input'!$D$46*(1+'Input'!$D$45)^(AA$8-1),0)</x:f>
        <x:v>0</x:v>
      </x:c>
      <x:c r="AB15" s="153" t="n">
        <x:f>IF(AB$8&gt;0,'Input'!$D$46*(1+'Input'!$D$45)^(AB$8-1),0)</x:f>
        <x:v>0</x:v>
      </x:c>
      <x:c r="AC15" s="153" t="n">
        <x:f>IF(AC$8&gt;0,'Input'!$D$46*(1+'Input'!$D$45)^(AC$8-1),0)</x:f>
        <x:v>0</x:v>
      </x:c>
      <x:c r="AD15" s="153" t="n">
        <x:f>IF(AD$8&gt;0,'Input'!$D$46*(1+'Input'!$D$45)^(AD$8-1),0)</x:f>
        <x:v>0</x:v>
      </x:c>
      <x:c r="AE15" s="153" t="n">
        <x:f>IF(AE$8&gt;0,'Input'!$D$46*(1+'Input'!$D$45)^(AE$8-1),0)</x:f>
        <x:v>0</x:v>
      </x:c>
      <x:c r="AF15" s="153" t="n">
        <x:f>IF(AF$8&gt;0,'Input'!$D$46*(1+'Input'!$D$45)^(AF$8-1),0)</x:f>
        <x:v>0</x:v>
      </x:c>
    </x:row>
    <x:row r="16" ht="15" hidden="0" customHeight="1">
      <x:c r="A16" s="219" t="str">
        <x:v>REV-06</x:v>
      </x:c>
      <x:c r="B16" s="220" t="str">
        <x:v>Tổng doanh thu</x:v>
      </x:c>
      <x:c r="C16" s="150" t="n">
        <x:f>SUM(C14:C15)</x:f>
        <x:v>0</x:v>
      </x:c>
      <x:c r="D16" s="150" t="n">
        <x:f>SUM(D14:D15)</x:f>
        <x:v>0</x:v>
      </x:c>
      <x:c r="E16" s="150" t="n">
        <x:f>SUM(E14:E15)</x:f>
        <x:v>854.972496</x:v>
      </x:c>
      <x:c r="F16" s="150" t="n">
        <x:f>SUM(F14:F15)</x:f>
        <x:v>853.262551008</x:v>
      </x:c>
      <x:c r="G16" s="150" t="n">
        <x:f>SUM(G14:G15)</x:f>
        <x:v>851.5560259059841</x:v>
      </x:c>
      <x:c r="H16" s="150" t="n">
        <x:f>SUM(H14:H15)</x:f>
        <x:v>849.8529138541721</x:v>
      </x:c>
      <x:c r="I16" s="150" t="n">
        <x:f>SUM(I14:I15)</x:f>
        <x:v>848.1532080264637</x:v>
      </x:c>
      <x:c r="J16" s="150" t="n">
        <x:f>SUM(J14:J15)</x:f>
        <x:v>846.4569016104109</x:v>
      </x:c>
      <x:c r="K16" s="150" t="n">
        <x:f>SUM(K14:K15)</x:f>
        <x:v>844.7639878071901</x:v>
      </x:c>
      <x:c r="L16" s="150" t="n">
        <x:f>SUM(L14:L15)</x:f>
        <x:v>843.0744598315756</x:v>
      </x:c>
      <x:c r="M16" s="150" t="n">
        <x:f>SUM(M14:M15)</x:f>
        <x:v>841.3883109119123</x:v>
      </x:c>
      <x:c r="N16" s="150" t="n">
        <x:f>SUM(N14:N15)</x:f>
        <x:v>839.7055342900887</x:v>
      </x:c>
      <x:c r="O16" s="150" t="n">
        <x:f>SUM(O14:O15)</x:f>
        <x:v>838.0261232215084</x:v>
      </x:c>
      <x:c r="P16" s="150" t="n">
        <x:f>SUM(P14:P15)</x:f>
        <x:v>836.3500709750654</x:v>
      </x:c>
      <x:c r="Q16" s="150" t="n">
        <x:f>SUM(Q14:Q15)</x:f>
        <x:v>834.6773708331153</x:v>
      </x:c>
      <x:c r="R16" s="150" t="n">
        <x:f>SUM(R14:R15)</x:f>
        <x:v>833.0080160914491</x:v>
      </x:c>
      <x:c r="S16" s="150" t="n">
        <x:f>SUM(S14:S15)</x:f>
        <x:v>831.3420000592661</x:v>
      </x:c>
      <x:c r="T16" s="150" t="n">
        <x:f>SUM(T14:T15)</x:f>
        <x:v>829.6793160591477</x:v>
      </x:c>
      <x:c r="U16" s="150" t="n">
        <x:f>SUM(U14:U15)</x:f>
        <x:v>828.0199574270295</x:v>
      </x:c>
      <x:c r="V16" s="150" t="n">
        <x:f>SUM(V14:V15)</x:f>
        <x:v>826.3639175121752</x:v>
      </x:c>
      <x:c r="W16" s="150" t="n">
        <x:f>SUM(W14:W15)</x:f>
        <x:v>824.7111896771509</x:v>
      </x:c>
      <x:c r="X16" s="150" t="n">
        <x:f>SUM(X14:X15)</x:f>
        <x:v>823.0617672977967</x:v>
      </x:c>
      <x:c r="Y16" s="150" t="n">
        <x:f>SUM(Y14:Y15)</x:f>
        <x:v>0</x:v>
      </x:c>
      <x:c r="Z16" s="150" t="n">
        <x:f>SUM(Z14:Z15)</x:f>
        <x:v>0</x:v>
      </x:c>
      <x:c r="AA16" s="150" t="n">
        <x:f>SUM(AA14:AA15)</x:f>
        <x:v>0</x:v>
      </x:c>
      <x:c r="AB16" s="150" t="n">
        <x:f>SUM(AB14:AB15)</x:f>
        <x:v>0</x:v>
      </x:c>
      <x:c r="AC16" s="150" t="n">
        <x:f>SUM(AC14:AC15)</x:f>
        <x:v>0</x:v>
      </x:c>
      <x:c r="AD16" s="150" t="n">
        <x:f>SUM(AD14:AD15)</x:f>
        <x:v>0</x:v>
      </x:c>
      <x:c r="AE16" s="150" t="n">
        <x:f>SUM(AE14:AE15)</x:f>
        <x:v>0</x:v>
      </x:c>
      <x:c r="AF16" s="150" t="n">
        <x:f>SUM(AF14:AF15)</x:f>
        <x:v>0</x:v>
      </x:c>
    </x:row>
    <x:row r="17" ht="15" hidden="0" customHeight="1">
      <x:c r="A17" s="216"/>
      <x:c r="B17" s="216"/>
      <x:c r="C17" s="209"/>
      <x:c r="D17" s="209"/>
      <x:c r="E17" s="209"/>
      <x:c r="F17" s="209"/>
      <x:c r="G17" s="209"/>
      <x:c r="H17" s="209"/>
      <x:c r="I17" s="209"/>
      <x:c r="J17" s="209"/>
      <x:c r="K17" s="209"/>
      <x:c r="L17" s="209"/>
      <x:c r="M17" s="209"/>
      <x:c r="N17" s="209"/>
      <x:c r="O17" s="209"/>
      <x:c r="P17" s="209"/>
      <x:c r="Q17" s="209"/>
      <x:c r="R17" s="209"/>
      <x:c r="S17" s="209"/>
      <x:c r="T17" s="209"/>
      <x:c r="U17" s="209"/>
      <x:c r="V17" s="209"/>
      <x:c r="W17" s="209"/>
      <x:c r="X17" s="209"/>
      <x:c r="Y17" s="209"/>
      <x:c r="Z17" s="209"/>
      <x:c r="AA17" s="209"/>
      <x:c r="AB17" s="209"/>
      <x:c r="AC17" s="209"/>
      <x:c r="AD17" s="209"/>
      <x:c r="AE17" s="209"/>
      <x:c r="AF17" s="209"/>
    </x:row>
    <x:row r="18" ht="15" hidden="0" customHeight="1">
      <x:c r="A18" s="218" t="str">
        <x:v>2. CHI PHÍ VẬN HÀNH</x:v>
      </x:c>
      <x:c r="B18" s="218"/>
      <x:c r="C18" s="142"/>
      <x:c r="D18" s="142"/>
      <x:c r="E18" s="142"/>
      <x:c r="F18" s="142"/>
      <x:c r="G18" s="142"/>
      <x:c r="H18" s="142"/>
      <x:c r="I18" s="142"/>
      <x:c r="J18" s="142"/>
      <x:c r="K18" s="142"/>
      <x:c r="L18" s="142"/>
      <x:c r="M18" s="142"/>
      <x:c r="N18" s="142"/>
      <x:c r="O18" s="142"/>
      <x:c r="P18" s="142"/>
      <x:c r="Q18" s="142"/>
      <x:c r="R18" s="142"/>
      <x:c r="S18" s="142"/>
      <x:c r="T18" s="142"/>
      <x:c r="U18" s="142"/>
      <x:c r="V18" s="142"/>
      <x:c r="W18" s="142"/>
      <x:c r="X18" s="142"/>
      <x:c r="Y18" s="142"/>
      <x:c r="Z18" s="142"/>
      <x:c r="AA18" s="142"/>
      <x:c r="AB18" s="142"/>
      <x:c r="AC18" s="142"/>
      <x:c r="AD18" s="142"/>
      <x:c r="AE18" s="142"/>
      <x:c r="AF18" s="142"/>
    </x:row>
    <x:row r="19" ht="15" hidden="0" customHeight="1">
      <x:c r="A19" s="219" t="str">
        <x:v>OPE-01</x:v>
      </x:c>
      <x:c r="B19" s="219" t="str">
        <x:v>Chi phí O&amp;M</x:v>
      </x:c>
      <x:c r="C19" s="153" t="n">
        <x:f>IF(C$8&gt;0,'Input'!$D$50*(1+'Input'!$D$51)^(C$8-1),0)</x:f>
        <x:v>0</x:v>
      </x:c>
      <x:c r="D19" s="153" t="n">
        <x:f>IF(D$8&gt;0,'Input'!$D$50*(1+'Input'!$D$51)^(D$8-1),0)</x:f>
        <x:v>0</x:v>
      </x:c>
      <x:c r="E19" s="153" t="n">
        <x:f>IF(E$8&gt;0,'Input'!$D$50*(1+'Input'!$D$51)^(E$8-1),0)</x:f>
        <x:v>111.6</x:v>
      </x:c>
      <x:c r="F19" s="153" t="n">
        <x:f>IF(F$8&gt;0,'Input'!$D$50*(1+'Input'!$D$51)^(F$8-1),0)</x:f>
        <x:v>114.948</x:v>
      </x:c>
      <x:c r="G19" s="153" t="n">
        <x:f>IF(G$8&gt;0,'Input'!$D$50*(1+'Input'!$D$51)^(G$8-1),0)</x:f>
        <x:v>118.39643999999998</x:v>
      </x:c>
      <x:c r="H19" s="153" t="n">
        <x:f>IF(H$8&gt;0,'Input'!$D$50*(1+'Input'!$D$51)^(H$8-1),0)</x:f>
        <x:v>121.9483332</x:v>
      </x:c>
      <x:c r="I19" s="153" t="n">
        <x:f>IF(I$8&gt;0,'Input'!$D$50*(1+'Input'!$D$51)^(I$8-1),0)</x:f>
        <x:v>125.60678319600001</x:v>
      </x:c>
      <x:c r="J19" s="153" t="n">
        <x:f>IF(J$8&gt;0,'Input'!$D$50*(1+'Input'!$D$51)^(J$8-1),0)</x:f>
        <x:v>129.37498669188</x:v>
      </x:c>
      <x:c r="K19" s="153" t="n">
        <x:f>IF(K$8&gt;0,'Input'!$D$50*(1+'Input'!$D$51)^(K$8-1),0)</x:f>
        <x:v>133.2562362926364</x:v>
      </x:c>
      <x:c r="L19" s="153" t="n">
        <x:f>IF(L$8&gt;0,'Input'!$D$50*(1+'Input'!$D$51)^(L$8-1),0)</x:f>
        <x:v>137.25392338141552</x:v>
      </x:c>
      <x:c r="M19" s="153" t="n">
        <x:f>IF(M$8&gt;0,'Input'!$D$50*(1+'Input'!$D$51)^(M$8-1),0)</x:f>
        <x:v>141.371541082858</x:v>
      </x:c>
      <x:c r="N19" s="153" t="n">
        <x:f>IF(N$8&gt;0,'Input'!$D$50*(1+'Input'!$D$51)^(N$8-1),0)</x:f>
        <x:v>145.61268731534372</x:v>
      </x:c>
      <x:c r="O19" s="153" t="n">
        <x:f>IF(O$8&gt;0,'Input'!$D$50*(1+'Input'!$D$51)^(O$8-1),0)</x:f>
        <x:v>149.98106793480403</x:v>
      </x:c>
      <x:c r="P19" s="153" t="n">
        <x:f>IF(P$8&gt;0,'Input'!$D$50*(1+'Input'!$D$51)^(P$8-1),0)</x:f>
        <x:v>154.48049997284815</x:v>
      </x:c>
      <x:c r="Q19" s="153" t="n">
        <x:f>IF(Q$8&gt;0,'Input'!$D$50*(1+'Input'!$D$51)^(Q$8-1),0)</x:f>
        <x:v>159.1149149720336</x:v>
      </x:c>
      <x:c r="R19" s="153" t="n">
        <x:f>IF(R$8&gt;0,'Input'!$D$50*(1+'Input'!$D$51)^(R$8-1),0)</x:f>
        <x:v>163.8883624211946</x:v>
      </x:c>
      <x:c r="S19" s="153" t="n">
        <x:f>IF(S$8&gt;0,'Input'!$D$50*(1+'Input'!$D$51)^(S$8-1),0)</x:f>
        <x:v>168.80501329383048</x:v>
      </x:c>
      <x:c r="T19" s="153" t="n">
        <x:f>IF(T$8&gt;0,'Input'!$D$50*(1+'Input'!$D$51)^(T$8-1),0)</x:f>
        <x:v>173.86916369264537</x:v>
      </x:c>
      <x:c r="U19" s="153" t="n">
        <x:f>IF(U$8&gt;0,'Input'!$D$50*(1+'Input'!$D$51)^(U$8-1),0)</x:f>
        <x:v>179.08523860342476</x:v>
      </x:c>
      <x:c r="V19" s="153" t="n">
        <x:f>IF(V$8&gt;0,'Input'!$D$50*(1+'Input'!$D$51)^(V$8-1),0)</x:f>
        <x:v>184.45779576152748</x:v>
      </x:c>
      <x:c r="W19" s="153" t="n">
        <x:f>IF(W$8&gt;0,'Input'!$D$50*(1+'Input'!$D$51)^(W$8-1),0)</x:f>
        <x:v>189.99152963437334</x:v>
      </x:c>
      <x:c r="X19" s="153" t="n">
        <x:f>IF(X$8&gt;0,'Input'!$D$50*(1+'Input'!$D$51)^(X$8-1),0)</x:f>
        <x:v>195.69127552340453</x:v>
      </x:c>
      <x:c r="Y19" s="153" t="n">
        <x:f>IF(Y$8&gt;0,'Input'!$D$50*(1+'Input'!$D$51)^(Y$8-1),0)</x:f>
        <x:v>0</x:v>
      </x:c>
      <x:c r="Z19" s="153" t="n">
        <x:f>IF(Z$8&gt;0,'Input'!$D$50*(1+'Input'!$D$51)^(Z$8-1),0)</x:f>
        <x:v>0</x:v>
      </x:c>
      <x:c r="AA19" s="153" t="n">
        <x:f>IF(AA$8&gt;0,'Input'!$D$50*(1+'Input'!$D$51)^(AA$8-1),0)</x:f>
        <x:v>0</x:v>
      </x:c>
      <x:c r="AB19" s="153" t="n">
        <x:f>IF(AB$8&gt;0,'Input'!$D$50*(1+'Input'!$D$51)^(AB$8-1),0)</x:f>
        <x:v>0</x:v>
      </x:c>
      <x:c r="AC19" s="153" t="n">
        <x:f>IF(AC$8&gt;0,'Input'!$D$50*(1+'Input'!$D$51)^(AC$8-1),0)</x:f>
        <x:v>0</x:v>
      </x:c>
      <x:c r="AD19" s="153" t="n">
        <x:f>IF(AD$8&gt;0,'Input'!$D$50*(1+'Input'!$D$51)^(AD$8-1),0)</x:f>
        <x:v>0</x:v>
      </x:c>
      <x:c r="AE19" s="153" t="n">
        <x:f>IF(AE$8&gt;0,'Input'!$D$50*(1+'Input'!$D$51)^(AE$8-1),0)</x:f>
        <x:v>0</x:v>
      </x:c>
      <x:c r="AF19" s="153" t="n">
        <x:f>IF(AF$8&gt;0,'Input'!$D$50*(1+'Input'!$D$51)^(AF$8-1),0)</x:f>
        <x:v>0</x:v>
      </x:c>
    </x:row>
    <x:row r="20" ht="15" hidden="0" customHeight="1">
      <x:c r="A20" s="219" t="str">
        <x:v>OPE-02</x:v>
      </x:c>
      <x:c r="B20" s="220" t="str">
        <x:v>EBITDA</x:v>
      </x:c>
      <x:c r="C20" s="150" t="n">
        <x:f>C16-C19</x:f>
        <x:v>0</x:v>
      </x:c>
      <x:c r="D20" s="150" t="n">
        <x:f>D16-D19</x:f>
        <x:v>0</x:v>
      </x:c>
      <x:c r="E20" s="150" t="n">
        <x:f>E16-E19</x:f>
        <x:v>743.372496</x:v>
      </x:c>
      <x:c r="F20" s="150" t="n">
        <x:f>F16-F19</x:f>
        <x:v>738.314551008</x:v>
      </x:c>
      <x:c r="G20" s="150" t="n">
        <x:f>G16-G19</x:f>
        <x:v>733.1595859059842</x:v>
      </x:c>
      <x:c r="H20" s="150" t="n">
        <x:f>H16-H19</x:f>
        <x:v>727.9045806541722</x:v>
      </x:c>
      <x:c r="I20" s="150" t="n">
        <x:f>I16-I19</x:f>
        <x:v>722.5464248304637</x:v>
      </x:c>
      <x:c r="J20" s="150" t="n">
        <x:f>J16-J19</x:f>
        <x:v>717.0819149185309</x:v>
      </x:c>
      <x:c r="K20" s="150" t="n">
        <x:f>K16-K19</x:f>
        <x:v>711.5077515145538</x:v>
      </x:c>
      <x:c r="L20" s="150" t="n">
        <x:f>L16-L19</x:f>
        <x:v>705.82053645016</x:v>
      </x:c>
      <x:c r="M20" s="150" t="n">
        <x:f>M16-M19</x:f>
        <x:v>700.0167698290543</x:v>
      </x:c>
      <x:c r="N20" s="150" t="n">
        <x:f>N16-N19</x:f>
        <x:v>694.092846974745</x:v>
      </x:c>
      <x:c r="O20" s="150" t="n">
        <x:f>O16-O19</x:f>
        <x:v>688.0450552867044</x:v>
      </x:c>
      <x:c r="P20" s="150" t="n">
        <x:f>P16-P19</x:f>
        <x:v>681.8695710022172</x:v>
      </x:c>
      <x:c r="Q20" s="150" t="n">
        <x:f>Q16-Q19</x:f>
        <x:v>675.5624558610817</x:v>
      </x:c>
      <x:c r="R20" s="150" t="n">
        <x:f>R16-R19</x:f>
        <x:v>669.1196536702545</x:v>
      </x:c>
      <x:c r="S20" s="150" t="n">
        <x:f>S16-S19</x:f>
        <x:v>662.5369867654356</x:v>
      </x:c>
      <x:c r="T20" s="150" t="n">
        <x:f>T16-T19</x:f>
        <x:v>655.8101523665023</x:v>
      </x:c>
      <x:c r="U20" s="150" t="n">
        <x:f>U16-U19</x:f>
        <x:v>648.9347188236047</x:v>
      </x:c>
      <x:c r="V20" s="150" t="n">
        <x:f>V16-V19</x:f>
        <x:v>641.9061217506478</x:v>
      </x:c>
      <x:c r="W20" s="150" t="n">
        <x:f>W16-W19</x:f>
        <x:v>634.7196600427775</x:v>
      </x:c>
      <x:c r="X20" s="150" t="n">
        <x:f>X16-X19</x:f>
        <x:v>627.3704917743921</x:v>
      </x:c>
      <x:c r="Y20" s="150" t="n">
        <x:f>Y16-Y19</x:f>
        <x:v>0</x:v>
      </x:c>
      <x:c r="Z20" s="150" t="n">
        <x:f>Z16-Z19</x:f>
        <x:v>0</x:v>
      </x:c>
      <x:c r="AA20" s="150" t="n">
        <x:f>AA16-AA19</x:f>
        <x:v>0</x:v>
      </x:c>
      <x:c r="AB20" s="150" t="n">
        <x:f>AB16-AB19</x:f>
        <x:v>0</x:v>
      </x:c>
      <x:c r="AC20" s="150" t="n">
        <x:f>AC16-AC19</x:f>
        <x:v>0</x:v>
      </x:c>
      <x:c r="AD20" s="150" t="n">
        <x:f>AD16-AD19</x:f>
        <x:v>0</x:v>
      </x:c>
      <x:c r="AE20" s="150" t="n">
        <x:f>AE16-AE19</x:f>
        <x:v>0</x:v>
      </x:c>
      <x:c r="AF20" s="150" t="n">
        <x:f>AF16-AF19</x:f>
        <x:v>0</x:v>
      </x:c>
    </x:row>
    <x:row r="21" ht="15" hidden="0" customHeight="1">
      <x:c r="A21" s="219" t="str">
        <x:v>OPE-03</x:v>
      </x:c>
      <x:c r="B21" s="220" t="str">
        <x:v>Biên EBITDA</x:v>
      </x:c>
      <x:c r="C21" s="163" t="n">
        <x:f>IF(C16=0,0,C20/C16)</x:f>
        <x:v>0</x:v>
      </x:c>
      <x:c r="D21" s="163" t="n">
        <x:f>IF(D16=0,0,D20/D16)</x:f>
        <x:v>0</x:v>
      </x:c>
      <x:c r="E21" s="163" t="n">
        <x:f>IF(E16=0,0,E20/E16)</x:f>
        <x:v>0.8694694852499676</x:v>
      </x:c>
      <x:c r="F21" s="163" t="n">
        <x:f>IF(F16=0,0,F20/F16)</x:f>
        <x:v>0.8652841380836339</x:v>
      </x:c>
      <x:c r="G21" s="163" t="n">
        <x:f>IF(G16=0,0,G20/G16)</x:f>
        <x:v>0.8609645914089609</x:v>
      </x:c>
      <x:c r="H21" s="163" t="n">
        <x:f>IF(H16=0,0,H20/H16)</x:f>
        <x:v>0.8565065422357011</x:v>
      </x:c>
      <x:c r="I21" s="163" t="n">
        <x:f>IF(I16=0,0,I20/I16)</x:f>
        <x:v>0.8519055496019761</x:v>
      </x:c>
      <x:c r="J21" s="163" t="n">
        <x:f>IF(J16=0,0,J20/J16)</x:f>
        <x:v>0.8471570301503359</x:v>
      </x:c>
      <x:c r="K21" s="163" t="n">
        <x:f>IF(K16=0,0,K20/K16)</x:f>
        <x:v>0.8422562535619701</x:v>
      </x:c>
      <x:c r="L21" s="163" t="n">
        <x:f>IF(L16=0,0,L20/L16)</x:f>
        <x:v>0.8371983378445181</x:v>
      </x:c>
      <x:c r="M21" s="163" t="n">
        <x:f>IF(M16=0,0,M20/M16)</x:f>
        <x:v>0.8319782444687912</x:v>
      </x:c>
      <x:c r="N21" s="163" t="n">
        <x:f>IF(N16=0,0,N20/N16)</x:f>
        <x:v>0.8265907733495542</x:v>
      </x:c>
      <x:c r="O21" s="163" t="n">
        <x:f>IF(O16=0,0,O20/O16)</x:f>
        <x:v>0.8210305576653715</x:v>
      </x:c>
      <x:c r="P21" s="163" t="n">
        <x:f>IF(P16=0,0,P20/P16)</x:f>
        <x:v>0.8152920585123573</x:v>
      </x:c>
      <x:c r="Q21" s="163" t="n">
        <x:f>IF(Q16=0,0,Q20/Q16)</x:f>
        <x:v>0.8093695593865011</x:v>
      </x:c>
      <x:c r="R21" s="163" t="n">
        <x:f>IF(R16=0,0,R20/R16)</x:f>
        <x:v>0.8032571604890743</x:v>
      </x:c>
      <x:c r="S21" s="163" t="n">
        <x:f>IF(S16=0,0,S20/S16)</x:f>
        <x:v>0.7969487728494453</x:v>
      </x:c>
      <x:c r="T21" s="163" t="n">
        <x:f>IF(T16=0,0,T20/T16)</x:f>
        <x:v>0.7904381122594476</x:v>
      </x:c>
      <x:c r="U21" s="163" t="n">
        <x:f>IF(U16=0,0,U20/U16)</x:f>
        <x:v>0.7837186930132576</x:v>
      </x:c>
      <x:c r="V21" s="163" t="n">
        <x:f>IF(V16=0,0,V20/V16)</x:f>
        <x:v>0.7767838214465485</x:v>
      </x:c>
      <x:c r="W21" s="163" t="n">
        <x:f>IF(W16=0,0,W20/W16)</x:f>
        <x:v>0.7696265892684817</x:v>
      </x:c>
      <x:c r="X21" s="163" t="n">
        <x:f>IF(X16=0,0,X20/X16)</x:f>
        <x:v>0.762239866679896</x:v>
      </x:c>
      <x:c r="Y21" s="163" t="n">
        <x:f>IF(Y16=0,0,Y20/Y16)</x:f>
        <x:v>0</x:v>
      </x:c>
      <x:c r="Z21" s="163" t="n">
        <x:f>IF(Z16=0,0,Z20/Z16)</x:f>
        <x:v>0</x:v>
      </x:c>
      <x:c r="AA21" s="163" t="n">
        <x:f>IF(AA16=0,0,AA20/AA16)</x:f>
        <x:v>0</x:v>
      </x:c>
      <x:c r="AB21" s="163" t="n">
        <x:f>IF(AB16=0,0,AB20/AB16)</x:f>
        <x:v>0</x:v>
      </x:c>
      <x:c r="AC21" s="163" t="n">
        <x:f>IF(AC16=0,0,AC20/AC16)</x:f>
        <x:v>0</x:v>
      </x:c>
      <x:c r="AD21" s="163" t="n">
        <x:f>IF(AD16=0,0,AD20/AD16)</x:f>
        <x:v>0</x:v>
      </x:c>
      <x:c r="AE21" s="163" t="n">
        <x:f>IF(AE16=0,0,AE20/AE16)</x:f>
        <x:v>0</x:v>
      </x:c>
      <x:c r="AF21" s="163" t="n">
        <x:f>IF(AF16=0,0,AF20/AF16)</x:f>
        <x:v>0</x:v>
      </x:c>
    </x:row>
    <x:row r="22" ht="15" hidden="0" customHeight="1">
      <x:c r="A22" s="216"/>
      <x:c r="B22" s="216"/>
      <x:c r="C22" s="209"/>
      <x:c r="D22" s="209"/>
      <x:c r="E22" s="209"/>
      <x:c r="F22" s="209"/>
      <x:c r="G22" s="209"/>
      <x:c r="H22" s="209"/>
      <x:c r="I22" s="209"/>
      <x:c r="J22" s="209"/>
      <x:c r="K22" s="209"/>
      <x:c r="L22" s="209"/>
      <x:c r="M22" s="209"/>
      <x:c r="N22" s="209"/>
      <x:c r="O22" s="209"/>
      <x:c r="P22" s="209"/>
      <x:c r="Q22" s="209"/>
      <x:c r="R22" s="209"/>
      <x:c r="S22" s="209"/>
      <x:c r="T22" s="209"/>
      <x:c r="U22" s="209"/>
      <x:c r="V22" s="209"/>
      <x:c r="W22" s="209"/>
      <x:c r="X22" s="209"/>
      <x:c r="Y22" s="209"/>
      <x:c r="Z22" s="209"/>
      <x:c r="AA22" s="209"/>
      <x:c r="AB22" s="209"/>
      <x:c r="AC22" s="209"/>
      <x:c r="AD22" s="209"/>
      <x:c r="AE22" s="209"/>
      <x:c r="AF22" s="209"/>
    </x:row>
    <x:row r="23" ht="15" hidden="0" customHeight="1">
      <x:c r="A23" s="218" t="str">
        <x:v>3. TỔNG HỢP</x:v>
      </x:c>
      <x:c r="B23" s="218"/>
      <x:c r="C23" s="142"/>
      <x:c r="D23" s="142"/>
      <x:c r="E23" s="142"/>
      <x:c r="F23" s="142"/>
      <x:c r="G23" s="142"/>
      <x:c r="H23" s="142"/>
      <x:c r="I23" s="142"/>
      <x:c r="J23" s="142"/>
      <x:c r="K23" s="142"/>
      <x:c r="L23" s="142"/>
      <x:c r="M23" s="142"/>
      <x:c r="N23" s="142"/>
      <x:c r="O23" s="142"/>
      <x:c r="P23" s="142"/>
      <x:c r="Q23" s="142"/>
      <x:c r="R23" s="142"/>
      <x:c r="S23" s="142"/>
      <x:c r="T23" s="142"/>
      <x:c r="U23" s="142"/>
      <x:c r="V23" s="142"/>
      <x:c r="W23" s="142"/>
      <x:c r="X23" s="142"/>
      <x:c r="Y23" s="142"/>
      <x:c r="Z23" s="142"/>
      <x:c r="AA23" s="142"/>
      <x:c r="AB23" s="142"/>
      <x:c r="AC23" s="142"/>
      <x:c r="AD23" s="142"/>
      <x:c r="AE23" s="142"/>
      <x:c r="AF23" s="142"/>
    </x:row>
    <x:row r="24" ht="15" hidden="0" customHeight="1">
      <x:c r="A24" s="216" t="str">
        <x:v>SUM-01</x:v>
      </x:c>
      <x:c r="B24" s="216" t="str">
        <x:v>Tổng sản lượng vòng đời (MWh)</x:v>
      </x:c>
      <x:c r="C24" s="221" t="n">
        <x:f>SUM(C11:AF11)</x:f>
        <x:v>9283183.644129414</x:v>
      </x:c>
      <x:c r="D24" s="209"/>
      <x:c r="E24" s="209"/>
      <x:c r="F24" s="209"/>
      <x:c r="G24" s="209"/>
      <x:c r="H24" s="209"/>
      <x:c r="I24" s="209"/>
      <x:c r="J24" s="209"/>
      <x:c r="K24" s="209"/>
      <x:c r="L24" s="209"/>
      <x:c r="M24" s="209"/>
      <x:c r="N24" s="209"/>
      <x:c r="O24" s="209"/>
      <x:c r="P24" s="209"/>
      <x:c r="Q24" s="209"/>
      <x:c r="R24" s="209"/>
      <x:c r="S24" s="209"/>
      <x:c r="T24" s="209"/>
      <x:c r="U24" s="209"/>
      <x:c r="V24" s="209"/>
      <x:c r="W24" s="209"/>
      <x:c r="X24" s="209"/>
      <x:c r="Y24" s="209"/>
      <x:c r="Z24" s="209"/>
      <x:c r="AA24" s="209"/>
      <x:c r="AB24" s="209"/>
      <x:c r="AC24" s="209"/>
      <x:c r="AD24" s="209"/>
      <x:c r="AE24" s="209"/>
      <x:c r="AF24" s="209"/>
    </x:row>
    <x:row r="25" ht="15" hidden="0" customHeight="1">
      <x:c r="A25" s="216" t="str">
        <x:v>SUM-02</x:v>
      </x:c>
      <x:c r="B25" s="216" t="str">
        <x:v>Tổng doanh thu vòng đời</x:v>
      </x:c>
      <x:c r="C25" s="212" t="n">
        <x:f>SUM(C16:AF16)</x:f>
        <x:v>16778.426118399504</x:v>
      </x:c>
      <x:c r="D25" s="209"/>
      <x:c r="E25" s="209"/>
      <x:c r="F25" s="209"/>
      <x:c r="G25" s="209"/>
      <x:c r="H25" s="209"/>
      <x:c r="I25" s="209"/>
      <x:c r="J25" s="209"/>
      <x:c r="K25" s="209"/>
      <x:c r="L25" s="209"/>
      <x:c r="M25" s="209"/>
      <x:c r="N25" s="209"/>
      <x:c r="O25" s="209"/>
      <x:c r="P25" s="209"/>
      <x:c r="Q25" s="209"/>
      <x:c r="R25" s="209"/>
      <x:c r="S25" s="209"/>
      <x:c r="T25" s="209"/>
      <x:c r="U25" s="209"/>
      <x:c r="V25" s="209"/>
      <x:c r="W25" s="209"/>
      <x:c r="X25" s="209"/>
      <x:c r="Y25" s="209"/>
      <x:c r="Z25" s="209"/>
      <x:c r="AA25" s="209"/>
      <x:c r="AB25" s="209"/>
      <x:c r="AC25" s="209"/>
      <x:c r="AD25" s="209"/>
      <x:c r="AE25" s="209"/>
      <x:c r="AF25" s="209"/>
    </x:row>
    <x:row r="26" ht="15" hidden="0" customHeight="1">
      <x:c r="A26" s="216" t="str">
        <x:v>SUM-03</x:v>
      </x:c>
      <x:c r="B26" s="216" t="str">
        <x:v>Tổng O&amp;M vòng đời</x:v>
      </x:c>
      <x:c r="C26" s="212" t="n">
        <x:f>SUM(C19:AF19)</x:f>
        <x:v>2998.73379297022</x:v>
      </x:c>
      <x:c r="D26" s="209"/>
      <x:c r="E26" s="209"/>
      <x:c r="F26" s="209"/>
      <x:c r="G26" s="209"/>
      <x:c r="H26" s="209"/>
      <x:c r="I26" s="209"/>
      <x:c r="J26" s="209"/>
      <x:c r="K26" s="209"/>
      <x:c r="L26" s="209"/>
      <x:c r="M26" s="209"/>
      <x:c r="N26" s="209"/>
      <x:c r="O26" s="209"/>
      <x:c r="P26" s="209"/>
      <x:c r="Q26" s="209"/>
      <x:c r="R26" s="209"/>
      <x:c r="S26" s="209"/>
      <x:c r="T26" s="209"/>
      <x:c r="U26" s="209"/>
      <x:c r="V26" s="209"/>
      <x:c r="W26" s="209"/>
      <x:c r="X26" s="209"/>
      <x:c r="Y26" s="209"/>
      <x:c r="Z26" s="209"/>
      <x:c r="AA26" s="209"/>
      <x:c r="AB26" s="209"/>
      <x:c r="AC26" s="209"/>
      <x:c r="AD26" s="209"/>
      <x:c r="AE26" s="209"/>
      <x:c r="AF26" s="209"/>
    </x:row>
    <x:row r="27" ht="15" hidden="0" customHeight="1">
      <x:c r="A27" s="216" t="str">
        <x:v>SUM-04</x:v>
      </x:c>
      <x:c r="B27" s="216" t="str">
        <x:v>EBITDA vòng đời</x:v>
      </x:c>
      <x:c r="C27" s="212" t="n">
        <x:f>SUM(C20:AF20)</x:f>
        <x:v>13779.692325429281</x:v>
      </x:c>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x:c r="B28" s="216"/>
      <x:c r="C28" s="209"/>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x:c r="B29" s="216"/>
      <x:c r="C29" s="209"/>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x:c r="B30" s="216"/>
      <x:c r="C30" s="209"/>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x:c r="B31" s="216"/>
      <x:c r="C31" s="209"/>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18:AF18"/>
    <x:mergeCell ref="A23:AF2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LỊCH GIẢI NGÂN VÀ TRẢ NỢ</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Khoản vay được giải ngân theo tiến độ CAPEX; hỗ trợ phương thức gốc đều hoặc niên kim.</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LỊCH VAY VÀ TRẢ NỢ</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DEB-01</x:v>
      </x:c>
      <x:c r="B11" s="219" t="str">
        <x:v>Dư nợ đầu kỳ</x:v>
      </x:c>
      <x:c r="C11" s="153" t="n">
        <x:f>0</x:f>
        <x:v>0</x:v>
      </x:c>
      <x:c r="D11" s="153" t="n">
        <x:f>C18</x:f>
        <x:v>1562.3999999999999</x:v>
      </x:c>
      <x:c r="E11" s="153" t="n">
        <x:f>D18</x:f>
        <x:v>3906</x:v>
      </x:c>
      <x:c r="F11" s="153" t="n">
        <x:f>E18</x:f>
        <x:v>3580.5</x:v>
      </x:c>
      <x:c r="G11" s="153" t="n">
        <x:f>F18</x:f>
        <x:v>3255</x:v>
      </x:c>
      <x:c r="H11" s="153" t="n">
        <x:f>G18</x:f>
        <x:v>2929.5</x:v>
      </x:c>
      <x:c r="I11" s="153" t="n">
        <x:f>H18</x:f>
        <x:v>2604</x:v>
      </x:c>
      <x:c r="J11" s="153" t="n">
        <x:f>I18</x:f>
        <x:v>2278.5</x:v>
      </x:c>
      <x:c r="K11" s="153" t="n">
        <x:f>J18</x:f>
        <x:v>1953</x:v>
      </x:c>
      <x:c r="L11" s="153" t="n">
        <x:f>K18</x:f>
        <x:v>1627.5</x:v>
      </x:c>
      <x:c r="M11" s="153" t="n">
        <x:f>L18</x:f>
        <x:v>1302</x:v>
      </x:c>
      <x:c r="N11" s="153" t="n">
        <x:f>M18</x:f>
        <x:v>976.5</x:v>
      </x:c>
      <x:c r="O11" s="153" t="n">
        <x:f>N18</x:f>
        <x:v>651</x:v>
      </x:c>
      <x:c r="P11" s="153" t="n">
        <x:f>O18</x:f>
        <x:v>325.50000000000006</x:v>
      </x:c>
      <x:c r="Q11" s="153" t="n">
        <x:f>P18</x:f>
        <x:v>1.1368683772161603e-13</x:v>
      </x:c>
      <x:c r="R11" s="153" t="n">
        <x:f>Q18</x:f>
        <x:v>1.1368683772161603e-13</x:v>
      </x:c>
      <x:c r="S11" s="153" t="n">
        <x:f>R18</x:f>
        <x:v>1.1368683772161603e-13</x:v>
      </x:c>
      <x:c r="T11" s="153" t="n">
        <x:f>S18</x:f>
        <x:v>1.1368683772161603e-13</x:v>
      </x:c>
      <x:c r="U11" s="153" t="n">
        <x:f>T18</x:f>
        <x:v>1.1368683772161603e-13</x:v>
      </x:c>
      <x:c r="V11" s="153" t="n">
        <x:f>U18</x:f>
        <x:v>1.1368683772161603e-13</x:v>
      </x:c>
      <x:c r="W11" s="153" t="n">
        <x:f>V18</x:f>
        <x:v>1.1368683772161603e-13</x:v>
      </x:c>
      <x:c r="X11" s="153" t="n">
        <x:f>W18</x:f>
        <x:v>1.1368683772161603e-13</x:v>
      </x:c>
      <x:c r="Y11" s="153" t="n">
        <x:f>X18</x:f>
        <x:v>1.1368683772161603e-13</x:v>
      </x:c>
      <x:c r="Z11" s="153" t="n">
        <x:f>Y18</x:f>
        <x:v>1.1368683772161603e-13</x:v>
      </x:c>
      <x:c r="AA11" s="153" t="n">
        <x:f>Z18</x:f>
        <x:v>1.1368683772161603e-13</x:v>
      </x:c>
      <x:c r="AB11" s="153" t="n">
        <x:f>AA18</x:f>
        <x:v>1.1368683772161603e-13</x:v>
      </x:c>
      <x:c r="AC11" s="153" t="n">
        <x:f>AB18</x:f>
        <x:v>1.1368683772161603e-13</x:v>
      </x:c>
      <x:c r="AD11" s="153" t="n">
        <x:f>AC18</x:f>
        <x:v>1.1368683772161603e-13</x:v>
      </x:c>
      <x:c r="AE11" s="153" t="n">
        <x:f>AD18</x:f>
        <x:v>1.1368683772161603e-13</x:v>
      </x:c>
      <x:c r="AF11" s="153" t="n">
        <x:f>AE18</x:f>
        <x:v>1.1368683772161603e-13</x:v>
      </x:c>
    </x:row>
    <x:row r="12" ht="15" hidden="0" customHeight="1">
      <x:c r="A12" s="219" t="str">
        <x:v>DEB-02</x:v>
      </x:c>
      <x:c r="B12" s="219" t="str">
        <x:v>Giải ngân vốn vay</x:v>
      </x:c>
      <x:c r="C12" s="153" t="n">
        <x:f>'CAPEX'!C20</x:f>
        <x:v>1562.3999999999999</x:v>
      </x:c>
      <x:c r="D12" s="153" t="n">
        <x:f>'CAPEX'!D20</x:f>
        <x:v>2343.6</x:v>
      </x:c>
      <x:c r="E12" s="153" t="n">
        <x:f>'CAPEX'!E20</x:f>
        <x:v>0</x:v>
      </x:c>
      <x:c r="F12" s="153" t="n">
        <x:f>'CAPEX'!F20</x:f>
        <x:v>0</x:v>
      </x:c>
      <x:c r="G12" s="153" t="n">
        <x:f>'CAPEX'!G20</x:f>
        <x:v>0</x:v>
      </x:c>
      <x:c r="H12" s="153" t="n">
        <x:f>'CAPEX'!H20</x:f>
        <x:v>0</x:v>
      </x:c>
      <x:c r="I12" s="153" t="n">
        <x:f>'CAPEX'!I20</x:f>
        <x:v>0</x:v>
      </x:c>
      <x:c r="J12" s="153" t="n">
        <x:f>'CAPEX'!J20</x:f>
        <x:v>0</x:v>
      </x:c>
      <x:c r="K12" s="153" t="n">
        <x:f>'CAPEX'!K20</x:f>
        <x:v>0</x:v>
      </x:c>
      <x:c r="L12" s="153" t="n">
        <x:f>'CAPEX'!L20</x:f>
        <x:v>0</x:v>
      </x:c>
      <x:c r="M12" s="153" t="n">
        <x:f>'CAPEX'!M20</x:f>
        <x:v>0</x:v>
      </x:c>
      <x:c r="N12" s="153" t="n">
        <x:f>'CAPEX'!N20</x:f>
        <x:v>0</x:v>
      </x:c>
      <x:c r="O12" s="153" t="n">
        <x:f>'CAPEX'!O20</x:f>
        <x:v>0</x:v>
      </x:c>
      <x:c r="P12" s="153" t="n">
        <x:f>'CAPEX'!P20</x:f>
        <x:v>0</x:v>
      </x:c>
      <x:c r="Q12" s="153" t="n">
        <x:f>'CAPEX'!Q20</x:f>
        <x:v>0</x:v>
      </x:c>
      <x:c r="R12" s="153" t="n">
        <x:f>'CAPEX'!R20</x:f>
        <x:v>0</x:v>
      </x:c>
      <x:c r="S12" s="153" t="n">
        <x:f>'CAPEX'!S20</x:f>
        <x:v>0</x:v>
      </x:c>
      <x:c r="T12" s="153" t="n">
        <x:f>'CAPEX'!T20</x:f>
        <x:v>0</x:v>
      </x:c>
      <x:c r="U12" s="153" t="n">
        <x:f>'CAPEX'!U20</x:f>
        <x:v>0</x:v>
      </x:c>
      <x:c r="V12" s="153" t="n">
        <x:f>'CAPEX'!V20</x:f>
        <x:v>0</x:v>
      </x:c>
      <x:c r="W12" s="153" t="n">
        <x:f>'CAPEX'!W20</x:f>
        <x:v>0</x:v>
      </x:c>
      <x:c r="X12" s="153" t="n">
        <x:f>'CAPEX'!X20</x:f>
        <x:v>0</x:v>
      </x:c>
      <x:c r="Y12" s="153" t="n">
        <x:f>'CAPEX'!Y20</x:f>
        <x:v>0</x:v>
      </x:c>
      <x:c r="Z12" s="153" t="n">
        <x:f>'CAPEX'!Z20</x:f>
        <x:v>0</x:v>
      </x:c>
      <x:c r="AA12" s="153" t="n">
        <x:f>'CAPEX'!AA20</x:f>
        <x:v>0</x:v>
      </x:c>
      <x:c r="AB12" s="153" t="n">
        <x:f>'CAPEX'!AB20</x:f>
        <x:v>0</x:v>
      </x:c>
      <x:c r="AC12" s="153" t="n">
        <x:f>'CAPEX'!AC20</x:f>
        <x:v>0</x:v>
      </x:c>
      <x:c r="AD12" s="153" t="n">
        <x:f>'CAPEX'!AD20</x:f>
        <x:v>0</x:v>
      </x:c>
      <x:c r="AE12" s="153" t="n">
        <x:f>'CAPEX'!AE20</x:f>
        <x:v>0</x:v>
      </x:c>
      <x:c r="AF12" s="153" t="n">
        <x:f>'CAPEX'!AF20</x:f>
        <x:v>0</x:v>
      </x:c>
    </x:row>
    <x:row r="13" ht="15" hidden="0" customHeight="1">
      <x:c r="A13" s="219" t="str">
        <x:v>DEB-03</x:v>
      </x:c>
      <x:c r="B13" s="219" t="str">
        <x:v>Kỳ trả nợ</x:v>
      </x:c>
      <x:c r="C13" s="166" t="str">
        <x:f>IF(AND(C$6-'Input'!$D$14-'Input'!$D$59+1&gt;=1,C$6-'Input'!$D$14-'Input'!$D$59+1&lt;='Input'!$D$58),C$6-'Input'!$D$14-'Input'!$D$59+1,"")</x:f>
      </x:c>
      <x:c r="D13" s="166" t="str">
        <x:f>IF(AND(D$6-'Input'!$D$14-'Input'!$D$59+1&gt;=1,D$6-'Input'!$D$14-'Input'!$D$59+1&lt;='Input'!$D$58),D$6-'Input'!$D$14-'Input'!$D$59+1,"")</x:f>
      </x:c>
      <x:c r="E13" s="166" t="n">
        <x:f>IF(AND(E$6-'Input'!$D$14-'Input'!$D$59+1&gt;=1,E$6-'Input'!$D$14-'Input'!$D$59+1&lt;='Input'!$D$58),E$6-'Input'!$D$14-'Input'!$D$59+1,"")</x:f>
        <x:v>1</x:v>
      </x:c>
      <x:c r="F13" s="166" t="n">
        <x:f>IF(AND(F$6-'Input'!$D$14-'Input'!$D$59+1&gt;=1,F$6-'Input'!$D$14-'Input'!$D$59+1&lt;='Input'!$D$58),F$6-'Input'!$D$14-'Input'!$D$59+1,"")</x:f>
        <x:v>2</x:v>
      </x:c>
      <x:c r="G13" s="166" t="n">
        <x:f>IF(AND(G$6-'Input'!$D$14-'Input'!$D$59+1&gt;=1,G$6-'Input'!$D$14-'Input'!$D$59+1&lt;='Input'!$D$58),G$6-'Input'!$D$14-'Input'!$D$59+1,"")</x:f>
        <x:v>3</x:v>
      </x:c>
      <x:c r="H13" s="166" t="n">
        <x:f>IF(AND(H$6-'Input'!$D$14-'Input'!$D$59+1&gt;=1,H$6-'Input'!$D$14-'Input'!$D$59+1&lt;='Input'!$D$58),H$6-'Input'!$D$14-'Input'!$D$59+1,"")</x:f>
        <x:v>4</x:v>
      </x:c>
      <x:c r="I13" s="166" t="n">
        <x:f>IF(AND(I$6-'Input'!$D$14-'Input'!$D$59+1&gt;=1,I$6-'Input'!$D$14-'Input'!$D$59+1&lt;='Input'!$D$58),I$6-'Input'!$D$14-'Input'!$D$59+1,"")</x:f>
        <x:v>5</x:v>
      </x:c>
      <x:c r="J13" s="166" t="n">
        <x:f>IF(AND(J$6-'Input'!$D$14-'Input'!$D$59+1&gt;=1,J$6-'Input'!$D$14-'Input'!$D$59+1&lt;='Input'!$D$58),J$6-'Input'!$D$14-'Input'!$D$59+1,"")</x:f>
        <x:v>6</x:v>
      </x:c>
      <x:c r="K13" s="166" t="n">
        <x:f>IF(AND(K$6-'Input'!$D$14-'Input'!$D$59+1&gt;=1,K$6-'Input'!$D$14-'Input'!$D$59+1&lt;='Input'!$D$58),K$6-'Input'!$D$14-'Input'!$D$59+1,"")</x:f>
        <x:v>7</x:v>
      </x:c>
      <x:c r="L13" s="166" t="n">
        <x:f>IF(AND(L$6-'Input'!$D$14-'Input'!$D$59+1&gt;=1,L$6-'Input'!$D$14-'Input'!$D$59+1&lt;='Input'!$D$58),L$6-'Input'!$D$14-'Input'!$D$59+1,"")</x:f>
        <x:v>8</x:v>
      </x:c>
      <x:c r="M13" s="166" t="n">
        <x:f>IF(AND(M$6-'Input'!$D$14-'Input'!$D$59+1&gt;=1,M$6-'Input'!$D$14-'Input'!$D$59+1&lt;='Input'!$D$58),M$6-'Input'!$D$14-'Input'!$D$59+1,"")</x:f>
        <x:v>9</x:v>
      </x:c>
      <x:c r="N13" s="166" t="n">
        <x:f>IF(AND(N$6-'Input'!$D$14-'Input'!$D$59+1&gt;=1,N$6-'Input'!$D$14-'Input'!$D$59+1&lt;='Input'!$D$58),N$6-'Input'!$D$14-'Input'!$D$59+1,"")</x:f>
        <x:v>10</x:v>
      </x:c>
      <x:c r="O13" s="166" t="n">
        <x:f>IF(AND(O$6-'Input'!$D$14-'Input'!$D$59+1&gt;=1,O$6-'Input'!$D$14-'Input'!$D$59+1&lt;='Input'!$D$58),O$6-'Input'!$D$14-'Input'!$D$59+1,"")</x:f>
        <x:v>11</x:v>
      </x:c>
      <x:c r="P13" s="166" t="n">
        <x:f>IF(AND(P$6-'Input'!$D$14-'Input'!$D$59+1&gt;=1,P$6-'Input'!$D$14-'Input'!$D$59+1&lt;='Input'!$D$58),P$6-'Input'!$D$14-'Input'!$D$59+1,"")</x:f>
        <x:v>12</x:v>
      </x:c>
      <x:c r="Q13" s="166" t="str">
        <x:f>IF(AND(Q$6-'Input'!$D$14-'Input'!$D$59+1&gt;=1,Q$6-'Input'!$D$14-'Input'!$D$59+1&lt;='Input'!$D$58),Q$6-'Input'!$D$14-'Input'!$D$59+1,"")</x:f>
      </x:c>
      <x:c r="R13" s="166" t="str">
        <x:f>IF(AND(R$6-'Input'!$D$14-'Input'!$D$59+1&gt;=1,R$6-'Input'!$D$14-'Input'!$D$59+1&lt;='Input'!$D$58),R$6-'Input'!$D$14-'Input'!$D$59+1,"")</x:f>
      </x:c>
      <x:c r="S13" s="166" t="str">
        <x:f>IF(AND(S$6-'Input'!$D$14-'Input'!$D$59+1&gt;=1,S$6-'Input'!$D$14-'Input'!$D$59+1&lt;='Input'!$D$58),S$6-'Input'!$D$14-'Input'!$D$59+1,"")</x:f>
      </x:c>
      <x:c r="T13" s="166" t="str">
        <x:f>IF(AND(T$6-'Input'!$D$14-'Input'!$D$59+1&gt;=1,T$6-'Input'!$D$14-'Input'!$D$59+1&lt;='Input'!$D$58),T$6-'Input'!$D$14-'Input'!$D$59+1,"")</x:f>
      </x:c>
      <x:c r="U13" s="166" t="str">
        <x:f>IF(AND(U$6-'Input'!$D$14-'Input'!$D$59+1&gt;=1,U$6-'Input'!$D$14-'Input'!$D$59+1&lt;='Input'!$D$58),U$6-'Input'!$D$14-'Input'!$D$59+1,"")</x:f>
      </x:c>
      <x:c r="V13" s="166" t="str">
        <x:f>IF(AND(V$6-'Input'!$D$14-'Input'!$D$59+1&gt;=1,V$6-'Input'!$D$14-'Input'!$D$59+1&lt;='Input'!$D$58),V$6-'Input'!$D$14-'Input'!$D$59+1,"")</x:f>
      </x:c>
      <x:c r="W13" s="166" t="str">
        <x:f>IF(AND(W$6-'Input'!$D$14-'Input'!$D$59+1&gt;=1,W$6-'Input'!$D$14-'Input'!$D$59+1&lt;='Input'!$D$58),W$6-'Input'!$D$14-'Input'!$D$59+1,"")</x:f>
      </x:c>
      <x:c r="X13" s="166" t="str">
        <x:f>IF(AND(X$6-'Input'!$D$14-'Input'!$D$59+1&gt;=1,X$6-'Input'!$D$14-'Input'!$D$59+1&lt;='Input'!$D$58),X$6-'Input'!$D$14-'Input'!$D$59+1,"")</x:f>
      </x:c>
      <x:c r="Y13" s="166" t="str">
        <x:f>IF(AND(Y$6-'Input'!$D$14-'Input'!$D$59+1&gt;=1,Y$6-'Input'!$D$14-'Input'!$D$59+1&lt;='Input'!$D$58),Y$6-'Input'!$D$14-'Input'!$D$59+1,"")</x:f>
      </x:c>
      <x:c r="Z13" s="166" t="str">
        <x:f>IF(AND(Z$6-'Input'!$D$14-'Input'!$D$59+1&gt;=1,Z$6-'Input'!$D$14-'Input'!$D$59+1&lt;='Input'!$D$58),Z$6-'Input'!$D$14-'Input'!$D$59+1,"")</x:f>
      </x:c>
      <x:c r="AA13" s="166" t="str">
        <x:f>IF(AND(AA$6-'Input'!$D$14-'Input'!$D$59+1&gt;=1,AA$6-'Input'!$D$14-'Input'!$D$59+1&lt;='Input'!$D$58),AA$6-'Input'!$D$14-'Input'!$D$59+1,"")</x:f>
      </x:c>
      <x:c r="AB13" s="166" t="str">
        <x:f>IF(AND(AB$6-'Input'!$D$14-'Input'!$D$59+1&gt;=1,AB$6-'Input'!$D$14-'Input'!$D$59+1&lt;='Input'!$D$58),AB$6-'Input'!$D$14-'Input'!$D$59+1,"")</x:f>
      </x:c>
      <x:c r="AC13" s="166" t="str">
        <x:f>IF(AND(AC$6-'Input'!$D$14-'Input'!$D$59+1&gt;=1,AC$6-'Input'!$D$14-'Input'!$D$59+1&lt;='Input'!$D$58),AC$6-'Input'!$D$14-'Input'!$D$59+1,"")</x:f>
      </x:c>
      <x:c r="AD13" s="166" t="str">
        <x:f>IF(AND(AD$6-'Input'!$D$14-'Input'!$D$59+1&gt;=1,AD$6-'Input'!$D$14-'Input'!$D$59+1&lt;='Input'!$D$58),AD$6-'Input'!$D$14-'Input'!$D$59+1,"")</x:f>
      </x:c>
      <x:c r="AE13" s="166" t="str">
        <x:f>IF(AND(AE$6-'Input'!$D$14-'Input'!$D$59+1&gt;=1,AE$6-'Input'!$D$14-'Input'!$D$59+1&lt;='Input'!$D$58),AE$6-'Input'!$D$14-'Input'!$D$59+1,"")</x:f>
      </x:c>
      <x:c r="AF13" s="166" t="str">
        <x:f>IF(AND(AF$6-'Input'!$D$14-'Input'!$D$59+1&gt;=1,AF$6-'Input'!$D$14-'Input'!$D$59+1&lt;='Input'!$D$58),AF$6-'Input'!$D$14-'Input'!$D$59+1,"")</x:f>
      </x:c>
    </x:row>
    <x:row r="14" ht="15" hidden="0" customHeight="1">
      <x:c r="A14" s="219" t="str">
        <x:v>DEB-04</x:v>
      </x:c>
      <x:c r="B14" s="219" t="str">
        <x:v>Khoản trả niên kim</x:v>
      </x:c>
      <x:c r="C14" s="153" t="n">
        <x:f>IF(AND('Input'!$D$60="Niên kim",C13&gt;=1,C13&lt;='Input'!$D$58),'Input'!$D$63*'Input'!$D$57/(1-(1+'Input'!$D$57)^(-'Input'!$D$58)),0)</x:f>
        <x:v>0</x:v>
      </x:c>
      <x:c r="D14" s="153" t="n">
        <x:f>IF(AND('Input'!$D$60="Niên kim",D13&gt;=1,D13&lt;='Input'!$D$58),'Input'!$D$63*'Input'!$D$57/(1-(1+'Input'!$D$57)^(-'Input'!$D$58)),0)</x:f>
        <x:v>0</x:v>
      </x:c>
      <x:c r="E14" s="153" t="n">
        <x:f>IF(AND('Input'!$D$60="Niên kim",E13&gt;=1,E13&lt;='Input'!$D$58),'Input'!$D$63*'Input'!$D$57/(1-(1+'Input'!$D$57)^(-'Input'!$D$58)),0)</x:f>
        <x:v>0</x:v>
      </x:c>
      <x:c r="F14" s="153" t="n">
        <x:f>IF(AND('Input'!$D$60="Niên kim",F13&gt;=1,F13&lt;='Input'!$D$58),'Input'!$D$63*'Input'!$D$57/(1-(1+'Input'!$D$57)^(-'Input'!$D$58)),0)</x:f>
        <x:v>0</x:v>
      </x:c>
      <x:c r="G14" s="153" t="n">
        <x:f>IF(AND('Input'!$D$60="Niên kim",G13&gt;=1,G13&lt;='Input'!$D$58),'Input'!$D$63*'Input'!$D$57/(1-(1+'Input'!$D$57)^(-'Input'!$D$58)),0)</x:f>
        <x:v>0</x:v>
      </x:c>
      <x:c r="H14" s="153" t="n">
        <x:f>IF(AND('Input'!$D$60="Niên kim",H13&gt;=1,H13&lt;='Input'!$D$58),'Input'!$D$63*'Input'!$D$57/(1-(1+'Input'!$D$57)^(-'Input'!$D$58)),0)</x:f>
        <x:v>0</x:v>
      </x:c>
      <x:c r="I14" s="153" t="n">
        <x:f>IF(AND('Input'!$D$60="Niên kim",I13&gt;=1,I13&lt;='Input'!$D$58),'Input'!$D$63*'Input'!$D$57/(1-(1+'Input'!$D$57)^(-'Input'!$D$58)),0)</x:f>
        <x:v>0</x:v>
      </x:c>
      <x:c r="J14" s="153" t="n">
        <x:f>IF(AND('Input'!$D$60="Niên kim",J13&gt;=1,J13&lt;='Input'!$D$58),'Input'!$D$63*'Input'!$D$57/(1-(1+'Input'!$D$57)^(-'Input'!$D$58)),0)</x:f>
        <x:v>0</x:v>
      </x:c>
      <x:c r="K14" s="153" t="n">
        <x:f>IF(AND('Input'!$D$60="Niên kim",K13&gt;=1,K13&lt;='Input'!$D$58),'Input'!$D$63*'Input'!$D$57/(1-(1+'Input'!$D$57)^(-'Input'!$D$58)),0)</x:f>
        <x:v>0</x:v>
      </x:c>
      <x:c r="L14" s="153" t="n">
        <x:f>IF(AND('Input'!$D$60="Niên kim",L13&gt;=1,L13&lt;='Input'!$D$58),'Input'!$D$63*'Input'!$D$57/(1-(1+'Input'!$D$57)^(-'Input'!$D$58)),0)</x:f>
        <x:v>0</x:v>
      </x:c>
      <x:c r="M14" s="153" t="n">
        <x:f>IF(AND('Input'!$D$60="Niên kim",M13&gt;=1,M13&lt;='Input'!$D$58),'Input'!$D$63*'Input'!$D$57/(1-(1+'Input'!$D$57)^(-'Input'!$D$58)),0)</x:f>
        <x:v>0</x:v>
      </x:c>
      <x:c r="N14" s="153" t="n">
        <x:f>IF(AND('Input'!$D$60="Niên kim",N13&gt;=1,N13&lt;='Input'!$D$58),'Input'!$D$63*'Input'!$D$57/(1-(1+'Input'!$D$57)^(-'Input'!$D$58)),0)</x:f>
        <x:v>0</x:v>
      </x:c>
      <x:c r="O14" s="153" t="n">
        <x:f>IF(AND('Input'!$D$60="Niên kim",O13&gt;=1,O13&lt;='Input'!$D$58),'Input'!$D$63*'Input'!$D$57/(1-(1+'Input'!$D$57)^(-'Input'!$D$58)),0)</x:f>
        <x:v>0</x:v>
      </x:c>
      <x:c r="P14" s="153" t="n">
        <x:f>IF(AND('Input'!$D$60="Niên kim",P13&gt;=1,P13&lt;='Input'!$D$58),'Input'!$D$63*'Input'!$D$57/(1-(1+'Input'!$D$57)^(-'Input'!$D$58)),0)</x:f>
        <x:v>0</x:v>
      </x:c>
      <x:c r="Q14" s="153" t="n">
        <x:f>IF(AND('Input'!$D$60="Niên kim",Q13&gt;=1,Q13&lt;='Input'!$D$58),'Input'!$D$63*'Input'!$D$57/(1-(1+'Input'!$D$57)^(-'Input'!$D$58)),0)</x:f>
        <x:v>0</x:v>
      </x:c>
      <x:c r="R14" s="153" t="n">
        <x:f>IF(AND('Input'!$D$60="Niên kim",R13&gt;=1,R13&lt;='Input'!$D$58),'Input'!$D$63*'Input'!$D$57/(1-(1+'Input'!$D$57)^(-'Input'!$D$58)),0)</x:f>
        <x:v>0</x:v>
      </x:c>
      <x:c r="S14" s="153" t="n">
        <x:f>IF(AND('Input'!$D$60="Niên kim",S13&gt;=1,S13&lt;='Input'!$D$58),'Input'!$D$63*'Input'!$D$57/(1-(1+'Input'!$D$57)^(-'Input'!$D$58)),0)</x:f>
        <x:v>0</x:v>
      </x:c>
      <x:c r="T14" s="153" t="n">
        <x:f>IF(AND('Input'!$D$60="Niên kim",T13&gt;=1,T13&lt;='Input'!$D$58),'Input'!$D$63*'Input'!$D$57/(1-(1+'Input'!$D$57)^(-'Input'!$D$58)),0)</x:f>
        <x:v>0</x:v>
      </x:c>
      <x:c r="U14" s="153" t="n">
        <x:f>IF(AND('Input'!$D$60="Niên kim",U13&gt;=1,U13&lt;='Input'!$D$58),'Input'!$D$63*'Input'!$D$57/(1-(1+'Input'!$D$57)^(-'Input'!$D$58)),0)</x:f>
        <x:v>0</x:v>
      </x:c>
      <x:c r="V14" s="153" t="n">
        <x:f>IF(AND('Input'!$D$60="Niên kim",V13&gt;=1,V13&lt;='Input'!$D$58),'Input'!$D$63*'Input'!$D$57/(1-(1+'Input'!$D$57)^(-'Input'!$D$58)),0)</x:f>
        <x:v>0</x:v>
      </x:c>
      <x:c r="W14" s="153" t="n">
        <x:f>IF(AND('Input'!$D$60="Niên kim",W13&gt;=1,W13&lt;='Input'!$D$58),'Input'!$D$63*'Input'!$D$57/(1-(1+'Input'!$D$57)^(-'Input'!$D$58)),0)</x:f>
        <x:v>0</x:v>
      </x:c>
      <x:c r="X14" s="153" t="n">
        <x:f>IF(AND('Input'!$D$60="Niên kim",X13&gt;=1,X13&lt;='Input'!$D$58),'Input'!$D$63*'Input'!$D$57/(1-(1+'Input'!$D$57)^(-'Input'!$D$58)),0)</x:f>
        <x:v>0</x:v>
      </x:c>
      <x:c r="Y14" s="153" t="n">
        <x:f>IF(AND('Input'!$D$60="Niên kim",Y13&gt;=1,Y13&lt;='Input'!$D$58),'Input'!$D$63*'Input'!$D$57/(1-(1+'Input'!$D$57)^(-'Input'!$D$58)),0)</x:f>
        <x:v>0</x:v>
      </x:c>
      <x:c r="Z14" s="153" t="n">
        <x:f>IF(AND('Input'!$D$60="Niên kim",Z13&gt;=1,Z13&lt;='Input'!$D$58),'Input'!$D$63*'Input'!$D$57/(1-(1+'Input'!$D$57)^(-'Input'!$D$58)),0)</x:f>
        <x:v>0</x:v>
      </x:c>
      <x:c r="AA14" s="153" t="n">
        <x:f>IF(AND('Input'!$D$60="Niên kim",AA13&gt;=1,AA13&lt;='Input'!$D$58),'Input'!$D$63*'Input'!$D$57/(1-(1+'Input'!$D$57)^(-'Input'!$D$58)),0)</x:f>
        <x:v>0</x:v>
      </x:c>
      <x:c r="AB14" s="153" t="n">
        <x:f>IF(AND('Input'!$D$60="Niên kim",AB13&gt;=1,AB13&lt;='Input'!$D$58),'Input'!$D$63*'Input'!$D$57/(1-(1+'Input'!$D$57)^(-'Input'!$D$58)),0)</x:f>
        <x:v>0</x:v>
      </x:c>
      <x:c r="AC14" s="153" t="n">
        <x:f>IF(AND('Input'!$D$60="Niên kim",AC13&gt;=1,AC13&lt;='Input'!$D$58),'Input'!$D$63*'Input'!$D$57/(1-(1+'Input'!$D$57)^(-'Input'!$D$58)),0)</x:f>
        <x:v>0</x:v>
      </x:c>
      <x:c r="AD14" s="153" t="n">
        <x:f>IF(AND('Input'!$D$60="Niên kim",AD13&gt;=1,AD13&lt;='Input'!$D$58),'Input'!$D$63*'Input'!$D$57/(1-(1+'Input'!$D$57)^(-'Input'!$D$58)),0)</x:f>
        <x:v>0</x:v>
      </x:c>
      <x:c r="AE14" s="153" t="n">
        <x:f>IF(AND('Input'!$D$60="Niên kim",AE13&gt;=1,AE13&lt;='Input'!$D$58),'Input'!$D$63*'Input'!$D$57/(1-(1+'Input'!$D$57)^(-'Input'!$D$58)),0)</x:f>
        <x:v>0</x:v>
      </x:c>
      <x:c r="AF14" s="153" t="n">
        <x:f>IF(AND('Input'!$D$60="Niên kim",AF13&gt;=1,AF13&lt;='Input'!$D$58),'Input'!$D$63*'Input'!$D$57/(1-(1+'Input'!$D$57)^(-'Input'!$D$58)),0)</x:f>
        <x:v>0</x:v>
      </x:c>
    </x:row>
    <x:row r="15" ht="15" hidden="0" customHeight="1">
      <x:c r="A15" s="219" t="str">
        <x:v>DEB-05</x:v>
      </x:c>
      <x:c r="B15" s="220" t="str">
        <x:v>Trả nợ gốc</x:v>
      </x:c>
      <x:c r="C15" s="150" t="n">
        <x:f>IF(AND(C13&gt;=1,C13&lt;='Input'!$D$58),MIN(C11+C12,IF('Input'!$D$60="Gốc đều",'Input'!$D$63/'Input'!$D$58,MAX(0,C14-C16))),0)</x:f>
        <x:v>0</x:v>
      </x:c>
      <x:c r="D15" s="150" t="n">
        <x:f>IF(AND(D13&gt;=1,D13&lt;='Input'!$D$58),MIN(D11+D12,IF('Input'!$D$60="Gốc đều",'Input'!$D$63/'Input'!$D$58,MAX(0,D14-D16))),0)</x:f>
        <x:v>0</x:v>
      </x:c>
      <x:c r="E15" s="150" t="n">
        <x:f>IF(AND(E13&gt;=1,E13&lt;='Input'!$D$58),MIN(E11+E12,IF('Input'!$D$60="Gốc đều",'Input'!$D$63/'Input'!$D$58,MAX(0,E14-E16))),0)</x:f>
        <x:v>325.49999999999994</x:v>
      </x:c>
      <x:c r="F15" s="150" t="n">
        <x:f>IF(AND(F13&gt;=1,F13&lt;='Input'!$D$58),MIN(F11+F12,IF('Input'!$D$60="Gốc đều",'Input'!$D$63/'Input'!$D$58,MAX(0,F14-F16))),0)</x:f>
        <x:v>325.49999999999994</x:v>
      </x:c>
      <x:c r="G15" s="150" t="n">
        <x:f>IF(AND(G13&gt;=1,G13&lt;='Input'!$D$58),MIN(G11+G12,IF('Input'!$D$60="Gốc đều",'Input'!$D$63/'Input'!$D$58,MAX(0,G14-G16))),0)</x:f>
        <x:v>325.49999999999994</x:v>
      </x:c>
      <x:c r="H15" s="150" t="n">
        <x:f>IF(AND(H13&gt;=1,H13&lt;='Input'!$D$58),MIN(H11+H12,IF('Input'!$D$60="Gốc đều",'Input'!$D$63/'Input'!$D$58,MAX(0,H14-H16))),0)</x:f>
        <x:v>325.49999999999994</x:v>
      </x:c>
      <x:c r="I15" s="150" t="n">
        <x:f>IF(AND(I13&gt;=1,I13&lt;='Input'!$D$58),MIN(I11+I12,IF('Input'!$D$60="Gốc đều",'Input'!$D$63/'Input'!$D$58,MAX(0,I14-I16))),0)</x:f>
        <x:v>325.49999999999994</x:v>
      </x:c>
      <x:c r="J15" s="150" t="n">
        <x:f>IF(AND(J13&gt;=1,J13&lt;='Input'!$D$58),MIN(J11+J12,IF('Input'!$D$60="Gốc đều",'Input'!$D$63/'Input'!$D$58,MAX(0,J14-J16))),0)</x:f>
        <x:v>325.49999999999994</x:v>
      </x:c>
      <x:c r="K15" s="150" t="n">
        <x:f>IF(AND(K13&gt;=1,K13&lt;='Input'!$D$58),MIN(K11+K12,IF('Input'!$D$60="Gốc đều",'Input'!$D$63/'Input'!$D$58,MAX(0,K14-K16))),0)</x:f>
        <x:v>325.49999999999994</x:v>
      </x:c>
      <x:c r="L15" s="150" t="n">
        <x:f>IF(AND(L13&gt;=1,L13&lt;='Input'!$D$58),MIN(L11+L12,IF('Input'!$D$60="Gốc đều",'Input'!$D$63/'Input'!$D$58,MAX(0,L14-L16))),0)</x:f>
        <x:v>325.49999999999994</x:v>
      </x:c>
      <x:c r="M15" s="150" t="n">
        <x:f>IF(AND(M13&gt;=1,M13&lt;='Input'!$D$58),MIN(M11+M12,IF('Input'!$D$60="Gốc đều",'Input'!$D$63/'Input'!$D$58,MAX(0,M14-M16))),0)</x:f>
        <x:v>325.49999999999994</x:v>
      </x:c>
      <x:c r="N15" s="150" t="n">
        <x:f>IF(AND(N13&gt;=1,N13&lt;='Input'!$D$58),MIN(N11+N12,IF('Input'!$D$60="Gốc đều",'Input'!$D$63/'Input'!$D$58,MAX(0,N14-N16))),0)</x:f>
        <x:v>325.49999999999994</x:v>
      </x:c>
      <x:c r="O15" s="150" t="n">
        <x:f>IF(AND(O13&gt;=1,O13&lt;='Input'!$D$58),MIN(O11+O12,IF('Input'!$D$60="Gốc đều",'Input'!$D$63/'Input'!$D$58,MAX(0,O14-O16))),0)</x:f>
        <x:v>325.49999999999994</x:v>
      </x:c>
      <x:c r="P15" s="150" t="n">
        <x:f>IF(AND(P13&gt;=1,P13&lt;='Input'!$D$58),MIN(P11+P12,IF('Input'!$D$60="Gốc đều",'Input'!$D$63/'Input'!$D$58,MAX(0,P14-P16))),0)</x:f>
        <x:v>325.49999999999994</x:v>
      </x:c>
      <x:c r="Q15" s="150" t="n">
        <x:f>IF(AND(Q13&gt;=1,Q13&lt;='Input'!$D$58),MIN(Q11+Q12,IF('Input'!$D$60="Gốc đều",'Input'!$D$63/'Input'!$D$58,MAX(0,Q14-Q16))),0)</x:f>
        <x:v>0</x:v>
      </x:c>
      <x:c r="R15" s="150" t="n">
        <x:f>IF(AND(R13&gt;=1,R13&lt;='Input'!$D$58),MIN(R11+R12,IF('Input'!$D$60="Gốc đều",'Input'!$D$63/'Input'!$D$58,MAX(0,R14-R16))),0)</x:f>
        <x:v>0</x:v>
      </x:c>
      <x:c r="S15" s="150" t="n">
        <x:f>IF(AND(S13&gt;=1,S13&lt;='Input'!$D$58),MIN(S11+S12,IF('Input'!$D$60="Gốc đều",'Input'!$D$63/'Input'!$D$58,MAX(0,S14-S16))),0)</x:f>
        <x:v>0</x:v>
      </x:c>
      <x:c r="T15" s="150" t="n">
        <x:f>IF(AND(T13&gt;=1,T13&lt;='Input'!$D$58),MIN(T11+T12,IF('Input'!$D$60="Gốc đều",'Input'!$D$63/'Input'!$D$58,MAX(0,T14-T16))),0)</x:f>
        <x:v>0</x:v>
      </x:c>
      <x:c r="U15" s="150" t="n">
        <x:f>IF(AND(U13&gt;=1,U13&lt;='Input'!$D$58),MIN(U11+U12,IF('Input'!$D$60="Gốc đều",'Input'!$D$63/'Input'!$D$58,MAX(0,U14-U16))),0)</x:f>
        <x:v>0</x:v>
      </x:c>
      <x:c r="V15" s="150" t="n">
        <x:f>IF(AND(V13&gt;=1,V13&lt;='Input'!$D$58),MIN(V11+V12,IF('Input'!$D$60="Gốc đều",'Input'!$D$63/'Input'!$D$58,MAX(0,V14-V16))),0)</x:f>
        <x:v>0</x:v>
      </x:c>
      <x:c r="W15" s="150" t="n">
        <x:f>IF(AND(W13&gt;=1,W13&lt;='Input'!$D$58),MIN(W11+W12,IF('Input'!$D$60="Gốc đều",'Input'!$D$63/'Input'!$D$58,MAX(0,W14-W16))),0)</x:f>
        <x:v>0</x:v>
      </x:c>
      <x:c r="X15" s="150" t="n">
        <x:f>IF(AND(X13&gt;=1,X13&lt;='Input'!$D$58),MIN(X11+X12,IF('Input'!$D$60="Gốc đều",'Input'!$D$63/'Input'!$D$58,MAX(0,X14-X16))),0)</x:f>
        <x:v>0</x:v>
      </x:c>
      <x:c r="Y15" s="150" t="n">
        <x:f>IF(AND(Y13&gt;=1,Y13&lt;='Input'!$D$58),MIN(Y11+Y12,IF('Input'!$D$60="Gốc đều",'Input'!$D$63/'Input'!$D$58,MAX(0,Y14-Y16))),0)</x:f>
        <x:v>0</x:v>
      </x:c>
      <x:c r="Z15" s="150" t="n">
        <x:f>IF(AND(Z13&gt;=1,Z13&lt;='Input'!$D$58),MIN(Z11+Z12,IF('Input'!$D$60="Gốc đều",'Input'!$D$63/'Input'!$D$58,MAX(0,Z14-Z16))),0)</x:f>
        <x:v>0</x:v>
      </x:c>
      <x:c r="AA15" s="150" t="n">
        <x:f>IF(AND(AA13&gt;=1,AA13&lt;='Input'!$D$58),MIN(AA11+AA12,IF('Input'!$D$60="Gốc đều",'Input'!$D$63/'Input'!$D$58,MAX(0,AA14-AA16))),0)</x:f>
        <x:v>0</x:v>
      </x:c>
      <x:c r="AB15" s="150" t="n">
        <x:f>IF(AND(AB13&gt;=1,AB13&lt;='Input'!$D$58),MIN(AB11+AB12,IF('Input'!$D$60="Gốc đều",'Input'!$D$63/'Input'!$D$58,MAX(0,AB14-AB16))),0)</x:f>
        <x:v>0</x:v>
      </x:c>
      <x:c r="AC15" s="150" t="n">
        <x:f>IF(AND(AC13&gt;=1,AC13&lt;='Input'!$D$58),MIN(AC11+AC12,IF('Input'!$D$60="Gốc đều",'Input'!$D$63/'Input'!$D$58,MAX(0,AC14-AC16))),0)</x:f>
        <x:v>0</x:v>
      </x:c>
      <x:c r="AD15" s="150" t="n">
        <x:f>IF(AND(AD13&gt;=1,AD13&lt;='Input'!$D$58),MIN(AD11+AD12,IF('Input'!$D$60="Gốc đều",'Input'!$D$63/'Input'!$D$58,MAX(0,AD14-AD16))),0)</x:f>
        <x:v>0</x:v>
      </x:c>
      <x:c r="AE15" s="150" t="n">
        <x:f>IF(AND(AE13&gt;=1,AE13&lt;='Input'!$D$58),MIN(AE11+AE12,IF('Input'!$D$60="Gốc đều",'Input'!$D$63/'Input'!$D$58,MAX(0,AE14-AE16))),0)</x:f>
        <x:v>0</x:v>
      </x:c>
      <x:c r="AF15" s="150" t="n">
        <x:f>IF(AND(AF13&gt;=1,AF13&lt;='Input'!$D$58),MIN(AF11+AF12,IF('Input'!$D$60="Gốc đều",'Input'!$D$63/'Input'!$D$58,MAX(0,AF14-AF16))),0)</x:f>
        <x:v>0</x:v>
      </x:c>
    </x:row>
    <x:row r="16" ht="15" hidden="0" customHeight="1">
      <x:c r="A16" s="219" t="str">
        <x:v>DEB-06</x:v>
      </x:c>
      <x:c r="B16" s="219" t="str">
        <x:v>Chi phí lãi vay</x:v>
      </x:c>
      <x:c r="C16" s="153" t="n">
        <x:f>IF(C$6="",0,IF(C$6&lt;'Input'!$D$16,(C11+0.5*C12)*'Input'!$D$57,C11*'Input'!$D$57))</x:f>
        <x:v>78.12</x:v>
      </x:c>
      <x:c r="D16" s="153" t="n">
        <x:f>IF(D$6="",0,IF(D$6&lt;'Input'!$D$16,(D11+0.5*D12)*'Input'!$D$57,D11*'Input'!$D$57))</x:f>
        <x:v>273.42</x:v>
      </x:c>
      <x:c r="E16" s="153" t="n">
        <x:f>IF(E$6="",0,IF(E$6&lt;'Input'!$D$16,(E11+0.5*E12)*'Input'!$D$57,E11*'Input'!$D$57))</x:f>
        <x:v>390.6</x:v>
      </x:c>
      <x:c r="F16" s="153" t="n">
        <x:f>IF(F$6="",0,IF(F$6&lt;'Input'!$D$16,(F11+0.5*F12)*'Input'!$D$57,F11*'Input'!$D$57))</x:f>
        <x:v>358.05</x:v>
      </x:c>
      <x:c r="G16" s="153" t="n">
        <x:f>IF(G$6="",0,IF(G$6&lt;'Input'!$D$16,(G11+0.5*G12)*'Input'!$D$57,G11*'Input'!$D$57))</x:f>
        <x:v>325.5</x:v>
      </x:c>
      <x:c r="H16" s="153" t="n">
        <x:f>IF(H$6="",0,IF(H$6&lt;'Input'!$D$16,(H11+0.5*H12)*'Input'!$D$57,H11*'Input'!$D$57))</x:f>
        <x:v>292.95</x:v>
      </x:c>
      <x:c r="I16" s="153" t="n">
        <x:f>IF(I$6="",0,IF(I$6&lt;'Input'!$D$16,(I11+0.5*I12)*'Input'!$D$57,I11*'Input'!$D$57))</x:f>
        <x:v>260.40000000000003</x:v>
      </x:c>
      <x:c r="J16" s="153" t="n">
        <x:f>IF(J$6="",0,IF(J$6&lt;'Input'!$D$16,(J11+0.5*J12)*'Input'!$D$57,J11*'Input'!$D$57))</x:f>
        <x:v>227.85000000000002</x:v>
      </x:c>
      <x:c r="K16" s="153" t="n">
        <x:f>IF(K$6="",0,IF(K$6&lt;'Input'!$D$16,(K11+0.5*K12)*'Input'!$D$57,K11*'Input'!$D$57))</x:f>
        <x:v>195.3</x:v>
      </x:c>
      <x:c r="L16" s="153" t="n">
        <x:f>IF(L$6="",0,IF(L$6&lt;'Input'!$D$16,(L11+0.5*L12)*'Input'!$D$57,L11*'Input'!$D$57))</x:f>
        <x:v>162.75</x:v>
      </x:c>
      <x:c r="M16" s="153" t="n">
        <x:f>IF(M$6="",0,IF(M$6&lt;'Input'!$D$16,(M11+0.5*M12)*'Input'!$D$57,M11*'Input'!$D$57))</x:f>
        <x:v>130.20000000000002</x:v>
      </x:c>
      <x:c r="N16" s="153" t="n">
        <x:f>IF(N$6="",0,IF(N$6&lt;'Input'!$D$16,(N11+0.5*N12)*'Input'!$D$57,N11*'Input'!$D$57))</x:f>
        <x:v>97.65</x:v>
      </x:c>
      <x:c r="O16" s="153" t="n">
        <x:f>IF(O$6="",0,IF(O$6&lt;'Input'!$D$16,(O11+0.5*O12)*'Input'!$D$57,O11*'Input'!$D$57))</x:f>
        <x:v>65.10000000000001</x:v>
      </x:c>
      <x:c r="P16" s="153" t="n">
        <x:f>IF(P$6="",0,IF(P$6&lt;'Input'!$D$16,(P11+0.5*P12)*'Input'!$D$57,P11*'Input'!$D$57))</x:f>
        <x:v>32.550000000000004</x:v>
      </x:c>
      <x:c r="Q16" s="153" t="n">
        <x:f>IF(Q$6="",0,IF(Q$6&lt;'Input'!$D$16,(Q11+0.5*Q12)*'Input'!$D$57,Q11*'Input'!$D$57))</x:f>
        <x:v>1.1368683772161604e-14</x:v>
      </x:c>
      <x:c r="R16" s="153" t="n">
        <x:f>IF(R$6="",0,IF(R$6&lt;'Input'!$D$16,(R11+0.5*R12)*'Input'!$D$57,R11*'Input'!$D$57))</x:f>
        <x:v>1.1368683772161604e-14</x:v>
      </x:c>
      <x:c r="S16" s="153" t="n">
        <x:f>IF(S$6="",0,IF(S$6&lt;'Input'!$D$16,(S11+0.5*S12)*'Input'!$D$57,S11*'Input'!$D$57))</x:f>
        <x:v>1.1368683772161604e-14</x:v>
      </x:c>
      <x:c r="T16" s="153" t="n">
        <x:f>IF(T$6="",0,IF(T$6&lt;'Input'!$D$16,(T11+0.5*T12)*'Input'!$D$57,T11*'Input'!$D$57))</x:f>
        <x:v>1.1368683772161604e-14</x:v>
      </x:c>
      <x:c r="U16" s="153" t="n">
        <x:f>IF(U$6="",0,IF(U$6&lt;'Input'!$D$16,(U11+0.5*U12)*'Input'!$D$57,U11*'Input'!$D$57))</x:f>
        <x:v>1.1368683772161604e-14</x:v>
      </x:c>
      <x:c r="V16" s="153" t="n">
        <x:f>IF(V$6="",0,IF(V$6&lt;'Input'!$D$16,(V11+0.5*V12)*'Input'!$D$57,V11*'Input'!$D$57))</x:f>
        <x:v>1.1368683772161604e-14</x:v>
      </x:c>
      <x:c r="W16" s="153" t="n">
        <x:f>IF(W$6="",0,IF(W$6&lt;'Input'!$D$16,(W11+0.5*W12)*'Input'!$D$57,W11*'Input'!$D$57))</x:f>
        <x:v>1.1368683772161604e-14</x:v>
      </x:c>
      <x:c r="X16" s="153" t="n">
        <x:f>IF(X$6="",0,IF(X$6&lt;'Input'!$D$16,(X11+0.5*X12)*'Input'!$D$57,X11*'Input'!$D$57))</x:f>
        <x:v>1.1368683772161604e-14</x:v>
      </x:c>
      <x:c r="Y16" s="153" t="n">
        <x:f>IF(Y$6="",0,IF(Y$6&lt;'Input'!$D$16,(Y11+0.5*Y12)*'Input'!$D$57,Y11*'Input'!$D$57))</x:f>
        <x:v>1.1368683772161604e-14</x:v>
      </x:c>
      <x:c r="Z16" s="153" t="n">
        <x:f>IF(Z$6="",0,IF(Z$6&lt;'Input'!$D$16,(Z11+0.5*Z12)*'Input'!$D$57,Z11*'Input'!$D$57))</x:f>
        <x:v>1.1368683772161604e-14</x:v>
      </x:c>
      <x:c r="AA16" s="153" t="n">
        <x:f>IF(AA$6="",0,IF(AA$6&lt;'Input'!$D$16,(AA11+0.5*AA12)*'Input'!$D$57,AA11*'Input'!$D$57))</x:f>
        <x:v>1.1368683772161604e-14</x:v>
      </x:c>
      <x:c r="AB16" s="153" t="n">
        <x:f>IF(AB$6="",0,IF(AB$6&lt;'Input'!$D$16,(AB11+0.5*AB12)*'Input'!$D$57,AB11*'Input'!$D$57))</x:f>
        <x:v>1.1368683772161604e-14</x:v>
      </x:c>
      <x:c r="AC16" s="153" t="n">
        <x:f>IF(AC$6="",0,IF(AC$6&lt;'Input'!$D$16,(AC11+0.5*AC12)*'Input'!$D$57,AC11*'Input'!$D$57))</x:f>
        <x:v>1.1368683772161604e-14</x:v>
      </x:c>
      <x:c r="AD16" s="153" t="n">
        <x:f>IF(AD$6="",0,IF(AD$6&lt;'Input'!$D$16,(AD11+0.5*AD12)*'Input'!$D$57,AD11*'Input'!$D$57))</x:f>
        <x:v>1.1368683772161604e-14</x:v>
      </x:c>
      <x:c r="AE16" s="153" t="n">
        <x:f>IF(AE$6="",0,IF(AE$6&lt;'Input'!$D$16,(AE11+0.5*AE12)*'Input'!$D$57,AE11*'Input'!$D$57))</x:f>
        <x:v>1.1368683772161604e-14</x:v>
      </x:c>
      <x:c r="AF16" s="153" t="n">
        <x:f>IF(AF$6="",0,IF(AF$6&lt;'Input'!$D$16,(AF11+0.5*AF12)*'Input'!$D$57,AF11*'Input'!$D$57))</x:f>
        <x:v>1.1368683772161604e-14</x:v>
      </x:c>
    </x:row>
    <x:row r="17" ht="15" hidden="0" customHeight="1">
      <x:c r="A17" s="219" t="str">
        <x:v>DEB-07</x:v>
      </x:c>
      <x:c r="B17" s="220" t="str">
        <x:v>Nghĩa vụ trả nợ trong vận hành</x:v>
      </x:c>
      <x:c r="C17" s="150" t="n">
        <x:f>IF(C$8&gt;0,C15+C16,0)</x:f>
        <x:v>0</x:v>
      </x:c>
      <x:c r="D17" s="150" t="n">
        <x:f>IF(D$8&gt;0,D15+D16,0)</x:f>
        <x:v>0</x:v>
      </x:c>
      <x:c r="E17" s="150" t="n">
        <x:f>IF(E$8&gt;0,E15+E16,0)</x:f>
        <x:v>716.0999999999999</x:v>
      </x:c>
      <x:c r="F17" s="150" t="n">
        <x:f>IF(F$8&gt;0,F15+F16,0)</x:f>
        <x:v>683.55</x:v>
      </x:c>
      <x:c r="G17" s="150" t="n">
        <x:f>IF(G$8&gt;0,G15+G16,0)</x:f>
        <x:v>651</x:v>
      </x:c>
      <x:c r="H17" s="150" t="n">
        <x:f>IF(H$8&gt;0,H15+H16,0)</x:f>
        <x:v>618.4499999999999</x:v>
      </x:c>
      <x:c r="I17" s="150" t="n">
        <x:f>IF(I$8&gt;0,I15+I16,0)</x:f>
        <x:v>585.9</x:v>
      </x:c>
      <x:c r="J17" s="150" t="n">
        <x:f>IF(J$8&gt;0,J15+J16,0)</x:f>
        <x:v>553.3499999999999</x:v>
      </x:c>
      <x:c r="K17" s="150" t="n">
        <x:f>IF(K$8&gt;0,K15+K16,0)</x:f>
        <x:v>520.8</x:v>
      </x:c>
      <x:c r="L17" s="150" t="n">
        <x:f>IF(L$8&gt;0,L15+L16,0)</x:f>
        <x:v>488.24999999999994</x:v>
      </x:c>
      <x:c r="M17" s="150" t="n">
        <x:f>IF(M$8&gt;0,M15+M16,0)</x:f>
        <x:v>455.69999999999993</x:v>
      </x:c>
      <x:c r="N17" s="150" t="n">
        <x:f>IF(N$8&gt;0,N15+N16,0)</x:f>
        <x:v>423.15</x:v>
      </x:c>
      <x:c r="O17" s="150" t="n">
        <x:f>IF(O$8&gt;0,O15+O16,0)</x:f>
        <x:v>390.59999999999997</x:v>
      </x:c>
      <x:c r="P17" s="150" t="n">
        <x:f>IF(P$8&gt;0,P15+P16,0)</x:f>
        <x:v>358.04999999999995</x:v>
      </x:c>
      <x:c r="Q17" s="150" t="n">
        <x:f>IF(Q$8&gt;0,Q15+Q16,0)</x:f>
        <x:v>1.1368683772161604e-14</x:v>
      </x:c>
      <x:c r="R17" s="150" t="n">
        <x:f>IF(R$8&gt;0,R15+R16,0)</x:f>
        <x:v>1.1368683772161604e-14</x:v>
      </x:c>
      <x:c r="S17" s="150" t="n">
        <x:f>IF(S$8&gt;0,S15+S16,0)</x:f>
        <x:v>1.1368683772161604e-14</x:v>
      </x:c>
      <x:c r="T17" s="150" t="n">
        <x:f>IF(T$8&gt;0,T15+T16,0)</x:f>
        <x:v>1.1368683772161604e-14</x:v>
      </x:c>
      <x:c r="U17" s="150" t="n">
        <x:f>IF(U$8&gt;0,U15+U16,0)</x:f>
        <x:v>1.1368683772161604e-14</x:v>
      </x:c>
      <x:c r="V17" s="150" t="n">
        <x:f>IF(V$8&gt;0,V15+V16,0)</x:f>
        <x:v>1.1368683772161604e-14</x:v>
      </x:c>
      <x:c r="W17" s="150" t="n">
        <x:f>IF(W$8&gt;0,W15+W16,0)</x:f>
        <x:v>1.1368683772161604e-14</x:v>
      </x:c>
      <x:c r="X17" s="150" t="n">
        <x:f>IF(X$8&gt;0,X15+X16,0)</x:f>
        <x:v>1.1368683772161604e-14</x:v>
      </x:c>
      <x:c r="Y17" s="150" t="n">
        <x:f>IF(Y$8&gt;0,Y15+Y16,0)</x:f>
        <x:v>0</x:v>
      </x:c>
      <x:c r="Z17" s="150" t="n">
        <x:f>IF(Z$8&gt;0,Z15+Z16,0)</x:f>
        <x:v>0</x:v>
      </x:c>
      <x:c r="AA17" s="150" t="n">
        <x:f>IF(AA$8&gt;0,AA15+AA16,0)</x:f>
        <x:v>0</x:v>
      </x:c>
      <x:c r="AB17" s="150" t="n">
        <x:f>IF(AB$8&gt;0,AB15+AB16,0)</x:f>
        <x:v>0</x:v>
      </x:c>
      <x:c r="AC17" s="150" t="n">
        <x:f>IF(AC$8&gt;0,AC15+AC16,0)</x:f>
        <x:v>0</x:v>
      </x:c>
      <x:c r="AD17" s="150" t="n">
        <x:f>IF(AD$8&gt;0,AD15+AD16,0)</x:f>
        <x:v>0</x:v>
      </x:c>
      <x:c r="AE17" s="150" t="n">
        <x:f>IF(AE$8&gt;0,AE15+AE16,0)</x:f>
        <x:v>0</x:v>
      </x:c>
      <x:c r="AF17" s="150" t="n">
        <x:f>IF(AF$8&gt;0,AF15+AF16,0)</x:f>
        <x:v>0</x:v>
      </x:c>
    </x:row>
    <x:row r="18" ht="15" hidden="0" customHeight="1">
      <x:c r="A18" s="219" t="str">
        <x:v>DEB-08</x:v>
      </x:c>
      <x:c r="B18" s="220" t="str">
        <x:v>Dư nợ cuối kỳ</x:v>
      </x:c>
      <x:c r="C18" s="150" t="n">
        <x:f>MAX(0,C11+C12-C15)</x:f>
        <x:v>1562.3999999999999</x:v>
      </x:c>
      <x:c r="D18" s="150" t="n">
        <x:f>MAX(0,D11+D12-D15)</x:f>
        <x:v>3906</x:v>
      </x:c>
      <x:c r="E18" s="150" t="n">
        <x:f>MAX(0,E11+E12-E15)</x:f>
        <x:v>3580.5</x:v>
      </x:c>
      <x:c r="F18" s="150" t="n">
        <x:f>MAX(0,F11+F12-F15)</x:f>
        <x:v>3255</x:v>
      </x:c>
      <x:c r="G18" s="150" t="n">
        <x:f>MAX(0,G11+G12-G15)</x:f>
        <x:v>2929.5</x:v>
      </x:c>
      <x:c r="H18" s="150" t="n">
        <x:f>MAX(0,H11+H12-H15)</x:f>
        <x:v>2604</x:v>
      </x:c>
      <x:c r="I18" s="150" t="n">
        <x:f>MAX(0,I11+I12-I15)</x:f>
        <x:v>2278.5</x:v>
      </x:c>
      <x:c r="J18" s="150" t="n">
        <x:f>MAX(0,J11+J12-J15)</x:f>
        <x:v>1953</x:v>
      </x:c>
      <x:c r="K18" s="150" t="n">
        <x:f>MAX(0,K11+K12-K15)</x:f>
        <x:v>1627.5</x:v>
      </x:c>
      <x:c r="L18" s="150" t="n">
        <x:f>MAX(0,L11+L12-L15)</x:f>
        <x:v>1302</x:v>
      </x:c>
      <x:c r="M18" s="150" t="n">
        <x:f>MAX(0,M11+M12-M15)</x:f>
        <x:v>976.5</x:v>
      </x:c>
      <x:c r="N18" s="150" t="n">
        <x:f>MAX(0,N11+N12-N15)</x:f>
        <x:v>651</x:v>
      </x:c>
      <x:c r="O18" s="150" t="n">
        <x:f>MAX(0,O11+O12-O15)</x:f>
        <x:v>325.50000000000006</x:v>
      </x:c>
      <x:c r="P18" s="150" t="n">
        <x:f>MAX(0,P11+P12-P15)</x:f>
        <x:v>1.1368683772161603e-13</x:v>
      </x:c>
      <x:c r="Q18" s="150" t="n">
        <x:f>MAX(0,Q11+Q12-Q15)</x:f>
        <x:v>1.1368683772161603e-13</x:v>
      </x:c>
      <x:c r="R18" s="150" t="n">
        <x:f>MAX(0,R11+R12-R15)</x:f>
        <x:v>1.1368683772161603e-13</x:v>
      </x:c>
      <x:c r="S18" s="150" t="n">
        <x:f>MAX(0,S11+S12-S15)</x:f>
        <x:v>1.1368683772161603e-13</x:v>
      </x:c>
      <x:c r="T18" s="150" t="n">
        <x:f>MAX(0,T11+T12-T15)</x:f>
        <x:v>1.1368683772161603e-13</x:v>
      </x:c>
      <x:c r="U18" s="150" t="n">
        <x:f>MAX(0,U11+U12-U15)</x:f>
        <x:v>1.1368683772161603e-13</x:v>
      </x:c>
      <x:c r="V18" s="150" t="n">
        <x:f>MAX(0,V11+V12-V15)</x:f>
        <x:v>1.1368683772161603e-13</x:v>
      </x:c>
      <x:c r="W18" s="150" t="n">
        <x:f>MAX(0,W11+W12-W15)</x:f>
        <x:v>1.1368683772161603e-13</x:v>
      </x:c>
      <x:c r="X18" s="150" t="n">
        <x:f>MAX(0,X11+X12-X15)</x:f>
        <x:v>1.1368683772161603e-13</x:v>
      </x:c>
      <x:c r="Y18" s="150" t="n">
        <x:f>MAX(0,Y11+Y12-Y15)</x:f>
        <x:v>1.1368683772161603e-13</x:v>
      </x:c>
      <x:c r="Z18" s="150" t="n">
        <x:f>MAX(0,Z11+Z12-Z15)</x:f>
        <x:v>1.1368683772161603e-13</x:v>
      </x:c>
      <x:c r="AA18" s="150" t="n">
        <x:f>MAX(0,AA11+AA12-AA15)</x:f>
        <x:v>1.1368683772161603e-13</x:v>
      </x:c>
      <x:c r="AB18" s="150" t="n">
        <x:f>MAX(0,AB11+AB12-AB15)</x:f>
        <x:v>1.1368683772161603e-13</x:v>
      </x:c>
      <x:c r="AC18" s="150" t="n">
        <x:f>MAX(0,AC11+AC12-AC15)</x:f>
        <x:v>1.1368683772161603e-13</x:v>
      </x:c>
      <x:c r="AD18" s="150" t="n">
        <x:f>MAX(0,AD11+AD12-AD15)</x:f>
        <x:v>1.1368683772161603e-13</x:v>
      </x:c>
      <x:c r="AE18" s="150" t="n">
        <x:f>MAX(0,AE11+AE12-AE15)</x:f>
        <x:v>1.1368683772161603e-13</x:v>
      </x:c>
      <x:c r="AF18" s="150" t="n">
        <x:f>MAX(0,AF11+AF12-AF15)</x:f>
        <x:v>1.1368683772161603e-13</x:v>
      </x:c>
    </x:row>
    <x:row r="19" ht="15" hidden="0" customHeight="1">
      <x:c r="A19" s="219" t="str">
        <x:v>DEB-09</x:v>
      </x:c>
      <x:c r="B19" s="219" t="str">
        <x:v>Phí thu xếp khoản vay</x:v>
      </x:c>
      <x:c r="C19" s="153" t="n">
        <x:f>'Input'!$D$63*'Input'!$D$61</x:f>
        <x:v>39.059999999999995</x:v>
      </x:c>
      <x:c r="D19" s="153" t="n">
        <x:f>0</x:f>
        <x:v>0</x:v>
      </x:c>
      <x:c r="E19" s="153" t="n">
        <x:f>0</x:f>
        <x:v>0</x:v>
      </x:c>
      <x:c r="F19" s="153" t="n">
        <x:f>0</x:f>
        <x:v>0</x:v>
      </x:c>
      <x:c r="G19" s="153" t="n">
        <x:f>0</x:f>
        <x:v>0</x:v>
      </x:c>
      <x:c r="H19" s="153" t="n">
        <x:f>0</x:f>
        <x:v>0</x:v>
      </x:c>
      <x:c r="I19" s="153" t="n">
        <x:f>0</x:f>
        <x:v>0</x:v>
      </x:c>
      <x:c r="J19" s="153" t="n">
        <x:f>0</x:f>
        <x:v>0</x:v>
      </x:c>
      <x:c r="K19" s="153" t="n">
        <x:f>0</x:f>
        <x:v>0</x:v>
      </x:c>
      <x:c r="L19" s="153" t="n">
        <x:f>0</x:f>
        <x:v>0</x:v>
      </x:c>
      <x:c r="M19" s="153" t="n">
        <x:f>0</x:f>
        <x:v>0</x:v>
      </x:c>
      <x:c r="N19" s="153" t="n">
        <x:f>0</x:f>
        <x:v>0</x:v>
      </x:c>
      <x:c r="O19" s="153" t="n">
        <x:f>0</x:f>
        <x:v>0</x:v>
      </x:c>
      <x:c r="P19" s="153" t="n">
        <x:f>0</x:f>
        <x:v>0</x:v>
      </x:c>
      <x:c r="Q19" s="153" t="n">
        <x:f>0</x:f>
        <x:v>0</x:v>
      </x:c>
      <x:c r="R19" s="153" t="n">
        <x:f>0</x:f>
        <x:v>0</x:v>
      </x:c>
      <x:c r="S19" s="153" t="n">
        <x:f>0</x:f>
        <x:v>0</x:v>
      </x:c>
      <x:c r="T19" s="153" t="n">
        <x:f>0</x:f>
        <x:v>0</x:v>
      </x:c>
      <x:c r="U19" s="153" t="n">
        <x:f>0</x:f>
        <x:v>0</x:v>
      </x:c>
      <x:c r="V19" s="153" t="n">
        <x:f>0</x:f>
        <x:v>0</x:v>
      </x:c>
      <x:c r="W19" s="153" t="n">
        <x:f>0</x:f>
        <x:v>0</x:v>
      </x:c>
      <x:c r="X19" s="153" t="n">
        <x:f>0</x:f>
        <x:v>0</x:v>
      </x:c>
      <x:c r="Y19" s="153" t="n">
        <x:f>0</x:f>
        <x:v>0</x:v>
      </x:c>
      <x:c r="Z19" s="153" t="n">
        <x:f>0</x:f>
        <x:v>0</x:v>
      </x:c>
      <x:c r="AA19" s="153" t="n">
        <x:f>0</x:f>
        <x:v>0</x:v>
      </x:c>
      <x:c r="AB19" s="153" t="n">
        <x:f>0</x:f>
        <x:v>0</x:v>
      </x:c>
      <x:c r="AC19" s="153" t="n">
        <x:f>0</x:f>
        <x:v>0</x:v>
      </x:c>
      <x:c r="AD19" s="153" t="n">
        <x:f>0</x:f>
        <x:v>0</x:v>
      </x:c>
      <x:c r="AE19" s="153" t="n">
        <x:f>0</x:f>
        <x:v>0</x:v>
      </x:c>
      <x:c r="AF19" s="153" t="n">
        <x:f>0</x:f>
        <x:v>0</x:v>
      </x:c>
    </x:row>
    <x:row r="20" ht="15" hidden="0" customHeight="1">
      <x:c r="A20" s="216"/>
      <x:c r="B20" s="216"/>
      <x:c r="C20" s="209"/>
      <x:c r="D20" s="209"/>
      <x:c r="E20" s="209"/>
      <x:c r="F20" s="209"/>
      <x:c r="G20" s="209"/>
      <x:c r="H20" s="209"/>
      <x:c r="I20" s="209"/>
      <x:c r="J20" s="209"/>
      <x:c r="K20" s="209"/>
      <x:c r="L20" s="209"/>
      <x:c r="M20" s="209"/>
      <x:c r="N20" s="209"/>
      <x:c r="O20" s="209"/>
      <x:c r="P20" s="209"/>
      <x:c r="Q20" s="209"/>
      <x:c r="R20" s="209"/>
      <x:c r="S20" s="209"/>
      <x:c r="T20" s="209"/>
      <x:c r="U20" s="209"/>
      <x:c r="V20" s="209"/>
      <x:c r="W20" s="209"/>
      <x:c r="X20" s="209"/>
      <x:c r="Y20" s="209"/>
      <x:c r="Z20" s="209"/>
      <x:c r="AA20" s="209"/>
      <x:c r="AB20" s="209"/>
      <x:c r="AC20" s="209"/>
      <x:c r="AD20" s="209"/>
      <x:c r="AE20" s="209"/>
      <x:c r="AF20" s="209"/>
    </x:row>
    <x:row r="21" ht="15" hidden="0" customHeight="1">
      <x:c r="A21" s="218" t="str">
        <x:v>2. KHẢ NĂNG TRẢ NỢ</x:v>
      </x:c>
      <x:c r="B21" s="218"/>
      <x:c r="C21" s="142"/>
      <x:c r="D21" s="142"/>
      <x:c r="E21" s="142"/>
      <x:c r="F21" s="142"/>
      <x:c r="G21" s="142"/>
      <x:c r="H21" s="142"/>
      <x:c r="I21" s="142"/>
      <x:c r="J21" s="142"/>
      <x:c r="K21" s="142"/>
      <x:c r="L21" s="142"/>
      <x:c r="M21" s="142"/>
      <x:c r="N21" s="142"/>
      <x:c r="O21" s="142"/>
      <x:c r="P21" s="142"/>
      <x:c r="Q21" s="142"/>
      <x:c r="R21" s="142"/>
      <x:c r="S21" s="142"/>
      <x:c r="T21" s="142"/>
      <x:c r="U21" s="142"/>
      <x:c r="V21" s="142"/>
      <x:c r="W21" s="142"/>
      <x:c r="X21" s="142"/>
      <x:c r="Y21" s="142"/>
      <x:c r="Z21" s="142"/>
      <x:c r="AA21" s="142"/>
      <x:c r="AB21" s="142"/>
      <x:c r="AC21" s="142"/>
      <x:c r="AD21" s="142"/>
      <x:c r="AE21" s="142"/>
      <x:c r="AF21" s="142"/>
    </x:row>
    <x:row r="22" ht="15" hidden="0" customHeight="1">
      <x:c r="A22" s="219" t="str">
        <x:v>DEB-10</x:v>
      </x:c>
      <x:c r="B22" s="219" t="str">
        <x:v>CFADS</x:v>
      </x:c>
      <x:c r="C22" s="153" t="n">
        <x:f>'Project_CF'!C18</x:f>
        <x:v>0</x:v>
      </x:c>
      <x:c r="D22" s="153" t="n">
        <x:f>'Project_CF'!D18</x:f>
        <x:v>0</x:v>
      </x:c>
      <x:c r="E22" s="153" t="n">
        <x:f>'Project_CF'!E18</x:f>
        <x:v>743.372496</x:v>
      </x:c>
      <x:c r="F22" s="153" t="n">
        <x:f>'Project_CF'!F18</x:f>
        <x:v>738.314551008</x:v>
      </x:c>
      <x:c r="G22" s="153" t="n">
        <x:f>'Project_CF'!G18</x:f>
        <x:v>733.1595859059842</x:v>
      </x:c>
      <x:c r="H22" s="153" t="n">
        <x:f>'Project_CF'!H18</x:f>
        <x:v>727.9045806541722</x:v>
      </x:c>
      <x:c r="I22" s="153" t="n">
        <x:f>'Project_CF'!I18</x:f>
        <x:v>701.2479535889405</x:v>
      </x:c>
      <x:c r="J22" s="153" t="n">
        <x:f>'Project_CF'!J18</x:f>
        <x:v>696.0566691726043</x:v>
      </x:c>
      <x:c r="K22" s="153" t="n">
        <x:f>'Project_CF'!K18</x:f>
        <x:v>690.7612139388261</x:v>
      </x:c>
      <x:c r="L22" s="153" t="n">
        <x:f>'Project_CF'!L18</x:f>
        <x:v>685.358359627652</x:v>
      </x:c>
      <x:c r="M22" s="153" t="n">
        <x:f>'Project_CF'!M18</x:f>
        <x:v>679.8447813376016</x:v>
      </x:c>
      <x:c r="N22" s="153" t="n">
        <x:f>'Project_CF'!N18</x:f>
        <x:v>674.2170546260078</x:v>
      </x:c>
      <x:c r="O22" s="153" t="n">
        <x:f>'Project_CF'!O18</x:f>
        <x:v>668.4716525223691</x:v>
      </x:c>
      <x:c r="P22" s="153" t="n">
        <x:f>'Project_CF'!P18</x:f>
        <x:v>662.6049424521063</x:v>
      </x:c>
      <x:c r="Q22" s="153" t="n">
        <x:f>'Project_CF'!Q18</x:f>
        <x:v>656.6131830680276</x:v>
      </x:c>
      <x:c r="R22" s="153" t="n">
        <x:f>'Project_CF'!R18</x:f>
        <x:v>631.865388303229</x:v>
      </x:c>
      <x:c r="S22" s="153" t="n">
        <x:f>'Project_CF'!S18</x:f>
        <x:v>625.940988088892</x:v>
      </x:c>
      <x:c r="T22" s="153" t="n">
        <x:f>'Project_CF'!T18</x:f>
        <x:v>583.9635218932018</x:v>
      </x:c>
      <x:c r="U22" s="153" t="n">
        <x:f>'Project_CF'!U18</x:f>
        <x:v>578.4631750588837</x:v>
      </x:c>
      <x:c r="V22" s="153" t="n">
        <x:f>'Project_CF'!V18</x:f>
        <x:v>572.8402974005182</x:v>
      </x:c>
      <x:c r="W22" s="153" t="n">
        <x:f>'Project_CF'!W18</x:f>
        <x:v>567.091128034222</x:v>
      </x:c>
      <x:c r="X22" s="153" t="n">
        <x:f>'Project_CF'!X18</x:f>
        <x:v>561.2117934195137</x:v>
      </x:c>
      <x:c r="Y22" s="153" t="n">
        <x:f>'Project_CF'!Y18</x:f>
        <x:v>0</x:v>
      </x:c>
      <x:c r="Z22" s="153" t="n">
        <x:f>'Project_CF'!Z18</x:f>
        <x:v>0</x:v>
      </x:c>
      <x:c r="AA22" s="153" t="n">
        <x:f>'Project_CF'!AA18</x:f>
        <x:v>0</x:v>
      </x:c>
      <x:c r="AB22" s="153" t="n">
        <x:f>'Project_CF'!AB18</x:f>
        <x:v>0</x:v>
      </x:c>
      <x:c r="AC22" s="153" t="n">
        <x:f>'Project_CF'!AC18</x:f>
        <x:v>0</x:v>
      </x:c>
      <x:c r="AD22" s="153" t="n">
        <x:f>'Project_CF'!AD18</x:f>
        <x:v>0</x:v>
      </x:c>
      <x:c r="AE22" s="153" t="n">
        <x:f>'Project_CF'!AE18</x:f>
        <x:v>0</x:v>
      </x:c>
      <x:c r="AF22" s="153" t="n">
        <x:f>'Project_CF'!AF18</x:f>
        <x:v>0</x:v>
      </x:c>
    </x:row>
    <x:row r="23" ht="15" hidden="0" customHeight="1">
      <x:c r="A23" s="219" t="str">
        <x:v>DEB-11</x:v>
      </x:c>
      <x:c r="B23" s="220" t="str">
        <x:v>DSCR</x:v>
      </x:c>
      <x:c r="C23" s="168" t="n">
        <x:f>IF(C17=0,0,C22/C17)</x:f>
        <x:v>0</x:v>
      </x:c>
      <x:c r="D23" s="168" t="n">
        <x:f>IF(D17=0,0,D22/D17)</x:f>
        <x:v>0</x:v>
      </x:c>
      <x:c r="E23" s="168" t="n">
        <x:f>IF(E17=0,0,E22/E17)</x:f>
        <x:v>1.038084759111856</x:v>
      </x:c>
      <x:c r="F23" s="168" t="n">
        <x:f>IF(F17=0,0,F22/F17)</x:f>
        <x:v>1.0801178421593154</x:v>
      </x:c>
      <x:c r="G23" s="168" t="n">
        <x:f>IF(G17=0,0,G22/G17)</x:f>
        <x:v>1.126205201084461</x:v>
      </x:c>
      <x:c r="H23" s="168" t="n">
        <x:f>IF(H17=0,0,H22/H17)</x:f>
        <x:v>1.176982101470082</x:v>
      </x:c>
      <x:c r="I23" s="168" t="n">
        <x:f>IF(I17=0,0,I22/I17)</x:f>
        <x:v>1.196873107337328</x:v>
      </x:c>
      <x:c r="J23" s="168" t="n">
        <x:f>IF(J17=0,0,J22/J17)</x:f>
        <x:v>1.2578958510393141</x:v>
      </x:c>
      <x:c r="K23" s="168" t="n">
        <x:f>IF(K17=0,0,K22/K17)</x:f>
        <x:v>1.32634641693323</x:v>
      </x:c>
      <x:c r="L23" s="168" t="n">
        <x:f>IF(L17=0,0,L22/L17)</x:f>
        <x:v>1.4037037575579152</x:v>
      </x:c>
      <x:c r="M23" s="168" t="n">
        <x:f>IF(M17=0,0,M22/M17)</x:f>
        <x:v>1.4918691712477545</x:v>
      </x:c>
      <x:c r="N23" s="168" t="n">
        <x:f>IF(N17=0,0,N22/N17)</x:f>
        <x:v>1.5933287359707144</x:v>
      </x:c>
      <x:c r="O23" s="168" t="n">
        <x:f>IF(O17=0,0,O22/O17)</x:f>
        <x:v>1.7113969598626964</x:v>
      </x:c>
      <x:c r="P23" s="168" t="n">
        <x:f>IF(P17=0,0,P22/P17)</x:f>
        <x:v>1.850593331803118</x:v>
      </x:c>
      <x:c r="Q23" s="168" t="n">
        <x:f>IF(Q17=0,0,Q22/Q17)</x:f>
        <x:v>0</x:v>
      </x:c>
      <x:c r="R23" s="168" t="n">
        <x:f>IF(R17=0,0,R22/R17)</x:f>
        <x:v>0</x:v>
      </x:c>
      <x:c r="S23" s="168" t="n">
        <x:f>IF(S17=0,0,S22/S17)</x:f>
        <x:v>0</x:v>
      </x:c>
      <x:c r="T23" s="168" t="n">
        <x:f>IF(T17=0,0,T22/T17)</x:f>
        <x:v>0</x:v>
      </x:c>
      <x:c r="U23" s="168" t="n">
        <x:f>IF(U17=0,0,U22/U17)</x:f>
        <x:v>0</x:v>
      </x:c>
      <x:c r="V23" s="168" t="n">
        <x:f>IF(V17=0,0,V22/V17)</x:f>
        <x:v>0</x:v>
      </x:c>
      <x:c r="W23" s="168" t="n">
        <x:f>IF(W17=0,0,W22/W17)</x:f>
        <x:v>0</x:v>
      </x:c>
      <x:c r="X23" s="168" t="n">
        <x:f>IF(X17=0,0,X22/X17)</x:f>
        <x:v>0</x:v>
      </x:c>
      <x:c r="Y23" s="168" t="n">
        <x:f>IF(Y17=0,0,Y22/Y17)</x:f>
        <x:v>0</x:v>
      </x:c>
      <x:c r="Z23" s="168" t="n">
        <x:f>IF(Z17=0,0,Z22/Z17)</x:f>
        <x:v>0</x:v>
      </x:c>
      <x:c r="AA23" s="168" t="n">
        <x:f>IF(AA17=0,0,AA22/AA17)</x:f>
        <x:v>0</x:v>
      </x:c>
      <x:c r="AB23" s="168" t="n">
        <x:f>IF(AB17=0,0,AB22/AB17)</x:f>
        <x:v>0</x:v>
      </x:c>
      <x:c r="AC23" s="168" t="n">
        <x:f>IF(AC17=0,0,AC22/AC17)</x:f>
        <x:v>0</x:v>
      </x:c>
      <x:c r="AD23" s="168" t="n">
        <x:f>IF(AD17=0,0,AD22/AD17)</x:f>
        <x:v>0</x:v>
      </x:c>
      <x:c r="AE23" s="168" t="n">
        <x:f>IF(AE17=0,0,AE22/AE17)</x:f>
        <x:v>0</x:v>
      </x:c>
      <x:c r="AF23" s="168" t="n">
        <x:f>IF(AF17=0,0,AF22/AF17)</x:f>
        <x:v>0</x:v>
      </x:c>
    </x:row>
    <x:row r="24" ht="15" hidden="0" customHeight="1">
      <x:c r="A24" s="219" t="str">
        <x:v>DEB-12</x:v>
      </x:c>
      <x:c r="B24" s="219" t="str">
        <x:v>DSCR dùng tính tối thiểu</x:v>
      </x:c>
      <x:c r="C24" s="170" t="str">
        <x:f>IF(C17&gt;0,C23,"")</x:f>
      </x:c>
      <x:c r="D24" s="170" t="str">
        <x:f>IF(D17&gt;0,D23,"")</x:f>
      </x:c>
      <x:c r="E24" s="170" t="n">
        <x:f>IF(E17&gt;0,E23,"")</x:f>
        <x:v>1.038084759111856</x:v>
      </x:c>
      <x:c r="F24" s="170" t="n">
        <x:f>IF(F17&gt;0,F23,"")</x:f>
        <x:v>1.0801178421593154</x:v>
      </x:c>
      <x:c r="G24" s="170" t="n">
        <x:f>IF(G17&gt;0,G23,"")</x:f>
        <x:v>1.126205201084461</x:v>
      </x:c>
      <x:c r="H24" s="170" t="n">
        <x:f>IF(H17&gt;0,H23,"")</x:f>
        <x:v>1.176982101470082</x:v>
      </x:c>
      <x:c r="I24" s="170" t="n">
        <x:f>IF(I17&gt;0,I23,"")</x:f>
        <x:v>1.196873107337328</x:v>
      </x:c>
      <x:c r="J24" s="170" t="n">
        <x:f>IF(J17&gt;0,J23,"")</x:f>
        <x:v>1.2578958510393141</x:v>
      </x:c>
      <x:c r="K24" s="170" t="n">
        <x:f>IF(K17&gt;0,K23,"")</x:f>
        <x:v>1.32634641693323</x:v>
      </x:c>
      <x:c r="L24" s="170" t="n">
        <x:f>IF(L17&gt;0,L23,"")</x:f>
        <x:v>1.4037037575579152</x:v>
      </x:c>
      <x:c r="M24" s="170" t="n">
        <x:f>IF(M17&gt;0,M23,"")</x:f>
        <x:v>1.4918691712477545</x:v>
      </x:c>
      <x:c r="N24" s="170" t="n">
        <x:f>IF(N17&gt;0,N23,"")</x:f>
        <x:v>1.5933287359707144</x:v>
      </x:c>
      <x:c r="O24" s="170" t="n">
        <x:f>IF(O17&gt;0,O23,"")</x:f>
        <x:v>1.7113969598626964</x:v>
      </x:c>
      <x:c r="P24" s="170" t="n">
        <x:f>IF(P17&gt;0,P23,"")</x:f>
        <x:v>1.850593331803118</x:v>
      </x:c>
      <x:c r="Q24" s="170" t="str">
        <x:f>IF(Q17&gt;0,Q23,"")</x:f>
      </x:c>
      <x:c r="R24" s="170" t="str">
        <x:f>IF(R17&gt;0,R23,"")</x:f>
      </x:c>
      <x:c r="S24" s="170" t="str">
        <x:f>IF(S17&gt;0,S23,"")</x:f>
      </x:c>
      <x:c r="T24" s="170" t="str">
        <x:f>IF(T17&gt;0,T23,"")</x:f>
      </x:c>
      <x:c r="U24" s="170" t="str">
        <x:f>IF(U17&gt;0,U23,"")</x:f>
      </x:c>
      <x:c r="V24" s="170" t="str">
        <x:f>IF(V17&gt;0,V23,"")</x:f>
      </x:c>
      <x:c r="W24" s="170" t="str">
        <x:f>IF(W17&gt;0,W23,"")</x:f>
      </x:c>
      <x:c r="X24" s="170" t="str">
        <x:f>IF(X17&gt;0,X23,"")</x:f>
      </x:c>
      <x:c r="Y24" s="170" t="str">
        <x:f>IF(Y17&gt;0,Y23,"")</x:f>
      </x:c>
      <x:c r="Z24" s="170" t="str">
        <x:f>IF(Z17&gt;0,Z23,"")</x:f>
      </x:c>
      <x:c r="AA24" s="170" t="str">
        <x:f>IF(AA17&gt;0,AA23,"")</x:f>
      </x:c>
      <x:c r="AB24" s="170" t="str">
        <x:f>IF(AB17&gt;0,AB23,"")</x:f>
      </x:c>
      <x:c r="AC24" s="170" t="str">
        <x:f>IF(AC17&gt;0,AC23,"")</x:f>
      </x:c>
      <x:c r="AD24" s="170" t="str">
        <x:f>IF(AD17&gt;0,AD23,"")</x:f>
      </x:c>
      <x:c r="AE24" s="170" t="str">
        <x:f>IF(AE17&gt;0,AE23,"")</x:f>
      </x:c>
      <x:c r="AF24" s="170" t="str">
        <x:f>IF(AF17&gt;0,AF23,"")</x:f>
      </x:c>
    </x:row>
    <x:row r="25" ht="15" hidden="0" customHeight="1">
      <x:c r="A25" s="219" t="str">
        <x:v>DEB-13</x:v>
      </x:c>
      <x:c r="B25" s="219" t="str">
        <x:v>PV CFADS trong thời hạn vay</x:v>
      </x:c>
      <x:c r="C25" s="153" t="n">
        <x:f>IF(AND(C13&gt;=1,C13&lt;='Input'!$D$58),C22/(1+'Input'!$D$57)^C13,0)</x:f>
        <x:v>0</x:v>
      </x:c>
      <x:c r="D25" s="153" t="n">
        <x:f>IF(AND(D13&gt;=1,D13&lt;='Input'!$D$58),D22/(1+'Input'!$D$57)^D13,0)</x:f>
        <x:v>0</x:v>
      </x:c>
      <x:c r="E25" s="153" t="n">
        <x:f>IF(AND(E13&gt;=1,E13&lt;='Input'!$D$58),E22/(1+'Input'!$D$57)^E13,0)</x:f>
        <x:v>675.7931781818181</x:v>
      </x:c>
      <x:c r="F25" s="153" t="n">
        <x:f>IF(AND(F13&gt;=1,F13&lt;='Input'!$D$58),F22/(1+'Input'!$D$57)^F13,0)</x:f>
        <x:v>610.1773148826445</x:v>
      </x:c>
      <x:c r="G25" s="153" t="n">
        <x:f>IF(AND(G13&gt;=1,G13&lt;='Input'!$D$58),G22/(1+'Input'!$D$57)^G13,0)</x:f>
        <x:v>550.8336483140375</x:v>
      </x:c>
      <x:c r="H25" s="153" t="n">
        <x:f>IF(AND(H13&gt;=1,H13&lt;='Input'!$D$58),H22/(1+'Input'!$D$57)^H13,0)</x:f>
        <x:v>497.1686228086688</x:v>
      </x:c>
      <x:c r="I25" s="153" t="n">
        <x:f>IF(AND(I13&gt;=1,I13&lt;='Input'!$D$58),I22/(1+'Input'!$D$57)^I13,0)</x:f>
        <x:v>435.41980713496986</x:v>
      </x:c>
      <x:c r="J25" s="153" t="n">
        <x:f>IF(AND(J13&gt;=1,J13&lt;='Input'!$D$58),J22/(1+'Input'!$D$57)^J13,0)</x:f>
        <x:v>392.90584358800174</x:v>
      </x:c>
      <x:c r="K25" s="153" t="n">
        <x:f>IF(AND(K13&gt;=1,K13&lt;='Input'!$D$58),K22/(1+'Input'!$D$57)^K13,0)</x:f>
        <x:v>354.4697246916065</x:v>
      </x:c>
      <x:c r="L25" s="153" t="n">
        <x:f>IF(AND(L13&gt;=1,L13&lt;='Input'!$D$58),L22/(1+'Input'!$D$57)^L13,0)</x:f>
        <x:v>319.72473285473603</x:v>
      </x:c>
      <x:c r="M25" s="153" t="n">
        <x:f>IF(AND(M13&gt;=1,M13&lt;='Input'!$D$58),M22/(1+'Input'!$D$57)^M13,0)</x:f>
        <x:v>288.3205526282394</x:v>
      </x:c>
      <x:c r="N25" s="153" t="n">
        <x:f>IF(AND(N13&gt;=1,N13&lt;='Input'!$D$58),N22/(1+'Input'!$D$57)^N13,0)</x:f>
        <x:v>259.9398610300011</x:v>
      </x:c>
      <x:c r="O25" s="153" t="n">
        <x:f>IF(AND(O13&gt;=1,O13&lt;='Input'!$D$58),O22/(1+'Input'!$D$57)^O13,0)</x:f>
        <x:v>234.29523618533537</x:v>
      </x:c>
      <x:c r="P25" s="153" t="n">
        <x:f>IF(AND(P13&gt;=1,P13&lt;='Input'!$D$58),P22/(1+'Input'!$D$57)^P13,0)</x:f>
        <x:v>211.12635463243836</x:v>
      </x:c>
      <x:c r="Q25" s="153" t="n">
        <x:f>IF(AND(Q13&gt;=1,Q13&lt;='Input'!$D$58),Q22/(1+'Input'!$D$57)^Q13,0)</x:f>
        <x:v>0</x:v>
      </x:c>
      <x:c r="R25" s="153" t="n">
        <x:f>IF(AND(R13&gt;=1,R13&lt;='Input'!$D$58),R22/(1+'Input'!$D$57)^R13,0)</x:f>
        <x:v>0</x:v>
      </x:c>
      <x:c r="S25" s="153" t="n">
        <x:f>IF(AND(S13&gt;=1,S13&lt;='Input'!$D$58),S22/(1+'Input'!$D$57)^S13,0)</x:f>
        <x:v>0</x:v>
      </x:c>
      <x:c r="T25" s="153" t="n">
        <x:f>IF(AND(T13&gt;=1,T13&lt;='Input'!$D$58),T22/(1+'Input'!$D$57)^T13,0)</x:f>
        <x:v>0</x:v>
      </x:c>
      <x:c r="U25" s="153" t="n">
        <x:f>IF(AND(U13&gt;=1,U13&lt;='Input'!$D$58),U22/(1+'Input'!$D$57)^U13,0)</x:f>
        <x:v>0</x:v>
      </x:c>
      <x:c r="V25" s="153" t="n">
        <x:f>IF(AND(V13&gt;=1,V13&lt;='Input'!$D$58),V22/(1+'Input'!$D$57)^V13,0)</x:f>
        <x:v>0</x:v>
      </x:c>
      <x:c r="W25" s="153" t="n">
        <x:f>IF(AND(W13&gt;=1,W13&lt;='Input'!$D$58),W22/(1+'Input'!$D$57)^W13,0)</x:f>
        <x:v>0</x:v>
      </x:c>
      <x:c r="X25" s="153" t="n">
        <x:f>IF(AND(X13&gt;=1,X13&lt;='Input'!$D$58),X22/(1+'Input'!$D$57)^X13,0)</x:f>
        <x:v>0</x:v>
      </x:c>
      <x:c r="Y25" s="153" t="n">
        <x:f>IF(AND(Y13&gt;=1,Y13&lt;='Input'!$D$58),Y22/(1+'Input'!$D$57)^Y13,0)</x:f>
        <x:v>0</x:v>
      </x:c>
      <x:c r="Z25" s="153" t="n">
        <x:f>IF(AND(Z13&gt;=1,Z13&lt;='Input'!$D$58),Z22/(1+'Input'!$D$57)^Z13,0)</x:f>
        <x:v>0</x:v>
      </x:c>
      <x:c r="AA25" s="153" t="n">
        <x:f>IF(AND(AA13&gt;=1,AA13&lt;='Input'!$D$58),AA22/(1+'Input'!$D$57)^AA13,0)</x:f>
        <x:v>0</x:v>
      </x:c>
      <x:c r="AB25" s="153" t="n">
        <x:f>IF(AND(AB13&gt;=1,AB13&lt;='Input'!$D$58),AB22/(1+'Input'!$D$57)^AB13,0)</x:f>
        <x:v>0</x:v>
      </x:c>
      <x:c r="AC25" s="153" t="n">
        <x:f>IF(AND(AC13&gt;=1,AC13&lt;='Input'!$D$58),AC22/(1+'Input'!$D$57)^AC13,0)</x:f>
        <x:v>0</x:v>
      </x:c>
      <x:c r="AD25" s="153" t="n">
        <x:f>IF(AND(AD13&gt;=1,AD13&lt;='Input'!$D$58),AD22/(1+'Input'!$D$57)^AD13,0)</x:f>
        <x:v>0</x:v>
      </x:c>
      <x:c r="AE25" s="153" t="n">
        <x:f>IF(AND(AE13&gt;=1,AE13&lt;='Input'!$D$58),AE22/(1+'Input'!$D$57)^AE13,0)</x:f>
        <x:v>0</x:v>
      </x:c>
      <x:c r="AF25" s="153" t="n">
        <x:f>IF(AND(AF13&gt;=1,AF13&lt;='Input'!$D$58),AF22/(1+'Input'!$D$57)^AF13,0)</x:f>
        <x:v>0</x:v>
      </x:c>
    </x:row>
    <x:row r="26" ht="15" hidden="0" customHeight="1">
      <x:c r="A26" s="216"/>
      <x:c r="B26" s="216"/>
      <x:c r="C26" s="209"/>
      <x:c r="D26" s="209"/>
      <x:c r="E26" s="209"/>
      <x:c r="F26" s="209"/>
      <x:c r="G26" s="209"/>
      <x:c r="H26" s="209"/>
      <x:c r="I26" s="209"/>
      <x:c r="J26" s="209"/>
      <x:c r="K26" s="209"/>
      <x:c r="L26" s="209"/>
      <x:c r="M26" s="209"/>
      <x:c r="N26" s="209"/>
      <x:c r="O26" s="209"/>
      <x:c r="P26" s="209"/>
      <x:c r="Q26" s="209"/>
      <x:c r="R26" s="209"/>
      <x:c r="S26" s="209"/>
      <x:c r="T26" s="209"/>
      <x:c r="U26" s="209"/>
      <x:c r="V26" s="209"/>
      <x:c r="W26" s="209"/>
      <x:c r="X26" s="209"/>
      <x:c r="Y26" s="209"/>
      <x:c r="Z26" s="209"/>
      <x:c r="AA26" s="209"/>
      <x:c r="AB26" s="209"/>
      <x:c r="AC26" s="209"/>
      <x:c r="AD26" s="209"/>
      <x:c r="AE26" s="209"/>
      <x:c r="AF26" s="209"/>
    </x:row>
    <x:row r="27" ht="15" hidden="0" customHeight="1">
      <x:c r="A27" s="218" t="str">
        <x:v>3. CHỈ TIÊU VÀ KIỂM TRA</x:v>
      </x:c>
      <x:c r="B27" s="218"/>
      <x:c r="C27" s="142"/>
      <x:c r="D27" s="142"/>
      <x:c r="E27" s="142"/>
      <x:c r="F27" s="142"/>
      <x:c r="G27" s="142"/>
      <x:c r="H27" s="142"/>
      <x:c r="I27" s="142"/>
      <x:c r="J27" s="142"/>
      <x:c r="K27" s="142"/>
      <x:c r="L27" s="142"/>
      <x:c r="M27" s="142"/>
      <x:c r="N27" s="142"/>
      <x:c r="O27" s="142"/>
      <x:c r="P27" s="142"/>
      <x:c r="Q27" s="142"/>
      <x:c r="R27" s="142"/>
      <x:c r="S27" s="142"/>
      <x:c r="T27" s="142"/>
      <x:c r="U27" s="142"/>
      <x:c r="V27" s="142"/>
      <x:c r="W27" s="142"/>
      <x:c r="X27" s="142"/>
      <x:c r="Y27" s="142"/>
      <x:c r="Z27" s="142"/>
      <x:c r="AA27" s="142"/>
      <x:c r="AB27" s="142"/>
      <x:c r="AC27" s="142"/>
      <x:c r="AD27" s="142"/>
      <x:c r="AE27" s="142"/>
      <x:c r="AF27" s="142"/>
    </x:row>
    <x:row r="28" ht="15" hidden="0" customHeight="1">
      <x:c r="A28" s="216" t="str">
        <x:v>KPI-01</x:v>
      </x:c>
      <x:c r="B28" s="216" t="str">
        <x:v>Tổng vốn vay giải ngân</x:v>
      </x:c>
      <x:c r="C28" s="212" t="n">
        <x:f>SUM(C12:AF12)</x:f>
        <x:v>3906</x:v>
      </x:c>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t="str">
        <x:v>KPI-02</x:v>
      </x:c>
      <x:c r="B29" s="216" t="str">
        <x:v>Tổng lãi vay</x:v>
      </x:c>
      <x:c r="C29" s="212" t="n">
        <x:f>SUM(C16:AF16)</x:f>
        <x:v>2890.4400000000005</x:v>
      </x:c>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t="str">
        <x:v>KPI-03</x:v>
      </x:c>
      <x:c r="B30" s="216" t="str">
        <x:v>Tổng nợ gốc đã trả</x:v>
      </x:c>
      <x:c r="C30" s="212" t="n">
        <x:f>SUM(C15:AF15)</x:f>
        <x:v>3905.9999999999995</x:v>
      </x:c>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t="str">
        <x:v>KPI-04</x:v>
      </x:c>
      <x:c r="B31" s="216" t="str">
        <x:v>DSCR tối thiểu</x:v>
      </x:c>
      <x:c r="C31" s="222" t="n">
        <x:f>IF(COUNT(C24:AF24)=0,0,MIN(C24:AF24))</x:f>
        <x:v>1.038084759111856</x:v>
      </x:c>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t="str">
        <x:v>KPI-05</x:v>
      </x:c>
      <x:c r="B32" s="216" t="str">
        <x:v>DSCR bình quân gia quyền</x:v>
      </x:c>
      <x:c r="C32" s="222" t="n">
        <x:f>IF(SUM(C17:AF17)=0,0,SUM(C22:AF22)/SUM(C17:AF17))</x:f>
        <x:v>2.044919752998612</x:v>
      </x:c>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t="str">
        <x:v>KPI-06</x:v>
      </x:c>
      <x:c r="B33" s="216" t="str">
        <x:v>LLCR</x:v>
      </x:c>
      <x:c r="C33" s="222" t="n">
        <x:f>IF('Input'!$D$63=0,0,SUM(C25:AF25)/'Input'!$D$63)</x:f>
        <x:v>1.2366039111450327</x:v>
      </x:c>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t="str">
        <x:v>CHK-01</x:v>
      </x:c>
      <x:c r="B34" s="216" t="str">
        <x:v>Kiểm tra dư nợ cuối kỳ</x:v>
      </x:c>
      <x:c r="C34" s="213" t="str">
        <x:f>IF(AND(ABS(AF18)&lt;0.01,ABS(C28-'Input'!$D$63)&lt;0.01),"OK","KIỂM TRA")</x:f>
        <x:v>OK</x:v>
      </x:c>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21:AF21"/>
    <x:mergeCell ref="A27:AF27"/>
  </x:mergeCells>
  <x:conditionalFormatting sqref="C34:C34">
    <x:cfRule type="containsText" dxfId="6" priority="1" operator="containsText" text="OK"/>
    <x:cfRule type="containsText" dxfId="7" priority="2" operator="containsText" text="KIỂM TRA"/>
  </x:conditionalFormatting>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KHẤU HAO VÀ THUẾ THU NHẬP DOANH NGHIỆP</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Khấu hao đường thẳng; ưu đãi thuế tính từ năm vận hành đầu tiên; chuyển lỗ theo số dư đơn giản.</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KHẤU HAO</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TAX-01</x:v>
      </x:c>
      <x:c r="B11" s="220" t="str">
        <x:v>Cơ sở khấu hao</x:v>
      </x:c>
      <x:c r="C11" s="150" t="n">
        <x:f>IF(C$8=1,'Input'!$D$26+SUM('CAPEX'!$C$23:'CAPEX'!$AF$23),0)</x:f>
        <x:v>0</x:v>
      </x:c>
      <x:c r="D11" s="150" t="n">
        <x:f>IF(D$8=1,'Input'!$D$26+SUM('CAPEX'!$C$23:'CAPEX'!$AF$23),0)</x:f>
        <x:v>0</x:v>
      </x:c>
      <x:c r="E11" s="150" t="n">
        <x:f>IF(E$8=1,'Input'!$D$26+SUM('CAPEX'!$C$23:'CAPEX'!$AF$23),0)</x:f>
        <x:v>5931.54</x:v>
      </x:c>
      <x:c r="F11" s="150" t="n">
        <x:f>IF(F$8=1,'Input'!$D$26+SUM('CAPEX'!$C$23:'CAPEX'!$AF$23),0)</x:f>
        <x:v>0</x:v>
      </x:c>
      <x:c r="G11" s="150" t="n">
        <x:f>IF(G$8=1,'Input'!$D$26+SUM('CAPEX'!$C$23:'CAPEX'!$AF$23),0)</x:f>
        <x:v>0</x:v>
      </x:c>
      <x:c r="H11" s="150" t="n">
        <x:f>IF(H$8=1,'Input'!$D$26+SUM('CAPEX'!$C$23:'CAPEX'!$AF$23),0)</x:f>
        <x:v>0</x:v>
      </x:c>
      <x:c r="I11" s="150" t="n">
        <x:f>IF(I$8=1,'Input'!$D$26+SUM('CAPEX'!$C$23:'CAPEX'!$AF$23),0)</x:f>
        <x:v>0</x:v>
      </x:c>
      <x:c r="J11" s="150" t="n">
        <x:f>IF(J$8=1,'Input'!$D$26+SUM('CAPEX'!$C$23:'CAPEX'!$AF$23),0)</x:f>
        <x:v>0</x:v>
      </x:c>
      <x:c r="K11" s="150" t="n">
        <x:f>IF(K$8=1,'Input'!$D$26+SUM('CAPEX'!$C$23:'CAPEX'!$AF$23),0)</x:f>
        <x:v>0</x:v>
      </x:c>
      <x:c r="L11" s="150" t="n">
        <x:f>IF(L$8=1,'Input'!$D$26+SUM('CAPEX'!$C$23:'CAPEX'!$AF$23),0)</x:f>
        <x:v>0</x:v>
      </x:c>
      <x:c r="M11" s="150" t="n">
        <x:f>IF(M$8=1,'Input'!$D$26+SUM('CAPEX'!$C$23:'CAPEX'!$AF$23),0)</x:f>
        <x:v>0</x:v>
      </x:c>
      <x:c r="N11" s="150" t="n">
        <x:f>IF(N$8=1,'Input'!$D$26+SUM('CAPEX'!$C$23:'CAPEX'!$AF$23),0)</x:f>
        <x:v>0</x:v>
      </x:c>
      <x:c r="O11" s="150" t="n">
        <x:f>IF(O$8=1,'Input'!$D$26+SUM('CAPEX'!$C$23:'CAPEX'!$AF$23),0)</x:f>
        <x:v>0</x:v>
      </x:c>
      <x:c r="P11" s="150" t="n">
        <x:f>IF(P$8=1,'Input'!$D$26+SUM('CAPEX'!$C$23:'CAPEX'!$AF$23),0)</x:f>
        <x:v>0</x:v>
      </x:c>
      <x:c r="Q11" s="150" t="n">
        <x:f>IF(Q$8=1,'Input'!$D$26+SUM('CAPEX'!$C$23:'CAPEX'!$AF$23),0)</x:f>
        <x:v>0</x:v>
      </x:c>
      <x:c r="R11" s="150" t="n">
        <x:f>IF(R$8=1,'Input'!$D$26+SUM('CAPEX'!$C$23:'CAPEX'!$AF$23),0)</x:f>
        <x:v>0</x:v>
      </x:c>
      <x:c r="S11" s="150" t="n">
        <x:f>IF(S$8=1,'Input'!$D$26+SUM('CAPEX'!$C$23:'CAPEX'!$AF$23),0)</x:f>
        <x:v>0</x:v>
      </x:c>
      <x:c r="T11" s="150" t="n">
        <x:f>IF(T$8=1,'Input'!$D$26+SUM('CAPEX'!$C$23:'CAPEX'!$AF$23),0)</x:f>
        <x:v>0</x:v>
      </x:c>
      <x:c r="U11" s="150" t="n">
        <x:f>IF(U$8=1,'Input'!$D$26+SUM('CAPEX'!$C$23:'CAPEX'!$AF$23),0)</x:f>
        <x:v>0</x:v>
      </x:c>
      <x:c r="V11" s="150" t="n">
        <x:f>IF(V$8=1,'Input'!$D$26+SUM('CAPEX'!$C$23:'CAPEX'!$AF$23),0)</x:f>
        <x:v>0</x:v>
      </x:c>
      <x:c r="W11" s="150" t="n">
        <x:f>IF(W$8=1,'Input'!$D$26+SUM('CAPEX'!$C$23:'CAPEX'!$AF$23),0)</x:f>
        <x:v>0</x:v>
      </x:c>
      <x:c r="X11" s="150" t="n">
        <x:f>IF(X$8=1,'Input'!$D$26+SUM('CAPEX'!$C$23:'CAPEX'!$AF$23),0)</x:f>
        <x:v>0</x:v>
      </x:c>
      <x:c r="Y11" s="150" t="n">
        <x:f>IF(Y$8=1,'Input'!$D$26+SUM('CAPEX'!$C$23:'CAPEX'!$AF$23),0)</x:f>
        <x:v>0</x:v>
      </x:c>
      <x:c r="Z11" s="150" t="n">
        <x:f>IF(Z$8=1,'Input'!$D$26+SUM('CAPEX'!$C$23:'CAPEX'!$AF$23),0)</x:f>
        <x:v>0</x:v>
      </x:c>
      <x:c r="AA11" s="150" t="n">
        <x:f>IF(AA$8=1,'Input'!$D$26+SUM('CAPEX'!$C$23:'CAPEX'!$AF$23),0)</x:f>
        <x:v>0</x:v>
      </x:c>
      <x:c r="AB11" s="150" t="n">
        <x:f>IF(AB$8=1,'Input'!$D$26+SUM('CAPEX'!$C$23:'CAPEX'!$AF$23),0)</x:f>
        <x:v>0</x:v>
      </x:c>
      <x:c r="AC11" s="150" t="n">
        <x:f>IF(AC$8=1,'Input'!$D$26+SUM('CAPEX'!$C$23:'CAPEX'!$AF$23),0)</x:f>
        <x:v>0</x:v>
      </x:c>
      <x:c r="AD11" s="150" t="n">
        <x:f>IF(AD$8=1,'Input'!$D$26+SUM('CAPEX'!$C$23:'CAPEX'!$AF$23),0)</x:f>
        <x:v>0</x:v>
      </x:c>
      <x:c r="AE11" s="150" t="n">
        <x:f>IF(AE$8=1,'Input'!$D$26+SUM('CAPEX'!$C$23:'CAPEX'!$AF$23),0)</x:f>
        <x:v>0</x:v>
      </x:c>
      <x:c r="AF11" s="150" t="n">
        <x:f>IF(AF$8=1,'Input'!$D$26+SUM('CAPEX'!$C$23:'CAPEX'!$AF$23),0)</x:f>
        <x:v>0</x:v>
      </x:c>
    </x:row>
    <x:row r="12" ht="15" hidden="0" customHeight="1">
      <x:c r="A12" s="219" t="str">
        <x:v>TAX-02</x:v>
      </x:c>
      <x:c r="B12" s="220" t="str">
        <x:v>Chi phí khấu hao</x:v>
      </x:c>
      <x:c r="C12" s="150" t="n">
        <x:f>IF(AND(C$8&gt;=1,C$8&lt;='Input'!$D$72),('Input'!$D$26+SUM('CAPEX'!$C$23:'CAPEX'!$AF$23))/'Input'!$D$72,0)</x:f>
        <x:v>0</x:v>
      </x:c>
      <x:c r="D12" s="150" t="n">
        <x:f>IF(AND(D$8&gt;=1,D$8&lt;='Input'!$D$72),('Input'!$D$26+SUM('CAPEX'!$C$23:'CAPEX'!$AF$23))/'Input'!$D$72,0)</x:f>
        <x:v>0</x:v>
      </x:c>
      <x:c r="E12" s="150" t="n">
        <x:f>IF(AND(E$8&gt;=1,E$8&lt;='Input'!$D$72),('Input'!$D$26+SUM('CAPEX'!$C$23:'CAPEX'!$AF$23))/'Input'!$D$72,0)</x:f>
        <x:v>296.577</x:v>
      </x:c>
      <x:c r="F12" s="150" t="n">
        <x:f>IF(AND(F$8&gt;=1,F$8&lt;='Input'!$D$72),('Input'!$D$26+SUM('CAPEX'!$C$23:'CAPEX'!$AF$23))/'Input'!$D$72,0)</x:f>
        <x:v>296.577</x:v>
      </x:c>
      <x:c r="G12" s="150" t="n">
        <x:f>IF(AND(G$8&gt;=1,G$8&lt;='Input'!$D$72),('Input'!$D$26+SUM('CAPEX'!$C$23:'CAPEX'!$AF$23))/'Input'!$D$72,0)</x:f>
        <x:v>296.577</x:v>
      </x:c>
      <x:c r="H12" s="150" t="n">
        <x:f>IF(AND(H$8&gt;=1,H$8&lt;='Input'!$D$72),('Input'!$D$26+SUM('CAPEX'!$C$23:'CAPEX'!$AF$23))/'Input'!$D$72,0)</x:f>
        <x:v>296.577</x:v>
      </x:c>
      <x:c r="I12" s="150" t="n">
        <x:f>IF(AND(I$8&gt;=1,I$8&lt;='Input'!$D$72),('Input'!$D$26+SUM('CAPEX'!$C$23:'CAPEX'!$AF$23))/'Input'!$D$72,0)</x:f>
        <x:v>296.577</x:v>
      </x:c>
      <x:c r="J12" s="150" t="n">
        <x:f>IF(AND(J$8&gt;=1,J$8&lt;='Input'!$D$72),('Input'!$D$26+SUM('CAPEX'!$C$23:'CAPEX'!$AF$23))/'Input'!$D$72,0)</x:f>
        <x:v>296.577</x:v>
      </x:c>
      <x:c r="K12" s="150" t="n">
        <x:f>IF(AND(K$8&gt;=1,K$8&lt;='Input'!$D$72),('Input'!$D$26+SUM('CAPEX'!$C$23:'CAPEX'!$AF$23))/'Input'!$D$72,0)</x:f>
        <x:v>296.577</x:v>
      </x:c>
      <x:c r="L12" s="150" t="n">
        <x:f>IF(AND(L$8&gt;=1,L$8&lt;='Input'!$D$72),('Input'!$D$26+SUM('CAPEX'!$C$23:'CAPEX'!$AF$23))/'Input'!$D$72,0)</x:f>
        <x:v>296.577</x:v>
      </x:c>
      <x:c r="M12" s="150" t="n">
        <x:f>IF(AND(M$8&gt;=1,M$8&lt;='Input'!$D$72),('Input'!$D$26+SUM('CAPEX'!$C$23:'CAPEX'!$AF$23))/'Input'!$D$72,0)</x:f>
        <x:v>296.577</x:v>
      </x:c>
      <x:c r="N12" s="150" t="n">
        <x:f>IF(AND(N$8&gt;=1,N$8&lt;='Input'!$D$72),('Input'!$D$26+SUM('CAPEX'!$C$23:'CAPEX'!$AF$23))/'Input'!$D$72,0)</x:f>
        <x:v>296.577</x:v>
      </x:c>
      <x:c r="O12" s="150" t="n">
        <x:f>IF(AND(O$8&gt;=1,O$8&lt;='Input'!$D$72),('Input'!$D$26+SUM('CAPEX'!$C$23:'CAPEX'!$AF$23))/'Input'!$D$72,0)</x:f>
        <x:v>296.577</x:v>
      </x:c>
      <x:c r="P12" s="150" t="n">
        <x:f>IF(AND(P$8&gt;=1,P$8&lt;='Input'!$D$72),('Input'!$D$26+SUM('CAPEX'!$C$23:'CAPEX'!$AF$23))/'Input'!$D$72,0)</x:f>
        <x:v>296.577</x:v>
      </x:c>
      <x:c r="Q12" s="150" t="n">
        <x:f>IF(AND(Q$8&gt;=1,Q$8&lt;='Input'!$D$72),('Input'!$D$26+SUM('CAPEX'!$C$23:'CAPEX'!$AF$23))/'Input'!$D$72,0)</x:f>
        <x:v>296.577</x:v>
      </x:c>
      <x:c r="R12" s="150" t="n">
        <x:f>IF(AND(R$8&gt;=1,R$8&lt;='Input'!$D$72),('Input'!$D$26+SUM('CAPEX'!$C$23:'CAPEX'!$AF$23))/'Input'!$D$72,0)</x:f>
        <x:v>296.577</x:v>
      </x:c>
      <x:c r="S12" s="150" t="n">
        <x:f>IF(AND(S$8&gt;=1,S$8&lt;='Input'!$D$72),('Input'!$D$26+SUM('CAPEX'!$C$23:'CAPEX'!$AF$23))/'Input'!$D$72,0)</x:f>
        <x:v>296.577</x:v>
      </x:c>
      <x:c r="T12" s="150" t="n">
        <x:f>IF(AND(T$8&gt;=1,T$8&lt;='Input'!$D$72),('Input'!$D$26+SUM('CAPEX'!$C$23:'CAPEX'!$AF$23))/'Input'!$D$72,0)</x:f>
        <x:v>296.577</x:v>
      </x:c>
      <x:c r="U12" s="150" t="n">
        <x:f>IF(AND(U$8&gt;=1,U$8&lt;='Input'!$D$72),('Input'!$D$26+SUM('CAPEX'!$C$23:'CAPEX'!$AF$23))/'Input'!$D$72,0)</x:f>
        <x:v>296.577</x:v>
      </x:c>
      <x:c r="V12" s="150" t="n">
        <x:f>IF(AND(V$8&gt;=1,V$8&lt;='Input'!$D$72),('Input'!$D$26+SUM('CAPEX'!$C$23:'CAPEX'!$AF$23))/'Input'!$D$72,0)</x:f>
        <x:v>296.577</x:v>
      </x:c>
      <x:c r="W12" s="150" t="n">
        <x:f>IF(AND(W$8&gt;=1,W$8&lt;='Input'!$D$72),('Input'!$D$26+SUM('CAPEX'!$C$23:'CAPEX'!$AF$23))/'Input'!$D$72,0)</x:f>
        <x:v>296.577</x:v>
      </x:c>
      <x:c r="X12" s="150" t="n">
        <x:f>IF(AND(X$8&gt;=1,X$8&lt;='Input'!$D$72),('Input'!$D$26+SUM('CAPEX'!$C$23:'CAPEX'!$AF$23))/'Input'!$D$72,0)</x:f>
        <x:v>296.577</x:v>
      </x:c>
      <x:c r="Y12" s="150" t="n">
        <x:f>IF(AND(Y$8&gt;=1,Y$8&lt;='Input'!$D$72),('Input'!$D$26+SUM('CAPEX'!$C$23:'CAPEX'!$AF$23))/'Input'!$D$72,0)</x:f>
        <x:v>0</x:v>
      </x:c>
      <x:c r="Z12" s="150" t="n">
        <x:f>IF(AND(Z$8&gt;=1,Z$8&lt;='Input'!$D$72),('Input'!$D$26+SUM('CAPEX'!$C$23:'CAPEX'!$AF$23))/'Input'!$D$72,0)</x:f>
        <x:v>0</x:v>
      </x:c>
      <x:c r="AA12" s="150" t="n">
        <x:f>IF(AND(AA$8&gt;=1,AA$8&lt;='Input'!$D$72),('Input'!$D$26+SUM('CAPEX'!$C$23:'CAPEX'!$AF$23))/'Input'!$D$72,0)</x:f>
        <x:v>0</x:v>
      </x:c>
      <x:c r="AB12" s="150" t="n">
        <x:f>IF(AND(AB$8&gt;=1,AB$8&lt;='Input'!$D$72),('Input'!$D$26+SUM('CAPEX'!$C$23:'CAPEX'!$AF$23))/'Input'!$D$72,0)</x:f>
        <x:v>0</x:v>
      </x:c>
      <x:c r="AC12" s="150" t="n">
        <x:f>IF(AND(AC$8&gt;=1,AC$8&lt;='Input'!$D$72),('Input'!$D$26+SUM('CAPEX'!$C$23:'CAPEX'!$AF$23))/'Input'!$D$72,0)</x:f>
        <x:v>0</x:v>
      </x:c>
      <x:c r="AD12" s="150" t="n">
        <x:f>IF(AND(AD$8&gt;=1,AD$8&lt;='Input'!$D$72),('Input'!$D$26+SUM('CAPEX'!$C$23:'CAPEX'!$AF$23))/'Input'!$D$72,0)</x:f>
        <x:v>0</x:v>
      </x:c>
      <x:c r="AE12" s="150" t="n">
        <x:f>IF(AND(AE$8&gt;=1,AE$8&lt;='Input'!$D$72),('Input'!$D$26+SUM('CAPEX'!$C$23:'CAPEX'!$AF$23))/'Input'!$D$72,0)</x:f>
        <x:v>0</x:v>
      </x:c>
      <x:c r="AF12" s="150" t="n">
        <x:f>IF(AND(AF$8&gt;=1,AF$8&lt;='Input'!$D$72),('Input'!$D$26+SUM('CAPEX'!$C$23:'CAPEX'!$AF$23))/'Input'!$D$72,0)</x:f>
        <x:v>0</x:v>
      </x:c>
    </x:row>
    <x:row r="13" ht="15" hidden="0" customHeight="1">
      <x:c r="A13" s="216"/>
      <x:c r="B13" s="216"/>
      <x:c r="C13" s="209"/>
      <x:c r="D13" s="209"/>
      <x:c r="E13" s="209"/>
      <x:c r="F13" s="209"/>
      <x:c r="G13" s="209"/>
      <x:c r="H13" s="209"/>
      <x:c r="I13" s="209"/>
      <x:c r="J13" s="209"/>
      <x:c r="K13" s="209"/>
      <x:c r="L13" s="209"/>
      <x:c r="M13" s="209"/>
      <x:c r="N13" s="209"/>
      <x:c r="O13" s="209"/>
      <x:c r="P13" s="209"/>
      <x:c r="Q13" s="209"/>
      <x:c r="R13" s="209"/>
      <x:c r="S13" s="209"/>
      <x:c r="T13" s="209"/>
      <x:c r="U13" s="209"/>
      <x:c r="V13" s="209"/>
      <x:c r="W13" s="209"/>
      <x:c r="X13" s="209"/>
      <x:c r="Y13" s="209"/>
      <x:c r="Z13" s="209"/>
      <x:c r="AA13" s="209"/>
      <x:c r="AB13" s="209"/>
      <x:c r="AC13" s="209"/>
      <x:c r="AD13" s="209"/>
      <x:c r="AE13" s="209"/>
      <x:c r="AF13" s="209"/>
    </x:row>
    <x:row r="14" ht="15" hidden="0" customHeight="1">
      <x:c r="A14" s="218" t="str">
        <x:v>2. THU NHẬP CHỊU THUẾ VÀ THUẾ TNDN</x:v>
      </x:c>
      <x:c r="B14" s="218"/>
      <x:c r="C14" s="142"/>
      <x:c r="D14" s="142"/>
      <x:c r="E14" s="142"/>
      <x:c r="F14" s="142"/>
      <x:c r="G14" s="142"/>
      <x:c r="H14" s="142"/>
      <x:c r="I14" s="142"/>
      <x:c r="J14" s="142"/>
      <x:c r="K14" s="142"/>
      <x:c r="L14" s="142"/>
      <x:c r="M14" s="142"/>
      <x:c r="N14" s="142"/>
      <x:c r="O14" s="142"/>
      <x:c r="P14" s="142"/>
      <x:c r="Q14" s="142"/>
      <x:c r="R14" s="142"/>
      <x:c r="S14" s="142"/>
      <x:c r="T14" s="142"/>
      <x:c r="U14" s="142"/>
      <x:c r="V14" s="142"/>
      <x:c r="W14" s="142"/>
      <x:c r="X14" s="142"/>
      <x:c r="Y14" s="142"/>
      <x:c r="Z14" s="142"/>
      <x:c r="AA14" s="142"/>
      <x:c r="AB14" s="142"/>
      <x:c r="AC14" s="142"/>
      <x:c r="AD14" s="142"/>
      <x:c r="AE14" s="142"/>
      <x:c r="AF14" s="142"/>
    </x:row>
    <x:row r="15" ht="15" hidden="0" customHeight="1">
      <x:c r="A15" s="219" t="str">
        <x:v>TAX-03</x:v>
      </x:c>
      <x:c r="B15" s="219" t="str">
        <x:v>EBITDA</x:v>
      </x:c>
      <x:c r="C15" s="153" t="n">
        <x:f>'Energy_Revenue'!C20</x:f>
        <x:v>0</x:v>
      </x:c>
      <x:c r="D15" s="153" t="n">
        <x:f>'Energy_Revenue'!D20</x:f>
        <x:v>0</x:v>
      </x:c>
      <x:c r="E15" s="153" t="n">
        <x:f>'Energy_Revenue'!E20</x:f>
        <x:v>743.372496</x:v>
      </x:c>
      <x:c r="F15" s="153" t="n">
        <x:f>'Energy_Revenue'!F20</x:f>
        <x:v>738.314551008</x:v>
      </x:c>
      <x:c r="G15" s="153" t="n">
        <x:f>'Energy_Revenue'!G20</x:f>
        <x:v>733.1595859059842</x:v>
      </x:c>
      <x:c r="H15" s="153" t="n">
        <x:f>'Energy_Revenue'!H20</x:f>
        <x:v>727.9045806541722</x:v>
      </x:c>
      <x:c r="I15" s="153" t="n">
        <x:f>'Energy_Revenue'!I20</x:f>
        <x:v>722.5464248304637</x:v>
      </x:c>
      <x:c r="J15" s="153" t="n">
        <x:f>'Energy_Revenue'!J20</x:f>
        <x:v>717.0819149185309</x:v>
      </x:c>
      <x:c r="K15" s="153" t="n">
        <x:f>'Energy_Revenue'!K20</x:f>
        <x:v>711.5077515145538</x:v>
      </x:c>
      <x:c r="L15" s="153" t="n">
        <x:f>'Energy_Revenue'!L20</x:f>
        <x:v>705.82053645016</x:v>
      </x:c>
      <x:c r="M15" s="153" t="n">
        <x:f>'Energy_Revenue'!M20</x:f>
        <x:v>700.0167698290543</x:v>
      </x:c>
      <x:c r="N15" s="153" t="n">
        <x:f>'Energy_Revenue'!N20</x:f>
        <x:v>694.092846974745</x:v>
      </x:c>
      <x:c r="O15" s="153" t="n">
        <x:f>'Energy_Revenue'!O20</x:f>
        <x:v>688.0450552867044</x:v>
      </x:c>
      <x:c r="P15" s="153" t="n">
        <x:f>'Energy_Revenue'!P20</x:f>
        <x:v>681.8695710022172</x:v>
      </x:c>
      <x:c r="Q15" s="153" t="n">
        <x:f>'Energy_Revenue'!Q20</x:f>
        <x:v>675.5624558610817</x:v>
      </x:c>
      <x:c r="R15" s="153" t="n">
        <x:f>'Energy_Revenue'!R20</x:f>
        <x:v>669.1196536702545</x:v>
      </x:c>
      <x:c r="S15" s="153" t="n">
        <x:f>'Energy_Revenue'!S20</x:f>
        <x:v>662.5369867654356</x:v>
      </x:c>
      <x:c r="T15" s="153" t="n">
        <x:f>'Energy_Revenue'!T20</x:f>
        <x:v>655.8101523665023</x:v>
      </x:c>
      <x:c r="U15" s="153" t="n">
        <x:f>'Energy_Revenue'!U20</x:f>
        <x:v>648.9347188236047</x:v>
      </x:c>
      <x:c r="V15" s="153" t="n">
        <x:f>'Energy_Revenue'!V20</x:f>
        <x:v>641.9061217506478</x:v>
      </x:c>
      <x:c r="W15" s="153" t="n">
        <x:f>'Energy_Revenue'!W20</x:f>
        <x:v>634.7196600427775</x:v>
      </x:c>
      <x:c r="X15" s="153" t="n">
        <x:f>'Energy_Revenue'!X20</x:f>
        <x:v>627.3704917743921</x:v>
      </x:c>
      <x:c r="Y15" s="153" t="n">
        <x:f>'Energy_Revenue'!Y20</x:f>
        <x:v>0</x:v>
      </x:c>
      <x:c r="Z15" s="153" t="n">
        <x:f>'Energy_Revenue'!Z20</x:f>
        <x:v>0</x:v>
      </x:c>
      <x:c r="AA15" s="153" t="n">
        <x:f>'Energy_Revenue'!AA20</x:f>
        <x:v>0</x:v>
      </x:c>
      <x:c r="AB15" s="153" t="n">
        <x:f>'Energy_Revenue'!AB20</x:f>
        <x:v>0</x:v>
      </x:c>
      <x:c r="AC15" s="153" t="n">
        <x:f>'Energy_Revenue'!AC20</x:f>
        <x:v>0</x:v>
      </x:c>
      <x:c r="AD15" s="153" t="n">
        <x:f>'Energy_Revenue'!AD20</x:f>
        <x:v>0</x:v>
      </x:c>
      <x:c r="AE15" s="153" t="n">
        <x:f>'Energy_Revenue'!AE20</x:f>
        <x:v>0</x:v>
      </x:c>
      <x:c r="AF15" s="153" t="n">
        <x:f>'Energy_Revenue'!AF20</x:f>
        <x:v>0</x:v>
      </x:c>
    </x:row>
    <x:row r="16" ht="15" hidden="0" customHeight="1">
      <x:c r="A16" s="219" t="str">
        <x:v>TAX-04</x:v>
      </x:c>
      <x:c r="B16" s="220" t="str">
        <x:v>EBIT</x:v>
      </x:c>
      <x:c r="C16" s="150" t="n">
        <x:f>C15-C12</x:f>
        <x:v>0</x:v>
      </x:c>
      <x:c r="D16" s="150" t="n">
        <x:f>D15-D12</x:f>
        <x:v>0</x:v>
      </x:c>
      <x:c r="E16" s="150" t="n">
        <x:f>E15-E12</x:f>
        <x:v>446.79549599999996</x:v>
      </x:c>
      <x:c r="F16" s="150" t="n">
        <x:f>F15-F12</x:f>
        <x:v>441.73755100799997</x:v>
      </x:c>
      <x:c r="G16" s="150" t="n">
        <x:f>G15-G12</x:f>
        <x:v>436.58258590598416</x:v>
      </x:c>
      <x:c r="H16" s="150" t="n">
        <x:f>H15-H12</x:f>
        <x:v>431.32758065417215</x:v>
      </x:c>
      <x:c r="I16" s="150" t="n">
        <x:f>I15-I12</x:f>
        <x:v>425.9694248304637</x:v>
      </x:c>
      <x:c r="J16" s="150" t="n">
        <x:f>J15-J12</x:f>
        <x:v>420.50491491853086</x:v>
      </x:c>
      <x:c r="K16" s="150" t="n">
        <x:f>K15-K12</x:f>
        <x:v>414.9307515145538</x:v>
      </x:c>
      <x:c r="L16" s="150" t="n">
        <x:f>L15-L12</x:f>
        <x:v>409.24353645016004</x:v>
      </x:c>
      <x:c r="M16" s="150" t="n">
        <x:f>M15-M12</x:f>
        <x:v>403.4397698290543</x:v>
      </x:c>
      <x:c r="N16" s="150" t="n">
        <x:f>N15-N12</x:f>
        <x:v>397.51584697474505</x:v>
      </x:c>
      <x:c r="O16" s="150" t="n">
        <x:f>O15-O12</x:f>
        <x:v>391.4680552867044</x:v>
      </x:c>
      <x:c r="P16" s="150" t="n">
        <x:f>P15-P12</x:f>
        <x:v>385.2925710022172</x:v>
      </x:c>
      <x:c r="Q16" s="150" t="n">
        <x:f>Q15-Q12</x:f>
        <x:v>378.98545586108173</x:v>
      </x:c>
      <x:c r="R16" s="150" t="n">
        <x:f>R15-R12</x:f>
        <x:v>372.5426536702545</x:v>
      </x:c>
      <x:c r="S16" s="150" t="n">
        <x:f>S15-S12</x:f>
        <x:v>365.9599867654356</x:v>
      </x:c>
      <x:c r="T16" s="150" t="n">
        <x:f>T15-T12</x:f>
        <x:v>359.2331523665023</x:v>
      </x:c>
      <x:c r="U16" s="150" t="n">
        <x:f>U15-U12</x:f>
        <x:v>352.3577188236047</x:v>
      </x:c>
      <x:c r="V16" s="150" t="n">
        <x:f>V15-V12</x:f>
        <x:v>345.3291217506478</x:v>
      </x:c>
      <x:c r="W16" s="150" t="n">
        <x:f>W15-W12</x:f>
        <x:v>338.1426600427775</x:v>
      </x:c>
      <x:c r="X16" s="150" t="n">
        <x:f>X15-X12</x:f>
        <x:v>330.7934917743921</x:v>
      </x:c>
      <x:c r="Y16" s="150" t="n">
        <x:f>Y15-Y12</x:f>
        <x:v>0</x:v>
      </x:c>
      <x:c r="Z16" s="150" t="n">
        <x:f>Z15-Z12</x:f>
        <x:v>0</x:v>
      </x:c>
      <x:c r="AA16" s="150" t="n">
        <x:f>AA15-AA12</x:f>
        <x:v>0</x:v>
      </x:c>
      <x:c r="AB16" s="150" t="n">
        <x:f>AB15-AB12</x:f>
        <x:v>0</x:v>
      </x:c>
      <x:c r="AC16" s="150" t="n">
        <x:f>AC15-AC12</x:f>
        <x:v>0</x:v>
      </x:c>
      <x:c r="AD16" s="150" t="n">
        <x:f>AD15-AD12</x:f>
        <x:v>0</x:v>
      </x:c>
      <x:c r="AE16" s="150" t="n">
        <x:f>AE15-AE12</x:f>
        <x:v>0</x:v>
      </x:c>
      <x:c r="AF16" s="150" t="n">
        <x:f>AF15-AF12</x:f>
        <x:v>0</x:v>
      </x:c>
    </x:row>
    <x:row r="17" ht="15" hidden="0" customHeight="1">
      <x:c r="A17" s="219" t="str">
        <x:v>TAX-05</x:v>
      </x:c>
      <x:c r="B17" s="219" t="str">
        <x:v>Chi phí lãi vay</x:v>
      </x:c>
      <x:c r="C17" s="153" t="n">
        <x:f>IF(C$8&gt;0,'Debt'!C16,0)</x:f>
        <x:v>0</x:v>
      </x:c>
      <x:c r="D17" s="153" t="n">
        <x:f>IF(D$8&gt;0,'Debt'!D16,0)</x:f>
        <x:v>0</x:v>
      </x:c>
      <x:c r="E17" s="153" t="n">
        <x:f>IF(E$8&gt;0,'Debt'!E16,0)</x:f>
        <x:v>390.6</x:v>
      </x:c>
      <x:c r="F17" s="153" t="n">
        <x:f>IF(F$8&gt;0,'Debt'!F16,0)</x:f>
        <x:v>358.05</x:v>
      </x:c>
      <x:c r="G17" s="153" t="n">
        <x:f>IF(G$8&gt;0,'Debt'!G16,0)</x:f>
        <x:v>325.5</x:v>
      </x:c>
      <x:c r="H17" s="153" t="n">
        <x:f>IF(H$8&gt;0,'Debt'!H16,0)</x:f>
        <x:v>292.95</x:v>
      </x:c>
      <x:c r="I17" s="153" t="n">
        <x:f>IF(I$8&gt;0,'Debt'!I16,0)</x:f>
        <x:v>260.40000000000003</x:v>
      </x:c>
      <x:c r="J17" s="153" t="n">
        <x:f>IF(J$8&gt;0,'Debt'!J16,0)</x:f>
        <x:v>227.85000000000002</x:v>
      </x:c>
      <x:c r="K17" s="153" t="n">
        <x:f>IF(K$8&gt;0,'Debt'!K16,0)</x:f>
        <x:v>195.3</x:v>
      </x:c>
      <x:c r="L17" s="153" t="n">
        <x:f>IF(L$8&gt;0,'Debt'!L16,0)</x:f>
        <x:v>162.75</x:v>
      </x:c>
      <x:c r="M17" s="153" t="n">
        <x:f>IF(M$8&gt;0,'Debt'!M16,0)</x:f>
        <x:v>130.20000000000002</x:v>
      </x:c>
      <x:c r="N17" s="153" t="n">
        <x:f>IF(N$8&gt;0,'Debt'!N16,0)</x:f>
        <x:v>97.65</x:v>
      </x:c>
      <x:c r="O17" s="153" t="n">
        <x:f>IF(O$8&gt;0,'Debt'!O16,0)</x:f>
        <x:v>65.10000000000001</x:v>
      </x:c>
      <x:c r="P17" s="153" t="n">
        <x:f>IF(P$8&gt;0,'Debt'!P16,0)</x:f>
        <x:v>32.550000000000004</x:v>
      </x:c>
      <x:c r="Q17" s="153" t="n">
        <x:f>IF(Q$8&gt;0,'Debt'!Q16,0)</x:f>
        <x:v>1.1368683772161604e-14</x:v>
      </x:c>
      <x:c r="R17" s="153" t="n">
        <x:f>IF(R$8&gt;0,'Debt'!R16,0)</x:f>
        <x:v>1.1368683772161604e-14</x:v>
      </x:c>
      <x:c r="S17" s="153" t="n">
        <x:f>IF(S$8&gt;0,'Debt'!S16,0)</x:f>
        <x:v>1.1368683772161604e-14</x:v>
      </x:c>
      <x:c r="T17" s="153" t="n">
        <x:f>IF(T$8&gt;0,'Debt'!T16,0)</x:f>
        <x:v>1.1368683772161604e-14</x:v>
      </x:c>
      <x:c r="U17" s="153" t="n">
        <x:f>IF(U$8&gt;0,'Debt'!U16,0)</x:f>
        <x:v>1.1368683772161604e-14</x:v>
      </x:c>
      <x:c r="V17" s="153" t="n">
        <x:f>IF(V$8&gt;0,'Debt'!V16,0)</x:f>
        <x:v>1.1368683772161604e-14</x:v>
      </x:c>
      <x:c r="W17" s="153" t="n">
        <x:f>IF(W$8&gt;0,'Debt'!W16,0)</x:f>
        <x:v>1.1368683772161604e-14</x:v>
      </x:c>
      <x:c r="X17" s="153" t="n">
        <x:f>IF(X$8&gt;0,'Debt'!X16,0)</x:f>
        <x:v>1.1368683772161604e-14</x:v>
      </x:c>
      <x:c r="Y17" s="153" t="n">
        <x:f>IF(Y$8&gt;0,'Debt'!Y16,0)</x:f>
        <x:v>0</x:v>
      </x:c>
      <x:c r="Z17" s="153" t="n">
        <x:f>IF(Z$8&gt;0,'Debt'!Z16,0)</x:f>
        <x:v>0</x:v>
      </x:c>
      <x:c r="AA17" s="153" t="n">
        <x:f>IF(AA$8&gt;0,'Debt'!AA16,0)</x:f>
        <x:v>0</x:v>
      </x:c>
      <x:c r="AB17" s="153" t="n">
        <x:f>IF(AB$8&gt;0,'Debt'!AB16,0)</x:f>
        <x:v>0</x:v>
      </x:c>
      <x:c r="AC17" s="153" t="n">
        <x:f>IF(AC$8&gt;0,'Debt'!AC16,0)</x:f>
        <x:v>0</x:v>
      </x:c>
      <x:c r="AD17" s="153" t="n">
        <x:f>IF(AD$8&gt;0,'Debt'!AD16,0)</x:f>
        <x:v>0</x:v>
      </x:c>
      <x:c r="AE17" s="153" t="n">
        <x:f>IF(AE$8&gt;0,'Debt'!AE16,0)</x:f>
        <x:v>0</x:v>
      </x:c>
      <x:c r="AF17" s="153" t="n">
        <x:f>IF(AF$8&gt;0,'Debt'!AF16,0)</x:f>
        <x:v>0</x:v>
      </x:c>
    </x:row>
    <x:row r="18" ht="15" hidden="0" customHeight="1">
      <x:c r="A18" s="219" t="str">
        <x:v>TAX-06</x:v>
      </x:c>
      <x:c r="B18" s="219" t="str">
        <x:v>Thu nhập trước chuyển lỗ</x:v>
      </x:c>
      <x:c r="C18" s="153" t="n">
        <x:f>C16-C17</x:f>
        <x:v>0</x:v>
      </x:c>
      <x:c r="D18" s="153" t="n">
        <x:f>D16-D17</x:f>
        <x:v>0</x:v>
      </x:c>
      <x:c r="E18" s="153" t="n">
        <x:f>E16-E17</x:f>
        <x:v>56.195495999999935</x:v>
      </x:c>
      <x:c r="F18" s="153" t="n">
        <x:f>F16-F17</x:f>
        <x:v>83.68755100799996</x:v>
      </x:c>
      <x:c r="G18" s="153" t="n">
        <x:f>G16-G17</x:f>
        <x:v>111.08258590598416</x:v>
      </x:c>
      <x:c r="H18" s="153" t="n">
        <x:f>H16-H17</x:f>
        <x:v>138.37758065417216</x:v>
      </x:c>
      <x:c r="I18" s="153" t="n">
        <x:f>I16-I17</x:f>
        <x:v>165.56942483046367</x:v>
      </x:c>
      <x:c r="J18" s="153" t="n">
        <x:f>J16-J17</x:f>
        <x:v>192.65491491853084</x:v>
      </x:c>
      <x:c r="K18" s="153" t="n">
        <x:f>K16-K17</x:f>
        <x:v>219.63075151455376</x:v>
      </x:c>
      <x:c r="L18" s="153" t="n">
        <x:f>L16-L17</x:f>
        <x:v>246.49353645016004</x:v>
      </x:c>
      <x:c r="M18" s="153" t="n">
        <x:f>M16-M17</x:f>
        <x:v>273.23976982905424</x:v>
      </x:c>
      <x:c r="N18" s="153" t="n">
        <x:f>N16-N17</x:f>
        <x:v>299.86584697474507</x:v>
      </x:c>
      <x:c r="O18" s="153" t="n">
        <x:f>O16-O17</x:f>
        <x:v>326.36805528670436</x:v>
      </x:c>
      <x:c r="P18" s="153" t="n">
        <x:f>P16-P17</x:f>
        <x:v>352.7425710022172</x:v>
      </x:c>
      <x:c r="Q18" s="153" t="n">
        <x:f>Q16-Q17</x:f>
        <x:v>378.98545586108173</x:v>
      </x:c>
      <x:c r="R18" s="153" t="n">
        <x:f>R16-R17</x:f>
        <x:v>372.5426536702545</x:v>
      </x:c>
      <x:c r="S18" s="153" t="n">
        <x:f>S16-S17</x:f>
        <x:v>365.9599867654356</x:v>
      </x:c>
      <x:c r="T18" s="153" t="n">
        <x:f>T16-T17</x:f>
        <x:v>359.2331523665023</x:v>
      </x:c>
      <x:c r="U18" s="153" t="n">
        <x:f>U16-U17</x:f>
        <x:v>352.3577188236047</x:v>
      </x:c>
      <x:c r="V18" s="153" t="n">
        <x:f>V16-V17</x:f>
        <x:v>345.3291217506478</x:v>
      </x:c>
      <x:c r="W18" s="153" t="n">
        <x:f>W16-W17</x:f>
        <x:v>338.1426600427775</x:v>
      </x:c>
      <x:c r="X18" s="153" t="n">
        <x:f>X16-X17</x:f>
        <x:v>330.7934917743921</x:v>
      </x:c>
      <x:c r="Y18" s="153" t="n">
        <x:f>Y16-Y17</x:f>
        <x:v>0</x:v>
      </x:c>
      <x:c r="Z18" s="153" t="n">
        <x:f>Z16-Z17</x:f>
        <x:v>0</x:v>
      </x:c>
      <x:c r="AA18" s="153" t="n">
        <x:f>AA16-AA17</x:f>
        <x:v>0</x:v>
      </x:c>
      <x:c r="AB18" s="153" t="n">
        <x:f>AB16-AB17</x:f>
        <x:v>0</x:v>
      </x:c>
      <x:c r="AC18" s="153" t="n">
        <x:f>AC16-AC17</x:f>
        <x:v>0</x:v>
      </x:c>
      <x:c r="AD18" s="153" t="n">
        <x:f>AD16-AD17</x:f>
        <x:v>0</x:v>
      </x:c>
      <x:c r="AE18" s="153" t="n">
        <x:f>AE16-AE17</x:f>
        <x:v>0</x:v>
      </x:c>
      <x:c r="AF18" s="153" t="n">
        <x:f>AF16-AF17</x:f>
        <x:v>0</x:v>
      </x:c>
    </x:row>
    <x:row r="19" ht="15" hidden="0" customHeight="1">
      <x:c r="A19" s="219" t="str">
        <x:v>TAX-07</x:v>
      </x:c>
      <x:c r="B19" s="219" t="str">
        <x:v>Số dư lỗ đầu kỳ</x:v>
      </x:c>
      <x:c r="C19" s="153" t="n">
        <x:f>0</x:f>
        <x:v>0</x:v>
      </x:c>
      <x:c r="D19" s="153" t="n">
        <x:f>C22</x:f>
        <x:v>0</x:v>
      </x:c>
      <x:c r="E19" s="153" t="n">
        <x:f>D22</x:f>
        <x:v>0</x:v>
      </x:c>
      <x:c r="F19" s="153" t="n">
        <x:f>E22</x:f>
        <x:v>0</x:v>
      </x:c>
      <x:c r="G19" s="153" t="n">
        <x:f>F22</x:f>
        <x:v>0</x:v>
      </x:c>
      <x:c r="H19" s="153" t="n">
        <x:f>G22</x:f>
        <x:v>0</x:v>
      </x:c>
      <x:c r="I19" s="153" t="n">
        <x:f>H22</x:f>
        <x:v>0</x:v>
      </x:c>
      <x:c r="J19" s="153" t="n">
        <x:f>I22</x:f>
        <x:v>0</x:v>
      </x:c>
      <x:c r="K19" s="153" t="n">
        <x:f>J22</x:f>
        <x:v>0</x:v>
      </x:c>
      <x:c r="L19" s="153" t="n">
        <x:f>K22</x:f>
        <x:v>0</x:v>
      </x:c>
      <x:c r="M19" s="153" t="n">
        <x:f>L22</x:f>
        <x:v>0</x:v>
      </x:c>
      <x:c r="N19" s="153" t="n">
        <x:f>M22</x:f>
        <x:v>0</x:v>
      </x:c>
      <x:c r="O19" s="153" t="n">
        <x:f>N22</x:f>
        <x:v>0</x:v>
      </x:c>
      <x:c r="P19" s="153" t="n">
        <x:f>O22</x:f>
        <x:v>0</x:v>
      </x:c>
      <x:c r="Q19" s="153" t="n">
        <x:f>P22</x:f>
        <x:v>0</x:v>
      </x:c>
      <x:c r="R19" s="153" t="n">
        <x:f>Q22</x:f>
        <x:v>0</x:v>
      </x:c>
      <x:c r="S19" s="153" t="n">
        <x:f>R22</x:f>
        <x:v>0</x:v>
      </x:c>
      <x:c r="T19" s="153" t="n">
        <x:f>S22</x:f>
        <x:v>0</x:v>
      </x:c>
      <x:c r="U19" s="153" t="n">
        <x:f>T22</x:f>
        <x:v>0</x:v>
      </x:c>
      <x:c r="V19" s="153" t="n">
        <x:f>U22</x:f>
        <x:v>0</x:v>
      </x:c>
      <x:c r="W19" s="153" t="n">
        <x:f>V22</x:f>
        <x:v>0</x:v>
      </x:c>
      <x:c r="X19" s="153" t="n">
        <x:f>W22</x:f>
        <x:v>0</x:v>
      </x:c>
      <x:c r="Y19" s="153" t="n">
        <x:f>X22</x:f>
        <x:v>0</x:v>
      </x:c>
      <x:c r="Z19" s="153" t="n">
        <x:f>Y22</x:f>
        <x:v>0</x:v>
      </x:c>
      <x:c r="AA19" s="153" t="n">
        <x:f>Z22</x:f>
        <x:v>0</x:v>
      </x:c>
      <x:c r="AB19" s="153" t="n">
        <x:f>AA22</x:f>
        <x:v>0</x:v>
      </x:c>
      <x:c r="AC19" s="153" t="n">
        <x:f>AB22</x:f>
        <x:v>0</x:v>
      </x:c>
      <x:c r="AD19" s="153" t="n">
        <x:f>AC22</x:f>
        <x:v>0</x:v>
      </x:c>
      <x:c r="AE19" s="153" t="n">
        <x:f>AD22</x:f>
        <x:v>0</x:v>
      </x:c>
      <x:c r="AF19" s="153" t="n">
        <x:f>AE22</x:f>
        <x:v>0</x:v>
      </x:c>
    </x:row>
    <x:row r="20" ht="15" hidden="0" customHeight="1">
      <x:c r="A20" s="219" t="str">
        <x:v>TAX-08</x:v>
      </x:c>
      <x:c r="B20" s="219" t="str">
        <x:v>Lỗ phát sinh trong kỳ</x:v>
      </x:c>
      <x:c r="C20" s="153" t="n">
        <x:f>MAX(0,-C18)</x:f>
        <x:v>0</x:v>
      </x:c>
      <x:c r="D20" s="153" t="n">
        <x:f>MAX(0,-D18)</x:f>
        <x:v>0</x:v>
      </x:c>
      <x:c r="E20" s="153" t="n">
        <x:f>MAX(0,-E18)</x:f>
        <x:v>0</x:v>
      </x:c>
      <x:c r="F20" s="153" t="n">
        <x:f>MAX(0,-F18)</x:f>
        <x:v>0</x:v>
      </x:c>
      <x:c r="G20" s="153" t="n">
        <x:f>MAX(0,-G18)</x:f>
        <x:v>0</x:v>
      </x:c>
      <x:c r="H20" s="153" t="n">
        <x:f>MAX(0,-H18)</x:f>
        <x:v>0</x:v>
      </x:c>
      <x:c r="I20" s="153" t="n">
        <x:f>MAX(0,-I18)</x:f>
        <x:v>0</x:v>
      </x:c>
      <x:c r="J20" s="153" t="n">
        <x:f>MAX(0,-J18)</x:f>
        <x:v>0</x:v>
      </x:c>
      <x:c r="K20" s="153" t="n">
        <x:f>MAX(0,-K18)</x:f>
        <x:v>0</x:v>
      </x:c>
      <x:c r="L20" s="153" t="n">
        <x:f>MAX(0,-L18)</x:f>
        <x:v>0</x:v>
      </x:c>
      <x:c r="M20" s="153" t="n">
        <x:f>MAX(0,-M18)</x:f>
        <x:v>0</x:v>
      </x:c>
      <x:c r="N20" s="153" t="n">
        <x:f>MAX(0,-N18)</x:f>
        <x:v>0</x:v>
      </x:c>
      <x:c r="O20" s="153" t="n">
        <x:f>MAX(0,-O18)</x:f>
        <x:v>0</x:v>
      </x:c>
      <x:c r="P20" s="153" t="n">
        <x:f>MAX(0,-P18)</x:f>
        <x:v>0</x:v>
      </x:c>
      <x:c r="Q20" s="153" t="n">
        <x:f>MAX(0,-Q18)</x:f>
        <x:v>0</x:v>
      </x:c>
      <x:c r="R20" s="153" t="n">
        <x:f>MAX(0,-R18)</x:f>
        <x:v>0</x:v>
      </x:c>
      <x:c r="S20" s="153" t="n">
        <x:f>MAX(0,-S18)</x:f>
        <x:v>0</x:v>
      </x:c>
      <x:c r="T20" s="153" t="n">
        <x:f>MAX(0,-T18)</x:f>
        <x:v>0</x:v>
      </x:c>
      <x:c r="U20" s="153" t="n">
        <x:f>MAX(0,-U18)</x:f>
        <x:v>0</x:v>
      </x:c>
      <x:c r="V20" s="153" t="n">
        <x:f>MAX(0,-V18)</x:f>
        <x:v>0</x:v>
      </x:c>
      <x:c r="W20" s="153" t="n">
        <x:f>MAX(0,-W18)</x:f>
        <x:v>0</x:v>
      </x:c>
      <x:c r="X20" s="153" t="n">
        <x:f>MAX(0,-X18)</x:f>
        <x:v>0</x:v>
      </x:c>
      <x:c r="Y20" s="153" t="n">
        <x:f>MAX(0,-Y18)</x:f>
        <x:v>0</x:v>
      </x:c>
      <x:c r="Z20" s="153" t="n">
        <x:f>MAX(0,-Z18)</x:f>
        <x:v>0</x:v>
      </x:c>
      <x:c r="AA20" s="153" t="n">
        <x:f>MAX(0,-AA18)</x:f>
        <x:v>0</x:v>
      </x:c>
      <x:c r="AB20" s="153" t="n">
        <x:f>MAX(0,-AB18)</x:f>
        <x:v>0</x:v>
      </x:c>
      <x:c r="AC20" s="153" t="n">
        <x:f>MAX(0,-AC18)</x:f>
        <x:v>0</x:v>
      </x:c>
      <x:c r="AD20" s="153" t="n">
        <x:f>MAX(0,-AD18)</x:f>
        <x:v>0</x:v>
      </x:c>
      <x:c r="AE20" s="153" t="n">
        <x:f>MAX(0,-AE18)</x:f>
        <x:v>0</x:v>
      </x:c>
      <x:c r="AF20" s="153" t="n">
        <x:f>MAX(0,-AF18)</x:f>
        <x:v>0</x:v>
      </x:c>
    </x:row>
    <x:row r="21" ht="15" hidden="0" customHeight="1">
      <x:c r="A21" s="219" t="str">
        <x:v>TAX-09</x:v>
      </x:c>
      <x:c r="B21" s="219" t="str">
        <x:v>Lỗ được sử dụng</x:v>
      </x:c>
      <x:c r="C21" s="153" t="n">
        <x:f>MIN(C19,MAX(0,C18))</x:f>
        <x:v>0</x:v>
      </x:c>
      <x:c r="D21" s="153" t="n">
        <x:f>MIN(D19,MAX(0,D18))</x:f>
        <x:v>0</x:v>
      </x:c>
      <x:c r="E21" s="153" t="n">
        <x:f>MIN(E19,MAX(0,E18))</x:f>
        <x:v>0</x:v>
      </x:c>
      <x:c r="F21" s="153" t="n">
        <x:f>MIN(F19,MAX(0,F18))</x:f>
        <x:v>0</x:v>
      </x:c>
      <x:c r="G21" s="153" t="n">
        <x:f>MIN(G19,MAX(0,G18))</x:f>
        <x:v>0</x:v>
      </x:c>
      <x:c r="H21" s="153" t="n">
        <x:f>MIN(H19,MAX(0,H18))</x:f>
        <x:v>0</x:v>
      </x:c>
      <x:c r="I21" s="153" t="n">
        <x:f>MIN(I19,MAX(0,I18))</x:f>
        <x:v>0</x:v>
      </x:c>
      <x:c r="J21" s="153" t="n">
        <x:f>MIN(J19,MAX(0,J18))</x:f>
        <x:v>0</x:v>
      </x:c>
      <x:c r="K21" s="153" t="n">
        <x:f>MIN(K19,MAX(0,K18))</x:f>
        <x:v>0</x:v>
      </x:c>
      <x:c r="L21" s="153" t="n">
        <x:f>MIN(L19,MAX(0,L18))</x:f>
        <x:v>0</x:v>
      </x:c>
      <x:c r="M21" s="153" t="n">
        <x:f>MIN(M19,MAX(0,M18))</x:f>
        <x:v>0</x:v>
      </x:c>
      <x:c r="N21" s="153" t="n">
        <x:f>MIN(N19,MAX(0,N18))</x:f>
        <x:v>0</x:v>
      </x:c>
      <x:c r="O21" s="153" t="n">
        <x:f>MIN(O19,MAX(0,O18))</x:f>
        <x:v>0</x:v>
      </x:c>
      <x:c r="P21" s="153" t="n">
        <x:f>MIN(P19,MAX(0,P18))</x:f>
        <x:v>0</x:v>
      </x:c>
      <x:c r="Q21" s="153" t="n">
        <x:f>MIN(Q19,MAX(0,Q18))</x:f>
        <x:v>0</x:v>
      </x:c>
      <x:c r="R21" s="153" t="n">
        <x:f>MIN(R19,MAX(0,R18))</x:f>
        <x:v>0</x:v>
      </x:c>
      <x:c r="S21" s="153" t="n">
        <x:f>MIN(S19,MAX(0,S18))</x:f>
        <x:v>0</x:v>
      </x:c>
      <x:c r="T21" s="153" t="n">
        <x:f>MIN(T19,MAX(0,T18))</x:f>
        <x:v>0</x:v>
      </x:c>
      <x:c r="U21" s="153" t="n">
        <x:f>MIN(U19,MAX(0,U18))</x:f>
        <x:v>0</x:v>
      </x:c>
      <x:c r="V21" s="153" t="n">
        <x:f>MIN(V19,MAX(0,V18))</x:f>
        <x:v>0</x:v>
      </x:c>
      <x:c r="W21" s="153" t="n">
        <x:f>MIN(W19,MAX(0,W18))</x:f>
        <x:v>0</x:v>
      </x:c>
      <x:c r="X21" s="153" t="n">
        <x:f>MIN(X19,MAX(0,X18))</x:f>
        <x:v>0</x:v>
      </x:c>
      <x:c r="Y21" s="153" t="n">
        <x:f>MIN(Y19,MAX(0,Y18))</x:f>
        <x:v>0</x:v>
      </x:c>
      <x:c r="Z21" s="153" t="n">
        <x:f>MIN(Z19,MAX(0,Z18))</x:f>
        <x:v>0</x:v>
      </x:c>
      <x:c r="AA21" s="153" t="n">
        <x:f>MIN(AA19,MAX(0,AA18))</x:f>
        <x:v>0</x:v>
      </x:c>
      <x:c r="AB21" s="153" t="n">
        <x:f>MIN(AB19,MAX(0,AB18))</x:f>
        <x:v>0</x:v>
      </x:c>
      <x:c r="AC21" s="153" t="n">
        <x:f>MIN(AC19,MAX(0,AC18))</x:f>
        <x:v>0</x:v>
      </x:c>
      <x:c r="AD21" s="153" t="n">
        <x:f>MIN(AD19,MAX(0,AD18))</x:f>
        <x:v>0</x:v>
      </x:c>
      <x:c r="AE21" s="153" t="n">
        <x:f>MIN(AE19,MAX(0,AE18))</x:f>
        <x:v>0</x:v>
      </x:c>
      <x:c r="AF21" s="153" t="n">
        <x:f>MIN(AF19,MAX(0,AF18))</x:f>
        <x:v>0</x:v>
      </x:c>
    </x:row>
    <x:row r="22" ht="15" hidden="0" customHeight="1">
      <x:c r="A22" s="219" t="str">
        <x:v>TAX-10</x:v>
      </x:c>
      <x:c r="B22" s="219" t="str">
        <x:v>Số dư lỗ cuối kỳ</x:v>
      </x:c>
      <x:c r="C22" s="153" t="n">
        <x:f>MAX(0,C19+C20-C21)</x:f>
        <x:v>0</x:v>
      </x:c>
      <x:c r="D22" s="153" t="n">
        <x:f>MAX(0,D19+D20-D21)</x:f>
        <x:v>0</x:v>
      </x:c>
      <x:c r="E22" s="153" t="n">
        <x:f>MAX(0,E19+E20-E21)</x:f>
        <x:v>0</x:v>
      </x:c>
      <x:c r="F22" s="153" t="n">
        <x:f>MAX(0,F19+F20-F21)</x:f>
        <x:v>0</x:v>
      </x:c>
      <x:c r="G22" s="153" t="n">
        <x:f>MAX(0,G19+G20-G21)</x:f>
        <x:v>0</x:v>
      </x:c>
      <x:c r="H22" s="153" t="n">
        <x:f>MAX(0,H19+H20-H21)</x:f>
        <x:v>0</x:v>
      </x:c>
      <x:c r="I22" s="153" t="n">
        <x:f>MAX(0,I19+I20-I21)</x:f>
        <x:v>0</x:v>
      </x:c>
      <x:c r="J22" s="153" t="n">
        <x:f>MAX(0,J19+J20-J21)</x:f>
        <x:v>0</x:v>
      </x:c>
      <x:c r="K22" s="153" t="n">
        <x:f>MAX(0,K19+K20-K21)</x:f>
        <x:v>0</x:v>
      </x:c>
      <x:c r="L22" s="153" t="n">
        <x:f>MAX(0,L19+L20-L21)</x:f>
        <x:v>0</x:v>
      </x:c>
      <x:c r="M22" s="153" t="n">
        <x:f>MAX(0,M19+M20-M21)</x:f>
        <x:v>0</x:v>
      </x:c>
      <x:c r="N22" s="153" t="n">
        <x:f>MAX(0,N19+N20-N21)</x:f>
        <x:v>0</x:v>
      </x:c>
      <x:c r="O22" s="153" t="n">
        <x:f>MAX(0,O19+O20-O21)</x:f>
        <x:v>0</x:v>
      </x:c>
      <x:c r="P22" s="153" t="n">
        <x:f>MAX(0,P19+P20-P21)</x:f>
        <x:v>0</x:v>
      </x:c>
      <x:c r="Q22" s="153" t="n">
        <x:f>MAX(0,Q19+Q20-Q21)</x:f>
        <x:v>0</x:v>
      </x:c>
      <x:c r="R22" s="153" t="n">
        <x:f>MAX(0,R19+R20-R21)</x:f>
        <x:v>0</x:v>
      </x:c>
      <x:c r="S22" s="153" t="n">
        <x:f>MAX(0,S19+S20-S21)</x:f>
        <x:v>0</x:v>
      </x:c>
      <x:c r="T22" s="153" t="n">
        <x:f>MAX(0,T19+T20-T21)</x:f>
        <x:v>0</x:v>
      </x:c>
      <x:c r="U22" s="153" t="n">
        <x:f>MAX(0,U19+U20-U21)</x:f>
        <x:v>0</x:v>
      </x:c>
      <x:c r="V22" s="153" t="n">
        <x:f>MAX(0,V19+V20-V21)</x:f>
        <x:v>0</x:v>
      </x:c>
      <x:c r="W22" s="153" t="n">
        <x:f>MAX(0,W19+W20-W21)</x:f>
        <x:v>0</x:v>
      </x:c>
      <x:c r="X22" s="153" t="n">
        <x:f>MAX(0,X19+X20-X21)</x:f>
        <x:v>0</x:v>
      </x:c>
      <x:c r="Y22" s="153" t="n">
        <x:f>MAX(0,Y19+Y20-Y21)</x:f>
        <x:v>0</x:v>
      </x:c>
      <x:c r="Z22" s="153" t="n">
        <x:f>MAX(0,Z19+Z20-Z21)</x:f>
        <x:v>0</x:v>
      </x:c>
      <x:c r="AA22" s="153" t="n">
        <x:f>MAX(0,AA19+AA20-AA21)</x:f>
        <x:v>0</x:v>
      </x:c>
      <x:c r="AB22" s="153" t="n">
        <x:f>MAX(0,AB19+AB20-AB21)</x:f>
        <x:v>0</x:v>
      </x:c>
      <x:c r="AC22" s="153" t="n">
        <x:f>MAX(0,AC19+AC20-AC21)</x:f>
        <x:v>0</x:v>
      </x:c>
      <x:c r="AD22" s="153" t="n">
        <x:f>MAX(0,AD19+AD20-AD21)</x:f>
        <x:v>0</x:v>
      </x:c>
      <x:c r="AE22" s="153" t="n">
        <x:f>MAX(0,AE19+AE20-AE21)</x:f>
        <x:v>0</x:v>
      </x:c>
      <x:c r="AF22" s="153" t="n">
        <x:f>MAX(0,AF19+AF20-AF21)</x:f>
        <x:v>0</x:v>
      </x:c>
    </x:row>
    <x:row r="23" ht="15" hidden="0" customHeight="1">
      <x:c r="A23" s="219" t="str">
        <x:v>TAX-11</x:v>
      </x:c>
      <x:c r="B23" s="219" t="str">
        <x:v>Thu nhập tính thuế</x:v>
      </x:c>
      <x:c r="C23" s="153" t="n">
        <x:f>MAX(0,C18-C21)</x:f>
        <x:v>0</x:v>
      </x:c>
      <x:c r="D23" s="153" t="n">
        <x:f>MAX(0,D18-D21)</x:f>
        <x:v>0</x:v>
      </x:c>
      <x:c r="E23" s="153" t="n">
        <x:f>MAX(0,E18-E21)</x:f>
        <x:v>56.195495999999935</x:v>
      </x:c>
      <x:c r="F23" s="153" t="n">
        <x:f>MAX(0,F18-F21)</x:f>
        <x:v>83.68755100799996</x:v>
      </x:c>
      <x:c r="G23" s="153" t="n">
        <x:f>MAX(0,G18-G21)</x:f>
        <x:v>111.08258590598416</x:v>
      </x:c>
      <x:c r="H23" s="153" t="n">
        <x:f>MAX(0,H18-H21)</x:f>
        <x:v>138.37758065417216</x:v>
      </x:c>
      <x:c r="I23" s="153" t="n">
        <x:f>MAX(0,I18-I21)</x:f>
        <x:v>165.56942483046367</x:v>
      </x:c>
      <x:c r="J23" s="153" t="n">
        <x:f>MAX(0,J18-J21)</x:f>
        <x:v>192.65491491853084</x:v>
      </x:c>
      <x:c r="K23" s="153" t="n">
        <x:f>MAX(0,K18-K21)</x:f>
        <x:v>219.63075151455376</x:v>
      </x:c>
      <x:c r="L23" s="153" t="n">
        <x:f>MAX(0,L18-L21)</x:f>
        <x:v>246.49353645016004</x:v>
      </x:c>
      <x:c r="M23" s="153" t="n">
        <x:f>MAX(0,M18-M21)</x:f>
        <x:v>273.23976982905424</x:v>
      </x:c>
      <x:c r="N23" s="153" t="n">
        <x:f>MAX(0,N18-N21)</x:f>
        <x:v>299.86584697474507</x:v>
      </x:c>
      <x:c r="O23" s="153" t="n">
        <x:f>MAX(0,O18-O21)</x:f>
        <x:v>326.36805528670436</x:v>
      </x:c>
      <x:c r="P23" s="153" t="n">
        <x:f>MAX(0,P18-P21)</x:f>
        <x:v>352.7425710022172</x:v>
      </x:c>
      <x:c r="Q23" s="153" t="n">
        <x:f>MAX(0,Q18-Q21)</x:f>
        <x:v>378.98545586108173</x:v>
      </x:c>
      <x:c r="R23" s="153" t="n">
        <x:f>MAX(0,R18-R21)</x:f>
        <x:v>372.5426536702545</x:v>
      </x:c>
      <x:c r="S23" s="153" t="n">
        <x:f>MAX(0,S18-S21)</x:f>
        <x:v>365.9599867654356</x:v>
      </x:c>
      <x:c r="T23" s="153" t="n">
        <x:f>MAX(0,T18-T21)</x:f>
        <x:v>359.2331523665023</x:v>
      </x:c>
      <x:c r="U23" s="153" t="n">
        <x:f>MAX(0,U18-U21)</x:f>
        <x:v>352.3577188236047</x:v>
      </x:c>
      <x:c r="V23" s="153" t="n">
        <x:f>MAX(0,V18-V21)</x:f>
        <x:v>345.3291217506478</x:v>
      </x:c>
      <x:c r="W23" s="153" t="n">
        <x:f>MAX(0,W18-W21)</x:f>
        <x:v>338.1426600427775</x:v>
      </x:c>
      <x:c r="X23" s="153" t="n">
        <x:f>MAX(0,X18-X21)</x:f>
        <x:v>330.7934917743921</x:v>
      </x:c>
      <x:c r="Y23" s="153" t="n">
        <x:f>MAX(0,Y18-Y21)</x:f>
        <x:v>0</x:v>
      </x:c>
      <x:c r="Z23" s="153" t="n">
        <x:f>MAX(0,Z18-Z21)</x:f>
        <x:v>0</x:v>
      </x:c>
      <x:c r="AA23" s="153" t="n">
        <x:f>MAX(0,AA18-AA21)</x:f>
        <x:v>0</x:v>
      </x:c>
      <x:c r="AB23" s="153" t="n">
        <x:f>MAX(0,AB18-AB21)</x:f>
        <x:v>0</x:v>
      </x:c>
      <x:c r="AC23" s="153" t="n">
        <x:f>MAX(0,AC18-AC21)</x:f>
        <x:v>0</x:v>
      </x:c>
      <x:c r="AD23" s="153" t="n">
        <x:f>MAX(0,AD18-AD21)</x:f>
        <x:v>0</x:v>
      </x:c>
      <x:c r="AE23" s="153" t="n">
        <x:f>MAX(0,AE18-AE21)</x:f>
        <x:v>0</x:v>
      </x:c>
      <x:c r="AF23" s="153" t="n">
        <x:f>MAX(0,AF18-AF21)</x:f>
        <x:v>0</x:v>
      </x:c>
    </x:row>
    <x:row r="24" ht="15" hidden="0" customHeight="1">
      <x:c r="A24" s="219" t="str">
        <x:v>TAX-12</x:v>
      </x:c>
      <x:c r="B24" s="219" t="str">
        <x:v>Thuế suất TNDN hiệu dụng</x:v>
      </x:c>
      <x:c r="C24" s="173" t="n">
        <x:f>IF(C$8=0,0,IF(C$8&lt;='Input'!$D$70,0,IF(C$8&lt;='Input'!$D$70+'Input'!$D$71,'Input'!$D$68*50%,IF(C$8&lt;='Input'!$D$69,'Input'!$D$68,'Input'!$D$67))))</x:f>
        <x:v>0</x:v>
      </x:c>
      <x:c r="D24" s="173" t="n">
        <x:f>IF(D$8=0,0,IF(D$8&lt;='Input'!$D$70,0,IF(D$8&lt;='Input'!$D$70+'Input'!$D$71,'Input'!$D$68*50%,IF(D$8&lt;='Input'!$D$69,'Input'!$D$68,'Input'!$D$67))))</x:f>
        <x:v>0</x:v>
      </x:c>
      <x:c r="E24" s="173" t="n">
        <x:f>IF(E$8=0,0,IF(E$8&lt;='Input'!$D$70,0,IF(E$8&lt;='Input'!$D$70+'Input'!$D$71,'Input'!$D$68*50%,IF(E$8&lt;='Input'!$D$69,'Input'!$D$68,'Input'!$D$67))))</x:f>
        <x:v>0</x:v>
      </x:c>
      <x:c r="F24" s="173" t="n">
        <x:f>IF(F$8=0,0,IF(F$8&lt;='Input'!$D$70,0,IF(F$8&lt;='Input'!$D$70+'Input'!$D$71,'Input'!$D$68*50%,IF(F$8&lt;='Input'!$D$69,'Input'!$D$68,'Input'!$D$67))))</x:f>
        <x:v>0</x:v>
      </x:c>
      <x:c r="G24" s="173" t="n">
        <x:f>IF(G$8=0,0,IF(G$8&lt;='Input'!$D$70,0,IF(G$8&lt;='Input'!$D$70+'Input'!$D$71,'Input'!$D$68*50%,IF(G$8&lt;='Input'!$D$69,'Input'!$D$68,'Input'!$D$67))))</x:f>
        <x:v>0</x:v>
      </x:c>
      <x:c r="H24" s="173" t="n">
        <x:f>IF(H$8=0,0,IF(H$8&lt;='Input'!$D$70,0,IF(H$8&lt;='Input'!$D$70+'Input'!$D$71,'Input'!$D$68*50%,IF(H$8&lt;='Input'!$D$69,'Input'!$D$68,'Input'!$D$67))))</x:f>
        <x:v>0</x:v>
      </x:c>
      <x:c r="I24" s="173" t="n">
        <x:f>IF(I$8=0,0,IF(I$8&lt;='Input'!$D$70,0,IF(I$8&lt;='Input'!$D$70+'Input'!$D$71,'Input'!$D$68*50%,IF(I$8&lt;='Input'!$D$69,'Input'!$D$68,'Input'!$D$67))))</x:f>
        <x:v>0.05</x:v>
      </x:c>
      <x:c r="J24" s="173" t="n">
        <x:f>IF(J$8=0,0,IF(J$8&lt;='Input'!$D$70,0,IF(J$8&lt;='Input'!$D$70+'Input'!$D$71,'Input'!$D$68*50%,IF(J$8&lt;='Input'!$D$69,'Input'!$D$68,'Input'!$D$67))))</x:f>
        <x:v>0.05</x:v>
      </x:c>
      <x:c r="K24" s="173" t="n">
        <x:f>IF(K$8=0,0,IF(K$8&lt;='Input'!$D$70,0,IF(K$8&lt;='Input'!$D$70+'Input'!$D$71,'Input'!$D$68*50%,IF(K$8&lt;='Input'!$D$69,'Input'!$D$68,'Input'!$D$67))))</x:f>
        <x:v>0.05</x:v>
      </x:c>
      <x:c r="L24" s="173" t="n">
        <x:f>IF(L$8=0,0,IF(L$8&lt;='Input'!$D$70,0,IF(L$8&lt;='Input'!$D$70+'Input'!$D$71,'Input'!$D$68*50%,IF(L$8&lt;='Input'!$D$69,'Input'!$D$68,'Input'!$D$67))))</x:f>
        <x:v>0.05</x:v>
      </x:c>
      <x:c r="M24" s="173" t="n">
        <x:f>IF(M$8=0,0,IF(M$8&lt;='Input'!$D$70,0,IF(M$8&lt;='Input'!$D$70+'Input'!$D$71,'Input'!$D$68*50%,IF(M$8&lt;='Input'!$D$69,'Input'!$D$68,'Input'!$D$67))))</x:f>
        <x:v>0.05</x:v>
      </x:c>
      <x:c r="N24" s="173" t="n">
        <x:f>IF(N$8=0,0,IF(N$8&lt;='Input'!$D$70,0,IF(N$8&lt;='Input'!$D$70+'Input'!$D$71,'Input'!$D$68*50%,IF(N$8&lt;='Input'!$D$69,'Input'!$D$68,'Input'!$D$67))))</x:f>
        <x:v>0.05</x:v>
      </x:c>
      <x:c r="O24" s="173" t="n">
        <x:f>IF(O$8=0,0,IF(O$8&lt;='Input'!$D$70,0,IF(O$8&lt;='Input'!$D$70+'Input'!$D$71,'Input'!$D$68*50%,IF(O$8&lt;='Input'!$D$69,'Input'!$D$68,'Input'!$D$67))))</x:f>
        <x:v>0.05</x:v>
      </x:c>
      <x:c r="P24" s="173" t="n">
        <x:f>IF(P$8=0,0,IF(P$8&lt;='Input'!$D$70,0,IF(P$8&lt;='Input'!$D$70+'Input'!$D$71,'Input'!$D$68*50%,IF(P$8&lt;='Input'!$D$69,'Input'!$D$68,'Input'!$D$67))))</x:f>
        <x:v>0.05</x:v>
      </x:c>
      <x:c r="Q24" s="173" t="n">
        <x:f>IF(Q$8=0,0,IF(Q$8&lt;='Input'!$D$70,0,IF(Q$8&lt;='Input'!$D$70+'Input'!$D$71,'Input'!$D$68*50%,IF(Q$8&lt;='Input'!$D$69,'Input'!$D$68,'Input'!$D$67))))</x:f>
        <x:v>0.05</x:v>
      </x:c>
      <x:c r="R24" s="173" t="n">
        <x:f>IF(R$8=0,0,IF(R$8&lt;='Input'!$D$70,0,IF(R$8&lt;='Input'!$D$70+'Input'!$D$71,'Input'!$D$68*50%,IF(R$8&lt;='Input'!$D$69,'Input'!$D$68,'Input'!$D$67))))</x:f>
        <x:v>0.1</x:v>
      </x:c>
      <x:c r="S24" s="173" t="n">
        <x:f>IF(S$8=0,0,IF(S$8&lt;='Input'!$D$70,0,IF(S$8&lt;='Input'!$D$70+'Input'!$D$71,'Input'!$D$68*50%,IF(S$8&lt;='Input'!$D$69,'Input'!$D$68,'Input'!$D$67))))</x:f>
        <x:v>0.1</x:v>
      </x:c>
      <x:c r="T24" s="173" t="n">
        <x:f>IF(T$8=0,0,IF(T$8&lt;='Input'!$D$70,0,IF(T$8&lt;='Input'!$D$70+'Input'!$D$71,'Input'!$D$68*50%,IF(T$8&lt;='Input'!$D$69,'Input'!$D$68,'Input'!$D$67))))</x:f>
        <x:v>0.2</x:v>
      </x:c>
      <x:c r="U24" s="173" t="n">
        <x:f>IF(U$8=0,0,IF(U$8&lt;='Input'!$D$70,0,IF(U$8&lt;='Input'!$D$70+'Input'!$D$71,'Input'!$D$68*50%,IF(U$8&lt;='Input'!$D$69,'Input'!$D$68,'Input'!$D$67))))</x:f>
        <x:v>0.2</x:v>
      </x:c>
      <x:c r="V24" s="173" t="n">
        <x:f>IF(V$8=0,0,IF(V$8&lt;='Input'!$D$70,0,IF(V$8&lt;='Input'!$D$70+'Input'!$D$71,'Input'!$D$68*50%,IF(V$8&lt;='Input'!$D$69,'Input'!$D$68,'Input'!$D$67))))</x:f>
        <x:v>0.2</x:v>
      </x:c>
      <x:c r="W24" s="173" t="n">
        <x:f>IF(W$8=0,0,IF(W$8&lt;='Input'!$D$70,0,IF(W$8&lt;='Input'!$D$70+'Input'!$D$71,'Input'!$D$68*50%,IF(W$8&lt;='Input'!$D$69,'Input'!$D$68,'Input'!$D$67))))</x:f>
        <x:v>0.2</x:v>
      </x:c>
      <x:c r="X24" s="173" t="n">
        <x:f>IF(X$8=0,0,IF(X$8&lt;='Input'!$D$70,0,IF(X$8&lt;='Input'!$D$70+'Input'!$D$71,'Input'!$D$68*50%,IF(X$8&lt;='Input'!$D$69,'Input'!$D$68,'Input'!$D$67))))</x:f>
        <x:v>0.2</x:v>
      </x:c>
      <x:c r="Y24" s="173" t="n">
        <x:f>IF(Y$8=0,0,IF(Y$8&lt;='Input'!$D$70,0,IF(Y$8&lt;='Input'!$D$70+'Input'!$D$71,'Input'!$D$68*50%,IF(Y$8&lt;='Input'!$D$69,'Input'!$D$68,'Input'!$D$67))))</x:f>
        <x:v>0</x:v>
      </x:c>
      <x:c r="Z24" s="173" t="n">
        <x:f>IF(Z$8=0,0,IF(Z$8&lt;='Input'!$D$70,0,IF(Z$8&lt;='Input'!$D$70+'Input'!$D$71,'Input'!$D$68*50%,IF(Z$8&lt;='Input'!$D$69,'Input'!$D$68,'Input'!$D$67))))</x:f>
        <x:v>0</x:v>
      </x:c>
      <x:c r="AA24" s="173" t="n">
        <x:f>IF(AA$8=0,0,IF(AA$8&lt;='Input'!$D$70,0,IF(AA$8&lt;='Input'!$D$70+'Input'!$D$71,'Input'!$D$68*50%,IF(AA$8&lt;='Input'!$D$69,'Input'!$D$68,'Input'!$D$67))))</x:f>
        <x:v>0</x:v>
      </x:c>
      <x:c r="AB24" s="173" t="n">
        <x:f>IF(AB$8=0,0,IF(AB$8&lt;='Input'!$D$70,0,IF(AB$8&lt;='Input'!$D$70+'Input'!$D$71,'Input'!$D$68*50%,IF(AB$8&lt;='Input'!$D$69,'Input'!$D$68,'Input'!$D$67))))</x:f>
        <x:v>0</x:v>
      </x:c>
      <x:c r="AC24" s="173" t="n">
        <x:f>IF(AC$8=0,0,IF(AC$8&lt;='Input'!$D$70,0,IF(AC$8&lt;='Input'!$D$70+'Input'!$D$71,'Input'!$D$68*50%,IF(AC$8&lt;='Input'!$D$69,'Input'!$D$68,'Input'!$D$67))))</x:f>
        <x:v>0</x:v>
      </x:c>
      <x:c r="AD24" s="173" t="n">
        <x:f>IF(AD$8=0,0,IF(AD$8&lt;='Input'!$D$70,0,IF(AD$8&lt;='Input'!$D$70+'Input'!$D$71,'Input'!$D$68*50%,IF(AD$8&lt;='Input'!$D$69,'Input'!$D$68,'Input'!$D$67))))</x:f>
        <x:v>0</x:v>
      </x:c>
      <x:c r="AE24" s="173" t="n">
        <x:f>IF(AE$8=0,0,IF(AE$8&lt;='Input'!$D$70,0,IF(AE$8&lt;='Input'!$D$70+'Input'!$D$71,'Input'!$D$68*50%,IF(AE$8&lt;='Input'!$D$69,'Input'!$D$68,'Input'!$D$67))))</x:f>
        <x:v>0</x:v>
      </x:c>
      <x:c r="AF24" s="173" t="n">
        <x:f>IF(AF$8=0,0,IF(AF$8&lt;='Input'!$D$70,0,IF(AF$8&lt;='Input'!$D$70+'Input'!$D$71,'Input'!$D$68*50%,IF(AF$8&lt;='Input'!$D$69,'Input'!$D$68,'Input'!$D$67))))</x:f>
        <x:v>0</x:v>
      </x:c>
    </x:row>
    <x:row r="25" ht="15" hidden="0" customHeight="1">
      <x:c r="A25" s="219" t="str">
        <x:v>TAX-13</x:v>
      </x:c>
      <x:c r="B25" s="220" t="str">
        <x:v>Thuế TNDN phải nộp</x:v>
      </x:c>
      <x:c r="C25" s="150" t="n">
        <x:f>C23*C24</x:f>
        <x:v>0</x:v>
      </x:c>
      <x:c r="D25" s="150" t="n">
        <x:f>D23*D24</x:f>
        <x:v>0</x:v>
      </x:c>
      <x:c r="E25" s="150" t="n">
        <x:f>E23*E24</x:f>
        <x:v>0</x:v>
      </x:c>
      <x:c r="F25" s="150" t="n">
        <x:f>F23*F24</x:f>
        <x:v>0</x:v>
      </x:c>
      <x:c r="G25" s="150" t="n">
        <x:f>G23*G24</x:f>
        <x:v>0</x:v>
      </x:c>
      <x:c r="H25" s="150" t="n">
        <x:f>H23*H24</x:f>
        <x:v>0</x:v>
      </x:c>
      <x:c r="I25" s="150" t="n">
        <x:f>I23*I24</x:f>
        <x:v>8.278471241523183</x:v>
      </x:c>
      <x:c r="J25" s="150" t="n">
        <x:f>J23*J24</x:f>
        <x:v>9.632745745926542</x:v>
      </x:c>
      <x:c r="K25" s="150" t="n">
        <x:f>K23*K24</x:f>
        <x:v>10.981537575727689</x:v>
      </x:c>
      <x:c r="L25" s="150" t="n">
        <x:f>L23*L24</x:f>
        <x:v>12.324676822508003</x:v>
      </x:c>
      <x:c r="M25" s="150" t="n">
        <x:f>M23*M24</x:f>
        <x:v>13.661988491452712</x:v>
      </x:c>
      <x:c r="N25" s="150" t="n">
        <x:f>N23*N24</x:f>
        <x:v>14.993292348737254</x:v>
      </x:c>
      <x:c r="O25" s="150" t="n">
        <x:f>O23*O24</x:f>
        <x:v>16.318402764335218</x:v>
      </x:c>
      <x:c r="P25" s="150" t="n">
        <x:f>P23*P24</x:f>
        <x:v>17.63712855011086</x:v>
      </x:c>
      <x:c r="Q25" s="150" t="n">
        <x:f>Q23*Q24</x:f>
        <x:v>18.94927279305409</x:v>
      </x:c>
      <x:c r="R25" s="150" t="n">
        <x:f>R23*R24</x:f>
        <x:v>37.25426536702545</x:v>
      </x:c>
      <x:c r="S25" s="150" t="n">
        <x:f>S23*S24</x:f>
        <x:v>36.59599867654356</x:v>
      </x:c>
      <x:c r="T25" s="150" t="n">
        <x:f>T23*T24</x:f>
        <x:v>71.84663047330046</x:v>
      </x:c>
      <x:c r="U25" s="150" t="n">
        <x:f>U23*U24</x:f>
        <x:v>70.47154376472095</x:v>
      </x:c>
      <x:c r="V25" s="150" t="n">
        <x:f>V23*V24</x:f>
        <x:v>69.06582435012956</x:v>
      </x:c>
      <x:c r="W25" s="150" t="n">
        <x:f>W23*W24</x:f>
        <x:v>67.6285320085555</x:v>
      </x:c>
      <x:c r="X25" s="150" t="n">
        <x:f>X23*X24</x:f>
        <x:v>66.15869835487842</x:v>
      </x:c>
      <x:c r="Y25" s="150" t="n">
        <x:f>Y23*Y24</x:f>
        <x:v>0</x:v>
      </x:c>
      <x:c r="Z25" s="150" t="n">
        <x:f>Z23*Z24</x:f>
        <x:v>0</x:v>
      </x:c>
      <x:c r="AA25" s="150" t="n">
        <x:f>AA23*AA24</x:f>
        <x:v>0</x:v>
      </x:c>
      <x:c r="AB25" s="150" t="n">
        <x:f>AB23*AB24</x:f>
        <x:v>0</x:v>
      </x:c>
      <x:c r="AC25" s="150" t="n">
        <x:f>AC23*AC24</x:f>
        <x:v>0</x:v>
      </x:c>
      <x:c r="AD25" s="150" t="n">
        <x:f>AD23*AD24</x:f>
        <x:v>0</x:v>
      </x:c>
      <x:c r="AE25" s="150" t="n">
        <x:f>AE23*AE24</x:f>
        <x:v>0</x:v>
      </x:c>
      <x:c r="AF25" s="150" t="n">
        <x:f>AF23*AF24</x:f>
        <x:v>0</x:v>
      </x:c>
    </x:row>
    <x:row r="26" ht="15" hidden="0" customHeight="1">
      <x:c r="A26" s="219" t="str">
        <x:v>TAX-14</x:v>
      </x:c>
      <x:c r="B26" s="220" t="str">
        <x:v>Lợi nhuận sau thuế</x:v>
      </x:c>
      <x:c r="C26" s="150" t="n">
        <x:f>C18-C25</x:f>
        <x:v>0</x:v>
      </x:c>
      <x:c r="D26" s="150" t="n">
        <x:f>D18-D25</x:f>
        <x:v>0</x:v>
      </x:c>
      <x:c r="E26" s="150" t="n">
        <x:f>E18-E25</x:f>
        <x:v>56.195495999999935</x:v>
      </x:c>
      <x:c r="F26" s="150" t="n">
        <x:f>F18-F25</x:f>
        <x:v>83.68755100799996</x:v>
      </x:c>
      <x:c r="G26" s="150" t="n">
        <x:f>G18-G25</x:f>
        <x:v>111.08258590598416</x:v>
      </x:c>
      <x:c r="H26" s="150" t="n">
        <x:f>H18-H25</x:f>
        <x:v>138.37758065417216</x:v>
      </x:c>
      <x:c r="I26" s="150" t="n">
        <x:f>I18-I25</x:f>
        <x:v>157.29095358894048</x:v>
      </x:c>
      <x:c r="J26" s="150" t="n">
        <x:f>J18-J25</x:f>
        <x:v>183.0221691726043</x:v>
      </x:c>
      <x:c r="K26" s="150" t="n">
        <x:f>K18-K25</x:f>
        <x:v>208.64921393882608</x:v>
      </x:c>
      <x:c r="L26" s="150" t="n">
        <x:f>L18-L25</x:f>
        <x:v>234.16885962765204</x:v>
      </x:c>
      <x:c r="M26" s="150" t="n">
        <x:f>M18-M25</x:f>
        <x:v>259.57778133760155</x:v>
      </x:c>
      <x:c r="N26" s="150" t="n">
        <x:f>N18-N25</x:f>
        <x:v>284.8725546260078</x:v>
      </x:c>
      <x:c r="O26" s="150" t="n">
        <x:f>O18-O25</x:f>
        <x:v>310.0496525223691</x:v>
      </x:c>
      <x:c r="P26" s="150" t="n">
        <x:f>P18-P25</x:f>
        <x:v>335.10544245210633</x:v>
      </x:c>
      <x:c r="Q26" s="150" t="n">
        <x:f>Q18-Q25</x:f>
        <x:v>360.03618306802764</x:v>
      </x:c>
      <x:c r="R26" s="150" t="n">
        <x:f>R18-R25</x:f>
        <x:v>335.28838830322906</x:v>
      </x:c>
      <x:c r="S26" s="150" t="n">
        <x:f>S18-S25</x:f>
        <x:v>329.36398808889203</x:v>
      </x:c>
      <x:c r="T26" s="150" t="n">
        <x:f>T18-T25</x:f>
        <x:v>287.3865218932018</x:v>
      </x:c>
      <x:c r="U26" s="150" t="n">
        <x:f>U18-U25</x:f>
        <x:v>281.8861750588838</x:v>
      </x:c>
      <x:c r="V26" s="150" t="n">
        <x:f>V18-V25</x:f>
        <x:v>276.26329740051824</x:v>
      </x:c>
      <x:c r="W26" s="150" t="n">
        <x:f>W18-W25</x:f>
        <x:v>270.514128034222</x:v>
      </x:c>
      <x:c r="X26" s="150" t="n">
        <x:f>X18-X25</x:f>
        <x:v>264.6347934195137</x:v>
      </x:c>
      <x:c r="Y26" s="150" t="n">
        <x:f>Y18-Y25</x:f>
        <x:v>0</x:v>
      </x:c>
      <x:c r="Z26" s="150" t="n">
        <x:f>Z18-Z25</x:f>
        <x:v>0</x:v>
      </x:c>
      <x:c r="AA26" s="150" t="n">
        <x:f>AA18-AA25</x:f>
        <x:v>0</x:v>
      </x:c>
      <x:c r="AB26" s="150" t="n">
        <x:f>AB18-AB25</x:f>
        <x:v>0</x:v>
      </x:c>
      <x:c r="AC26" s="150" t="n">
        <x:f>AC18-AC25</x:f>
        <x:v>0</x:v>
      </x:c>
      <x:c r="AD26" s="150" t="n">
        <x:f>AD18-AD25</x:f>
        <x:v>0</x:v>
      </x:c>
      <x:c r="AE26" s="150" t="n">
        <x:f>AE18-AE25</x:f>
        <x:v>0</x:v>
      </x:c>
      <x:c r="AF26" s="150" t="n">
        <x:f>AF18-AF25</x:f>
        <x:v>0</x:v>
      </x:c>
    </x:row>
    <x:row r="27" ht="15" hidden="0" customHeight="1">
      <x:c r="A27" s="216"/>
      <x:c r="B27" s="216"/>
      <x:c r="C27" s="209"/>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x:c r="B28" s="216"/>
      <x:c r="C28" s="209"/>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x:c r="A29" s="177" t="str">
        <x:v>Lưu ý: Ver1 theo dõi chuyển lỗ theo số dư liên tục. Khi lập hồ sơ thuế chính thức cần bổ sung bảng theo từng niên độ để kiểm soát thời hạn chuyển lỗ.</x:v>
      </x:c>
      <x:c r="B29" s="177"/>
      <x:c r="C29" s="177"/>
      <x:c r="D29" s="177"/>
      <x:c r="E29" s="177"/>
      <x:c r="F29" s="177"/>
      <x:c r="G29" s="177"/>
      <x:c r="H29" s="177"/>
      <x:c r="I29" s="177"/>
      <x:c r="J29" s="177"/>
      <x:c r="K29" s="177"/>
      <x:c r="L29" s="177"/>
      <x:c r="M29" s="177"/>
      <x:c r="N29" s="177"/>
      <x:c r="O29" s="177"/>
      <x:c r="P29" s="177"/>
      <x:c r="Q29" s="177"/>
      <x:c r="R29" s="177"/>
      <x:c r="S29" s="177"/>
      <x:c r="T29" s="177"/>
      <x:c r="U29" s="177"/>
      <x:c r="V29" s="177"/>
      <x:c r="W29" s="177"/>
      <x:c r="X29" s="177"/>
      <x:c r="Y29" s="177"/>
      <x:c r="Z29" s="177"/>
      <x:c r="AA29" s="177"/>
      <x:c r="AB29" s="177"/>
      <x:c r="AC29" s="177"/>
      <x:c r="AD29" s="177"/>
      <x:c r="AE29" s="177"/>
      <x:c r="AF29" s="177"/>
    </x:row>
    <x:row r="30">
      <x:c r="A30" s="177"/>
      <x:c r="B30" s="177"/>
      <x:c r="C30" s="177"/>
      <x:c r="D30" s="177"/>
      <x:c r="E30" s="177"/>
      <x:c r="F30" s="177"/>
      <x:c r="G30" s="177"/>
      <x:c r="H30" s="177"/>
      <x:c r="I30" s="177"/>
      <x:c r="J30" s="177"/>
      <x:c r="K30" s="177"/>
      <x:c r="L30" s="177"/>
      <x:c r="M30" s="177"/>
      <x:c r="N30" s="177"/>
      <x:c r="O30" s="177"/>
      <x:c r="P30" s="177"/>
      <x:c r="Q30" s="177"/>
      <x:c r="R30" s="177"/>
      <x:c r="S30" s="177"/>
      <x:c r="T30" s="177"/>
      <x:c r="U30" s="177"/>
      <x:c r="V30" s="177"/>
      <x:c r="W30" s="177"/>
      <x:c r="X30" s="177"/>
      <x:c r="Y30" s="177"/>
      <x:c r="Z30" s="177"/>
      <x:c r="AA30" s="177"/>
      <x:c r="AB30" s="177"/>
      <x:c r="AC30" s="177"/>
      <x:c r="AD30" s="177"/>
      <x:c r="AE30" s="177"/>
      <x:c r="AF30" s="177"/>
    </x:row>
    <x:row r="31" ht="15" hidden="0" customHeight="1">
      <x:c r="A31" s="216"/>
      <x:c r="B31" s="216"/>
      <x:c r="C31" s="209"/>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14:AF14"/>
    <x:mergeCell ref="A29:AF30"/>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DỰ TOÁN KẾT QUẢ KINH DOANH</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Báo cáo lợi nhuận hằng năm từ doanh thu đến lợi nhuận sau thuế.</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BÁO CÁO KẾT QUẢ KINH DOANH</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IS-01</x:v>
      </x:c>
      <x:c r="B11" s="220" t="str">
        <x:v>Tổng doanh thu</x:v>
      </x:c>
      <x:c r="C11" s="150" t="n">
        <x:f>'Energy_Revenue'!C16</x:f>
        <x:v>0</x:v>
      </x:c>
      <x:c r="D11" s="150" t="n">
        <x:f>'Energy_Revenue'!D16</x:f>
        <x:v>0</x:v>
      </x:c>
      <x:c r="E11" s="150" t="n">
        <x:f>'Energy_Revenue'!E16</x:f>
        <x:v>854.972496</x:v>
      </x:c>
      <x:c r="F11" s="150" t="n">
        <x:f>'Energy_Revenue'!F16</x:f>
        <x:v>853.262551008</x:v>
      </x:c>
      <x:c r="G11" s="150" t="n">
        <x:f>'Energy_Revenue'!G16</x:f>
        <x:v>851.5560259059841</x:v>
      </x:c>
      <x:c r="H11" s="150" t="n">
        <x:f>'Energy_Revenue'!H16</x:f>
        <x:v>849.8529138541721</x:v>
      </x:c>
      <x:c r="I11" s="150" t="n">
        <x:f>'Energy_Revenue'!I16</x:f>
        <x:v>848.1532080264637</x:v>
      </x:c>
      <x:c r="J11" s="150" t="n">
        <x:f>'Energy_Revenue'!J16</x:f>
        <x:v>846.4569016104109</x:v>
      </x:c>
      <x:c r="K11" s="150" t="n">
        <x:f>'Energy_Revenue'!K16</x:f>
        <x:v>844.7639878071901</x:v>
      </x:c>
      <x:c r="L11" s="150" t="n">
        <x:f>'Energy_Revenue'!L16</x:f>
        <x:v>843.0744598315756</x:v>
      </x:c>
      <x:c r="M11" s="150" t="n">
        <x:f>'Energy_Revenue'!M16</x:f>
        <x:v>841.3883109119123</x:v>
      </x:c>
      <x:c r="N11" s="150" t="n">
        <x:f>'Energy_Revenue'!N16</x:f>
        <x:v>839.7055342900887</x:v>
      </x:c>
      <x:c r="O11" s="150" t="n">
        <x:f>'Energy_Revenue'!O16</x:f>
        <x:v>838.0261232215084</x:v>
      </x:c>
      <x:c r="P11" s="150" t="n">
        <x:f>'Energy_Revenue'!P16</x:f>
        <x:v>836.3500709750654</x:v>
      </x:c>
      <x:c r="Q11" s="150" t="n">
        <x:f>'Energy_Revenue'!Q16</x:f>
        <x:v>834.6773708331153</x:v>
      </x:c>
      <x:c r="R11" s="150" t="n">
        <x:f>'Energy_Revenue'!R16</x:f>
        <x:v>833.0080160914491</x:v>
      </x:c>
      <x:c r="S11" s="150" t="n">
        <x:f>'Energy_Revenue'!S16</x:f>
        <x:v>831.3420000592661</x:v>
      </x:c>
      <x:c r="T11" s="150" t="n">
        <x:f>'Energy_Revenue'!T16</x:f>
        <x:v>829.6793160591477</x:v>
      </x:c>
      <x:c r="U11" s="150" t="n">
        <x:f>'Energy_Revenue'!U16</x:f>
        <x:v>828.0199574270295</x:v>
      </x:c>
      <x:c r="V11" s="150" t="n">
        <x:f>'Energy_Revenue'!V16</x:f>
        <x:v>826.3639175121752</x:v>
      </x:c>
      <x:c r="W11" s="150" t="n">
        <x:f>'Energy_Revenue'!W16</x:f>
        <x:v>824.7111896771509</x:v>
      </x:c>
      <x:c r="X11" s="150" t="n">
        <x:f>'Energy_Revenue'!X16</x:f>
        <x:v>823.0617672977967</x:v>
      </x:c>
      <x:c r="Y11" s="150" t="n">
        <x:f>'Energy_Revenue'!Y16</x:f>
        <x:v>0</x:v>
      </x:c>
      <x:c r="Z11" s="150" t="n">
        <x:f>'Energy_Revenue'!Z16</x:f>
        <x:v>0</x:v>
      </x:c>
      <x:c r="AA11" s="150" t="n">
        <x:f>'Energy_Revenue'!AA16</x:f>
        <x:v>0</x:v>
      </x:c>
      <x:c r="AB11" s="150" t="n">
        <x:f>'Energy_Revenue'!AB16</x:f>
        <x:v>0</x:v>
      </x:c>
      <x:c r="AC11" s="150" t="n">
        <x:f>'Energy_Revenue'!AC16</x:f>
        <x:v>0</x:v>
      </x:c>
      <x:c r="AD11" s="150" t="n">
        <x:f>'Energy_Revenue'!AD16</x:f>
        <x:v>0</x:v>
      </x:c>
      <x:c r="AE11" s="150" t="n">
        <x:f>'Energy_Revenue'!AE16</x:f>
        <x:v>0</x:v>
      </x:c>
      <x:c r="AF11" s="150" t="n">
        <x:f>'Energy_Revenue'!AF16</x:f>
        <x:v>0</x:v>
      </x:c>
    </x:row>
    <x:row r="12" ht="15" hidden="0" customHeight="1">
      <x:c r="A12" s="219" t="str">
        <x:v>IS-02</x:v>
      </x:c>
      <x:c r="B12" s="219" t="str">
        <x:v>Chi phí O&amp;M</x:v>
      </x:c>
      <x:c r="C12" s="153" t="n">
        <x:f>'Energy_Revenue'!C19</x:f>
        <x:v>0</x:v>
      </x:c>
      <x:c r="D12" s="153" t="n">
        <x:f>'Energy_Revenue'!D19</x:f>
        <x:v>0</x:v>
      </x:c>
      <x:c r="E12" s="153" t="n">
        <x:f>'Energy_Revenue'!E19</x:f>
        <x:v>111.6</x:v>
      </x:c>
      <x:c r="F12" s="153" t="n">
        <x:f>'Energy_Revenue'!F19</x:f>
        <x:v>114.948</x:v>
      </x:c>
      <x:c r="G12" s="153" t="n">
        <x:f>'Energy_Revenue'!G19</x:f>
        <x:v>118.39643999999998</x:v>
      </x:c>
      <x:c r="H12" s="153" t="n">
        <x:f>'Energy_Revenue'!H19</x:f>
        <x:v>121.9483332</x:v>
      </x:c>
      <x:c r="I12" s="153" t="n">
        <x:f>'Energy_Revenue'!I19</x:f>
        <x:v>125.60678319600001</x:v>
      </x:c>
      <x:c r="J12" s="153" t="n">
        <x:f>'Energy_Revenue'!J19</x:f>
        <x:v>129.37498669188</x:v>
      </x:c>
      <x:c r="K12" s="153" t="n">
        <x:f>'Energy_Revenue'!K19</x:f>
        <x:v>133.2562362926364</x:v>
      </x:c>
      <x:c r="L12" s="153" t="n">
        <x:f>'Energy_Revenue'!L19</x:f>
        <x:v>137.25392338141552</x:v>
      </x:c>
      <x:c r="M12" s="153" t="n">
        <x:f>'Energy_Revenue'!M19</x:f>
        <x:v>141.371541082858</x:v>
      </x:c>
      <x:c r="N12" s="153" t="n">
        <x:f>'Energy_Revenue'!N19</x:f>
        <x:v>145.61268731534372</x:v>
      </x:c>
      <x:c r="O12" s="153" t="n">
        <x:f>'Energy_Revenue'!O19</x:f>
        <x:v>149.98106793480403</x:v>
      </x:c>
      <x:c r="P12" s="153" t="n">
        <x:f>'Energy_Revenue'!P19</x:f>
        <x:v>154.48049997284815</x:v>
      </x:c>
      <x:c r="Q12" s="153" t="n">
        <x:f>'Energy_Revenue'!Q19</x:f>
        <x:v>159.1149149720336</x:v>
      </x:c>
      <x:c r="R12" s="153" t="n">
        <x:f>'Energy_Revenue'!R19</x:f>
        <x:v>163.8883624211946</x:v>
      </x:c>
      <x:c r="S12" s="153" t="n">
        <x:f>'Energy_Revenue'!S19</x:f>
        <x:v>168.80501329383048</x:v>
      </x:c>
      <x:c r="T12" s="153" t="n">
        <x:f>'Energy_Revenue'!T19</x:f>
        <x:v>173.86916369264537</x:v>
      </x:c>
      <x:c r="U12" s="153" t="n">
        <x:f>'Energy_Revenue'!U19</x:f>
        <x:v>179.08523860342476</x:v>
      </x:c>
      <x:c r="V12" s="153" t="n">
        <x:f>'Energy_Revenue'!V19</x:f>
        <x:v>184.45779576152748</x:v>
      </x:c>
      <x:c r="W12" s="153" t="n">
        <x:f>'Energy_Revenue'!W19</x:f>
        <x:v>189.99152963437334</x:v>
      </x:c>
      <x:c r="X12" s="153" t="n">
        <x:f>'Energy_Revenue'!X19</x:f>
        <x:v>195.69127552340453</x:v>
      </x:c>
      <x:c r="Y12" s="153" t="n">
        <x:f>'Energy_Revenue'!Y19</x:f>
        <x:v>0</x:v>
      </x:c>
      <x:c r="Z12" s="153" t="n">
        <x:f>'Energy_Revenue'!Z19</x:f>
        <x:v>0</x:v>
      </x:c>
      <x:c r="AA12" s="153" t="n">
        <x:f>'Energy_Revenue'!AA19</x:f>
        <x:v>0</x:v>
      </x:c>
      <x:c r="AB12" s="153" t="n">
        <x:f>'Energy_Revenue'!AB19</x:f>
        <x:v>0</x:v>
      </x:c>
      <x:c r="AC12" s="153" t="n">
        <x:f>'Energy_Revenue'!AC19</x:f>
        <x:v>0</x:v>
      </x:c>
      <x:c r="AD12" s="153" t="n">
        <x:f>'Energy_Revenue'!AD19</x:f>
        <x:v>0</x:v>
      </x:c>
      <x:c r="AE12" s="153" t="n">
        <x:f>'Energy_Revenue'!AE19</x:f>
        <x:v>0</x:v>
      </x:c>
      <x:c r="AF12" s="153" t="n">
        <x:f>'Energy_Revenue'!AF19</x:f>
        <x:v>0</x:v>
      </x:c>
    </x:row>
    <x:row r="13" ht="15" hidden="0" customHeight="1">
      <x:c r="A13" s="219" t="str">
        <x:v>IS-03</x:v>
      </x:c>
      <x:c r="B13" s="220" t="str">
        <x:v>EBITDA</x:v>
      </x:c>
      <x:c r="C13" s="150" t="n">
        <x:f>C11-C12</x:f>
        <x:v>0</x:v>
      </x:c>
      <x:c r="D13" s="150" t="n">
        <x:f>D11-D12</x:f>
        <x:v>0</x:v>
      </x:c>
      <x:c r="E13" s="150" t="n">
        <x:f>E11-E12</x:f>
        <x:v>743.372496</x:v>
      </x:c>
      <x:c r="F13" s="150" t="n">
        <x:f>F11-F12</x:f>
        <x:v>738.314551008</x:v>
      </x:c>
      <x:c r="G13" s="150" t="n">
        <x:f>G11-G12</x:f>
        <x:v>733.1595859059842</x:v>
      </x:c>
      <x:c r="H13" s="150" t="n">
        <x:f>H11-H12</x:f>
        <x:v>727.9045806541722</x:v>
      </x:c>
      <x:c r="I13" s="150" t="n">
        <x:f>I11-I12</x:f>
        <x:v>722.5464248304637</x:v>
      </x:c>
      <x:c r="J13" s="150" t="n">
        <x:f>J11-J12</x:f>
        <x:v>717.0819149185309</x:v>
      </x:c>
      <x:c r="K13" s="150" t="n">
        <x:f>K11-K12</x:f>
        <x:v>711.5077515145538</x:v>
      </x:c>
      <x:c r="L13" s="150" t="n">
        <x:f>L11-L12</x:f>
        <x:v>705.82053645016</x:v>
      </x:c>
      <x:c r="M13" s="150" t="n">
        <x:f>M11-M12</x:f>
        <x:v>700.0167698290543</x:v>
      </x:c>
      <x:c r="N13" s="150" t="n">
        <x:f>N11-N12</x:f>
        <x:v>694.092846974745</x:v>
      </x:c>
      <x:c r="O13" s="150" t="n">
        <x:f>O11-O12</x:f>
        <x:v>688.0450552867044</x:v>
      </x:c>
      <x:c r="P13" s="150" t="n">
        <x:f>P11-P12</x:f>
        <x:v>681.8695710022172</x:v>
      </x:c>
      <x:c r="Q13" s="150" t="n">
        <x:f>Q11-Q12</x:f>
        <x:v>675.5624558610817</x:v>
      </x:c>
      <x:c r="R13" s="150" t="n">
        <x:f>R11-R12</x:f>
        <x:v>669.1196536702545</x:v>
      </x:c>
      <x:c r="S13" s="150" t="n">
        <x:f>S11-S12</x:f>
        <x:v>662.5369867654356</x:v>
      </x:c>
      <x:c r="T13" s="150" t="n">
        <x:f>T11-T12</x:f>
        <x:v>655.8101523665023</x:v>
      </x:c>
      <x:c r="U13" s="150" t="n">
        <x:f>U11-U12</x:f>
        <x:v>648.9347188236047</x:v>
      </x:c>
      <x:c r="V13" s="150" t="n">
        <x:f>V11-V12</x:f>
        <x:v>641.9061217506478</x:v>
      </x:c>
      <x:c r="W13" s="150" t="n">
        <x:f>W11-W12</x:f>
        <x:v>634.7196600427775</x:v>
      </x:c>
      <x:c r="X13" s="150" t="n">
        <x:f>X11-X12</x:f>
        <x:v>627.3704917743921</x:v>
      </x:c>
      <x:c r="Y13" s="150" t="n">
        <x:f>Y11-Y12</x:f>
        <x:v>0</x:v>
      </x:c>
      <x:c r="Z13" s="150" t="n">
        <x:f>Z11-Z12</x:f>
        <x:v>0</x:v>
      </x:c>
      <x:c r="AA13" s="150" t="n">
        <x:f>AA11-AA12</x:f>
        <x:v>0</x:v>
      </x:c>
      <x:c r="AB13" s="150" t="n">
        <x:f>AB11-AB12</x:f>
        <x:v>0</x:v>
      </x:c>
      <x:c r="AC13" s="150" t="n">
        <x:f>AC11-AC12</x:f>
        <x:v>0</x:v>
      </x:c>
      <x:c r="AD13" s="150" t="n">
        <x:f>AD11-AD12</x:f>
        <x:v>0</x:v>
      </x:c>
      <x:c r="AE13" s="150" t="n">
        <x:f>AE11-AE12</x:f>
        <x:v>0</x:v>
      </x:c>
      <x:c r="AF13" s="150" t="n">
        <x:f>AF11-AF12</x:f>
        <x:v>0</x:v>
      </x:c>
    </x:row>
    <x:row r="14" ht="15" hidden="0" customHeight="1">
      <x:c r="A14" s="219" t="str">
        <x:v>IS-04</x:v>
      </x:c>
      <x:c r="B14" s="219" t="str">
        <x:v>Khấu hao</x:v>
      </x:c>
      <x:c r="C14" s="153" t="n">
        <x:f>'Dep_Tax'!C12</x:f>
        <x:v>0</x:v>
      </x:c>
      <x:c r="D14" s="153" t="n">
        <x:f>'Dep_Tax'!D12</x:f>
        <x:v>0</x:v>
      </x:c>
      <x:c r="E14" s="153" t="n">
        <x:f>'Dep_Tax'!E12</x:f>
        <x:v>296.577</x:v>
      </x:c>
      <x:c r="F14" s="153" t="n">
        <x:f>'Dep_Tax'!F12</x:f>
        <x:v>296.577</x:v>
      </x:c>
      <x:c r="G14" s="153" t="n">
        <x:f>'Dep_Tax'!G12</x:f>
        <x:v>296.577</x:v>
      </x:c>
      <x:c r="H14" s="153" t="n">
        <x:f>'Dep_Tax'!H12</x:f>
        <x:v>296.577</x:v>
      </x:c>
      <x:c r="I14" s="153" t="n">
        <x:f>'Dep_Tax'!I12</x:f>
        <x:v>296.577</x:v>
      </x:c>
      <x:c r="J14" s="153" t="n">
        <x:f>'Dep_Tax'!J12</x:f>
        <x:v>296.577</x:v>
      </x:c>
      <x:c r="K14" s="153" t="n">
        <x:f>'Dep_Tax'!K12</x:f>
        <x:v>296.577</x:v>
      </x:c>
      <x:c r="L14" s="153" t="n">
        <x:f>'Dep_Tax'!L12</x:f>
        <x:v>296.577</x:v>
      </x:c>
      <x:c r="M14" s="153" t="n">
        <x:f>'Dep_Tax'!M12</x:f>
        <x:v>296.577</x:v>
      </x:c>
      <x:c r="N14" s="153" t="n">
        <x:f>'Dep_Tax'!N12</x:f>
        <x:v>296.577</x:v>
      </x:c>
      <x:c r="O14" s="153" t="n">
        <x:f>'Dep_Tax'!O12</x:f>
        <x:v>296.577</x:v>
      </x:c>
      <x:c r="P14" s="153" t="n">
        <x:f>'Dep_Tax'!P12</x:f>
        <x:v>296.577</x:v>
      </x:c>
      <x:c r="Q14" s="153" t="n">
        <x:f>'Dep_Tax'!Q12</x:f>
        <x:v>296.577</x:v>
      </x:c>
      <x:c r="R14" s="153" t="n">
        <x:f>'Dep_Tax'!R12</x:f>
        <x:v>296.577</x:v>
      </x:c>
      <x:c r="S14" s="153" t="n">
        <x:f>'Dep_Tax'!S12</x:f>
        <x:v>296.577</x:v>
      </x:c>
      <x:c r="T14" s="153" t="n">
        <x:f>'Dep_Tax'!T12</x:f>
        <x:v>296.577</x:v>
      </x:c>
      <x:c r="U14" s="153" t="n">
        <x:f>'Dep_Tax'!U12</x:f>
        <x:v>296.577</x:v>
      </x:c>
      <x:c r="V14" s="153" t="n">
        <x:f>'Dep_Tax'!V12</x:f>
        <x:v>296.577</x:v>
      </x:c>
      <x:c r="W14" s="153" t="n">
        <x:f>'Dep_Tax'!W12</x:f>
        <x:v>296.577</x:v>
      </x:c>
      <x:c r="X14" s="153" t="n">
        <x:f>'Dep_Tax'!X12</x:f>
        <x:v>296.577</x:v>
      </x:c>
      <x:c r="Y14" s="153" t="n">
        <x:f>'Dep_Tax'!Y12</x:f>
        <x:v>0</x:v>
      </x:c>
      <x:c r="Z14" s="153" t="n">
        <x:f>'Dep_Tax'!Z12</x:f>
        <x:v>0</x:v>
      </x:c>
      <x:c r="AA14" s="153" t="n">
        <x:f>'Dep_Tax'!AA12</x:f>
        <x:v>0</x:v>
      </x:c>
      <x:c r="AB14" s="153" t="n">
        <x:f>'Dep_Tax'!AB12</x:f>
        <x:v>0</x:v>
      </x:c>
      <x:c r="AC14" s="153" t="n">
        <x:f>'Dep_Tax'!AC12</x:f>
        <x:v>0</x:v>
      </x:c>
      <x:c r="AD14" s="153" t="n">
        <x:f>'Dep_Tax'!AD12</x:f>
        <x:v>0</x:v>
      </x:c>
      <x:c r="AE14" s="153" t="n">
        <x:f>'Dep_Tax'!AE12</x:f>
        <x:v>0</x:v>
      </x:c>
      <x:c r="AF14" s="153" t="n">
        <x:f>'Dep_Tax'!AF12</x:f>
        <x:v>0</x:v>
      </x:c>
    </x:row>
    <x:row r="15" ht="15" hidden="0" customHeight="1">
      <x:c r="A15" s="219" t="str">
        <x:v>IS-05</x:v>
      </x:c>
      <x:c r="B15" s="220" t="str">
        <x:v>EBIT</x:v>
      </x:c>
      <x:c r="C15" s="150" t="n">
        <x:f>C13-C14</x:f>
        <x:v>0</x:v>
      </x:c>
      <x:c r="D15" s="150" t="n">
        <x:f>D13-D14</x:f>
        <x:v>0</x:v>
      </x:c>
      <x:c r="E15" s="150" t="n">
        <x:f>E13-E14</x:f>
        <x:v>446.79549599999996</x:v>
      </x:c>
      <x:c r="F15" s="150" t="n">
        <x:f>F13-F14</x:f>
        <x:v>441.73755100799997</x:v>
      </x:c>
      <x:c r="G15" s="150" t="n">
        <x:f>G13-G14</x:f>
        <x:v>436.58258590598416</x:v>
      </x:c>
      <x:c r="H15" s="150" t="n">
        <x:f>H13-H14</x:f>
        <x:v>431.32758065417215</x:v>
      </x:c>
      <x:c r="I15" s="150" t="n">
        <x:f>I13-I14</x:f>
        <x:v>425.9694248304637</x:v>
      </x:c>
      <x:c r="J15" s="150" t="n">
        <x:f>J13-J14</x:f>
        <x:v>420.50491491853086</x:v>
      </x:c>
      <x:c r="K15" s="150" t="n">
        <x:f>K13-K14</x:f>
        <x:v>414.9307515145538</x:v>
      </x:c>
      <x:c r="L15" s="150" t="n">
        <x:f>L13-L14</x:f>
        <x:v>409.24353645016004</x:v>
      </x:c>
      <x:c r="M15" s="150" t="n">
        <x:f>M13-M14</x:f>
        <x:v>403.4397698290543</x:v>
      </x:c>
      <x:c r="N15" s="150" t="n">
        <x:f>N13-N14</x:f>
        <x:v>397.51584697474505</x:v>
      </x:c>
      <x:c r="O15" s="150" t="n">
        <x:f>O13-O14</x:f>
        <x:v>391.4680552867044</x:v>
      </x:c>
      <x:c r="P15" s="150" t="n">
        <x:f>P13-P14</x:f>
        <x:v>385.2925710022172</x:v>
      </x:c>
      <x:c r="Q15" s="150" t="n">
        <x:f>Q13-Q14</x:f>
        <x:v>378.98545586108173</x:v>
      </x:c>
      <x:c r="R15" s="150" t="n">
        <x:f>R13-R14</x:f>
        <x:v>372.5426536702545</x:v>
      </x:c>
      <x:c r="S15" s="150" t="n">
        <x:f>S13-S14</x:f>
        <x:v>365.9599867654356</x:v>
      </x:c>
      <x:c r="T15" s="150" t="n">
        <x:f>T13-T14</x:f>
        <x:v>359.2331523665023</x:v>
      </x:c>
      <x:c r="U15" s="150" t="n">
        <x:f>U13-U14</x:f>
        <x:v>352.3577188236047</x:v>
      </x:c>
      <x:c r="V15" s="150" t="n">
        <x:f>V13-V14</x:f>
        <x:v>345.3291217506478</x:v>
      </x:c>
      <x:c r="W15" s="150" t="n">
        <x:f>W13-W14</x:f>
        <x:v>338.1426600427775</x:v>
      </x:c>
      <x:c r="X15" s="150" t="n">
        <x:f>X13-X14</x:f>
        <x:v>330.7934917743921</x:v>
      </x:c>
      <x:c r="Y15" s="150" t="n">
        <x:f>Y13-Y14</x:f>
        <x:v>0</x:v>
      </x:c>
      <x:c r="Z15" s="150" t="n">
        <x:f>Z13-Z14</x:f>
        <x:v>0</x:v>
      </x:c>
      <x:c r="AA15" s="150" t="n">
        <x:f>AA13-AA14</x:f>
        <x:v>0</x:v>
      </x:c>
      <x:c r="AB15" s="150" t="n">
        <x:f>AB13-AB14</x:f>
        <x:v>0</x:v>
      </x:c>
      <x:c r="AC15" s="150" t="n">
        <x:f>AC13-AC14</x:f>
        <x:v>0</x:v>
      </x:c>
      <x:c r="AD15" s="150" t="n">
        <x:f>AD13-AD14</x:f>
        <x:v>0</x:v>
      </x:c>
      <x:c r="AE15" s="150" t="n">
        <x:f>AE13-AE14</x:f>
        <x:v>0</x:v>
      </x:c>
      <x:c r="AF15" s="150" t="n">
        <x:f>AF13-AF14</x:f>
        <x:v>0</x:v>
      </x:c>
    </x:row>
    <x:row r="16" ht="15" hidden="0" customHeight="1">
      <x:c r="A16" s="219" t="str">
        <x:v>IS-06</x:v>
      </x:c>
      <x:c r="B16" s="219" t="str">
        <x:v>Chi phí lãi vay</x:v>
      </x:c>
      <x:c r="C16" s="153" t="n">
        <x:f>'Dep_Tax'!C17</x:f>
        <x:v>0</x:v>
      </x:c>
      <x:c r="D16" s="153" t="n">
        <x:f>'Dep_Tax'!D17</x:f>
        <x:v>0</x:v>
      </x:c>
      <x:c r="E16" s="153" t="n">
        <x:f>'Dep_Tax'!E17</x:f>
        <x:v>390.6</x:v>
      </x:c>
      <x:c r="F16" s="153" t="n">
        <x:f>'Dep_Tax'!F17</x:f>
        <x:v>358.05</x:v>
      </x:c>
      <x:c r="G16" s="153" t="n">
        <x:f>'Dep_Tax'!G17</x:f>
        <x:v>325.5</x:v>
      </x:c>
      <x:c r="H16" s="153" t="n">
        <x:f>'Dep_Tax'!H17</x:f>
        <x:v>292.95</x:v>
      </x:c>
      <x:c r="I16" s="153" t="n">
        <x:f>'Dep_Tax'!I17</x:f>
        <x:v>260.40000000000003</x:v>
      </x:c>
      <x:c r="J16" s="153" t="n">
        <x:f>'Dep_Tax'!J17</x:f>
        <x:v>227.85000000000002</x:v>
      </x:c>
      <x:c r="K16" s="153" t="n">
        <x:f>'Dep_Tax'!K17</x:f>
        <x:v>195.3</x:v>
      </x:c>
      <x:c r="L16" s="153" t="n">
        <x:f>'Dep_Tax'!L17</x:f>
        <x:v>162.75</x:v>
      </x:c>
      <x:c r="M16" s="153" t="n">
        <x:f>'Dep_Tax'!M17</x:f>
        <x:v>130.20000000000002</x:v>
      </x:c>
      <x:c r="N16" s="153" t="n">
        <x:f>'Dep_Tax'!N17</x:f>
        <x:v>97.65</x:v>
      </x:c>
      <x:c r="O16" s="153" t="n">
        <x:f>'Dep_Tax'!O17</x:f>
        <x:v>65.10000000000001</x:v>
      </x:c>
      <x:c r="P16" s="153" t="n">
        <x:f>'Dep_Tax'!P17</x:f>
        <x:v>32.550000000000004</x:v>
      </x:c>
      <x:c r="Q16" s="153" t="n">
        <x:f>'Dep_Tax'!Q17</x:f>
        <x:v>1.1368683772161604e-14</x:v>
      </x:c>
      <x:c r="R16" s="153" t="n">
        <x:f>'Dep_Tax'!R17</x:f>
        <x:v>1.1368683772161604e-14</x:v>
      </x:c>
      <x:c r="S16" s="153" t="n">
        <x:f>'Dep_Tax'!S17</x:f>
        <x:v>1.1368683772161604e-14</x:v>
      </x:c>
      <x:c r="T16" s="153" t="n">
        <x:f>'Dep_Tax'!T17</x:f>
        <x:v>1.1368683772161604e-14</x:v>
      </x:c>
      <x:c r="U16" s="153" t="n">
        <x:f>'Dep_Tax'!U17</x:f>
        <x:v>1.1368683772161604e-14</x:v>
      </x:c>
      <x:c r="V16" s="153" t="n">
        <x:f>'Dep_Tax'!V17</x:f>
        <x:v>1.1368683772161604e-14</x:v>
      </x:c>
      <x:c r="W16" s="153" t="n">
        <x:f>'Dep_Tax'!W17</x:f>
        <x:v>1.1368683772161604e-14</x:v>
      </x:c>
      <x:c r="X16" s="153" t="n">
        <x:f>'Dep_Tax'!X17</x:f>
        <x:v>1.1368683772161604e-14</x:v>
      </x:c>
      <x:c r="Y16" s="153" t="n">
        <x:f>'Dep_Tax'!Y17</x:f>
        <x:v>0</x:v>
      </x:c>
      <x:c r="Z16" s="153" t="n">
        <x:f>'Dep_Tax'!Z17</x:f>
        <x:v>0</x:v>
      </x:c>
      <x:c r="AA16" s="153" t="n">
        <x:f>'Dep_Tax'!AA17</x:f>
        <x:v>0</x:v>
      </x:c>
      <x:c r="AB16" s="153" t="n">
        <x:f>'Dep_Tax'!AB17</x:f>
        <x:v>0</x:v>
      </x:c>
      <x:c r="AC16" s="153" t="n">
        <x:f>'Dep_Tax'!AC17</x:f>
        <x:v>0</x:v>
      </x:c>
      <x:c r="AD16" s="153" t="n">
        <x:f>'Dep_Tax'!AD17</x:f>
        <x:v>0</x:v>
      </x:c>
      <x:c r="AE16" s="153" t="n">
        <x:f>'Dep_Tax'!AE17</x:f>
        <x:v>0</x:v>
      </x:c>
      <x:c r="AF16" s="153" t="n">
        <x:f>'Dep_Tax'!AF17</x:f>
        <x:v>0</x:v>
      </x:c>
    </x:row>
    <x:row r="17" ht="15" hidden="0" customHeight="1">
      <x:c r="A17" s="219" t="str">
        <x:v>IS-07</x:v>
      </x:c>
      <x:c r="B17" s="220" t="str">
        <x:v>Lợi nhuận trước thuế</x:v>
      </x:c>
      <x:c r="C17" s="150" t="n">
        <x:f>C15-C16</x:f>
        <x:v>0</x:v>
      </x:c>
      <x:c r="D17" s="150" t="n">
        <x:f>D15-D16</x:f>
        <x:v>0</x:v>
      </x:c>
      <x:c r="E17" s="150" t="n">
        <x:f>E15-E16</x:f>
        <x:v>56.195495999999935</x:v>
      </x:c>
      <x:c r="F17" s="150" t="n">
        <x:f>F15-F16</x:f>
        <x:v>83.68755100799996</x:v>
      </x:c>
      <x:c r="G17" s="150" t="n">
        <x:f>G15-G16</x:f>
        <x:v>111.08258590598416</x:v>
      </x:c>
      <x:c r="H17" s="150" t="n">
        <x:f>H15-H16</x:f>
        <x:v>138.37758065417216</x:v>
      </x:c>
      <x:c r="I17" s="150" t="n">
        <x:f>I15-I16</x:f>
        <x:v>165.56942483046367</x:v>
      </x:c>
      <x:c r="J17" s="150" t="n">
        <x:f>J15-J16</x:f>
        <x:v>192.65491491853084</x:v>
      </x:c>
      <x:c r="K17" s="150" t="n">
        <x:f>K15-K16</x:f>
        <x:v>219.63075151455376</x:v>
      </x:c>
      <x:c r="L17" s="150" t="n">
        <x:f>L15-L16</x:f>
        <x:v>246.49353645016004</x:v>
      </x:c>
      <x:c r="M17" s="150" t="n">
        <x:f>M15-M16</x:f>
        <x:v>273.23976982905424</x:v>
      </x:c>
      <x:c r="N17" s="150" t="n">
        <x:f>N15-N16</x:f>
        <x:v>299.86584697474507</x:v>
      </x:c>
      <x:c r="O17" s="150" t="n">
        <x:f>O15-O16</x:f>
        <x:v>326.36805528670436</x:v>
      </x:c>
      <x:c r="P17" s="150" t="n">
        <x:f>P15-P16</x:f>
        <x:v>352.7425710022172</x:v>
      </x:c>
      <x:c r="Q17" s="150" t="n">
        <x:f>Q15-Q16</x:f>
        <x:v>378.98545586108173</x:v>
      </x:c>
      <x:c r="R17" s="150" t="n">
        <x:f>R15-R16</x:f>
        <x:v>372.5426536702545</x:v>
      </x:c>
      <x:c r="S17" s="150" t="n">
        <x:f>S15-S16</x:f>
        <x:v>365.9599867654356</x:v>
      </x:c>
      <x:c r="T17" s="150" t="n">
        <x:f>T15-T16</x:f>
        <x:v>359.2331523665023</x:v>
      </x:c>
      <x:c r="U17" s="150" t="n">
        <x:f>U15-U16</x:f>
        <x:v>352.3577188236047</x:v>
      </x:c>
      <x:c r="V17" s="150" t="n">
        <x:f>V15-V16</x:f>
        <x:v>345.3291217506478</x:v>
      </x:c>
      <x:c r="W17" s="150" t="n">
        <x:f>W15-W16</x:f>
        <x:v>338.1426600427775</x:v>
      </x:c>
      <x:c r="X17" s="150" t="n">
        <x:f>X15-X16</x:f>
        <x:v>330.7934917743921</x:v>
      </x:c>
      <x:c r="Y17" s="150" t="n">
        <x:f>Y15-Y16</x:f>
        <x:v>0</x:v>
      </x:c>
      <x:c r="Z17" s="150" t="n">
        <x:f>Z15-Z16</x:f>
        <x:v>0</x:v>
      </x:c>
      <x:c r="AA17" s="150" t="n">
        <x:f>AA15-AA16</x:f>
        <x:v>0</x:v>
      </x:c>
      <x:c r="AB17" s="150" t="n">
        <x:f>AB15-AB16</x:f>
        <x:v>0</x:v>
      </x:c>
      <x:c r="AC17" s="150" t="n">
        <x:f>AC15-AC16</x:f>
        <x:v>0</x:v>
      </x:c>
      <x:c r="AD17" s="150" t="n">
        <x:f>AD15-AD16</x:f>
        <x:v>0</x:v>
      </x:c>
      <x:c r="AE17" s="150" t="n">
        <x:f>AE15-AE16</x:f>
        <x:v>0</x:v>
      </x:c>
      <x:c r="AF17" s="150" t="n">
        <x:f>AF15-AF16</x:f>
        <x:v>0</x:v>
      </x:c>
    </x:row>
    <x:row r="18" ht="15" hidden="0" customHeight="1">
      <x:c r="A18" s="219" t="str">
        <x:v>IS-08</x:v>
      </x:c>
      <x:c r="B18" s="219" t="str">
        <x:v>Lỗ được sử dụng</x:v>
      </x:c>
      <x:c r="C18" s="153" t="n">
        <x:f>'Dep_Tax'!C21</x:f>
        <x:v>0</x:v>
      </x:c>
      <x:c r="D18" s="153" t="n">
        <x:f>'Dep_Tax'!D21</x:f>
        <x:v>0</x:v>
      </x:c>
      <x:c r="E18" s="153" t="n">
        <x:f>'Dep_Tax'!E21</x:f>
        <x:v>0</x:v>
      </x:c>
      <x:c r="F18" s="153" t="n">
        <x:f>'Dep_Tax'!F21</x:f>
        <x:v>0</x:v>
      </x:c>
      <x:c r="G18" s="153" t="n">
        <x:f>'Dep_Tax'!G21</x:f>
        <x:v>0</x:v>
      </x:c>
      <x:c r="H18" s="153" t="n">
        <x:f>'Dep_Tax'!H21</x:f>
        <x:v>0</x:v>
      </x:c>
      <x:c r="I18" s="153" t="n">
        <x:f>'Dep_Tax'!I21</x:f>
        <x:v>0</x:v>
      </x:c>
      <x:c r="J18" s="153" t="n">
        <x:f>'Dep_Tax'!J21</x:f>
        <x:v>0</x:v>
      </x:c>
      <x:c r="K18" s="153" t="n">
        <x:f>'Dep_Tax'!K21</x:f>
        <x:v>0</x:v>
      </x:c>
      <x:c r="L18" s="153" t="n">
        <x:f>'Dep_Tax'!L21</x:f>
        <x:v>0</x:v>
      </x:c>
      <x:c r="M18" s="153" t="n">
        <x:f>'Dep_Tax'!M21</x:f>
        <x:v>0</x:v>
      </x:c>
      <x:c r="N18" s="153" t="n">
        <x:f>'Dep_Tax'!N21</x:f>
        <x:v>0</x:v>
      </x:c>
      <x:c r="O18" s="153" t="n">
        <x:f>'Dep_Tax'!O21</x:f>
        <x:v>0</x:v>
      </x:c>
      <x:c r="P18" s="153" t="n">
        <x:f>'Dep_Tax'!P21</x:f>
        <x:v>0</x:v>
      </x:c>
      <x:c r="Q18" s="153" t="n">
        <x:f>'Dep_Tax'!Q21</x:f>
        <x:v>0</x:v>
      </x:c>
      <x:c r="R18" s="153" t="n">
        <x:f>'Dep_Tax'!R21</x:f>
        <x:v>0</x:v>
      </x:c>
      <x:c r="S18" s="153" t="n">
        <x:f>'Dep_Tax'!S21</x:f>
        <x:v>0</x:v>
      </x:c>
      <x:c r="T18" s="153" t="n">
        <x:f>'Dep_Tax'!T21</x:f>
        <x:v>0</x:v>
      </x:c>
      <x:c r="U18" s="153" t="n">
        <x:f>'Dep_Tax'!U21</x:f>
        <x:v>0</x:v>
      </x:c>
      <x:c r="V18" s="153" t="n">
        <x:f>'Dep_Tax'!V21</x:f>
        <x:v>0</x:v>
      </x:c>
      <x:c r="W18" s="153" t="n">
        <x:f>'Dep_Tax'!W21</x:f>
        <x:v>0</x:v>
      </x:c>
      <x:c r="X18" s="153" t="n">
        <x:f>'Dep_Tax'!X21</x:f>
        <x:v>0</x:v>
      </x:c>
      <x:c r="Y18" s="153" t="n">
        <x:f>'Dep_Tax'!Y21</x:f>
        <x:v>0</x:v>
      </x:c>
      <x:c r="Z18" s="153" t="n">
        <x:f>'Dep_Tax'!Z21</x:f>
        <x:v>0</x:v>
      </x:c>
      <x:c r="AA18" s="153" t="n">
        <x:f>'Dep_Tax'!AA21</x:f>
        <x:v>0</x:v>
      </x:c>
      <x:c r="AB18" s="153" t="n">
        <x:f>'Dep_Tax'!AB21</x:f>
        <x:v>0</x:v>
      </x:c>
      <x:c r="AC18" s="153" t="n">
        <x:f>'Dep_Tax'!AC21</x:f>
        <x:v>0</x:v>
      </x:c>
      <x:c r="AD18" s="153" t="n">
        <x:f>'Dep_Tax'!AD21</x:f>
        <x:v>0</x:v>
      </x:c>
      <x:c r="AE18" s="153" t="n">
        <x:f>'Dep_Tax'!AE21</x:f>
        <x:v>0</x:v>
      </x:c>
      <x:c r="AF18" s="153" t="n">
        <x:f>'Dep_Tax'!AF21</x:f>
        <x:v>0</x:v>
      </x:c>
    </x:row>
    <x:row r="19" ht="15" hidden="0" customHeight="1">
      <x:c r="A19" s="219" t="str">
        <x:v>IS-09</x:v>
      </x:c>
      <x:c r="B19" s="219" t="str">
        <x:v>Thu nhập tính thuế</x:v>
      </x:c>
      <x:c r="C19" s="153" t="n">
        <x:f>'Dep_Tax'!C23</x:f>
        <x:v>0</x:v>
      </x:c>
      <x:c r="D19" s="153" t="n">
        <x:f>'Dep_Tax'!D23</x:f>
        <x:v>0</x:v>
      </x:c>
      <x:c r="E19" s="153" t="n">
        <x:f>'Dep_Tax'!E23</x:f>
        <x:v>56.195495999999935</x:v>
      </x:c>
      <x:c r="F19" s="153" t="n">
        <x:f>'Dep_Tax'!F23</x:f>
        <x:v>83.68755100799996</x:v>
      </x:c>
      <x:c r="G19" s="153" t="n">
        <x:f>'Dep_Tax'!G23</x:f>
        <x:v>111.08258590598416</x:v>
      </x:c>
      <x:c r="H19" s="153" t="n">
        <x:f>'Dep_Tax'!H23</x:f>
        <x:v>138.37758065417216</x:v>
      </x:c>
      <x:c r="I19" s="153" t="n">
        <x:f>'Dep_Tax'!I23</x:f>
        <x:v>165.56942483046367</x:v>
      </x:c>
      <x:c r="J19" s="153" t="n">
        <x:f>'Dep_Tax'!J23</x:f>
        <x:v>192.65491491853084</x:v>
      </x:c>
      <x:c r="K19" s="153" t="n">
        <x:f>'Dep_Tax'!K23</x:f>
        <x:v>219.63075151455376</x:v>
      </x:c>
      <x:c r="L19" s="153" t="n">
        <x:f>'Dep_Tax'!L23</x:f>
        <x:v>246.49353645016004</x:v>
      </x:c>
      <x:c r="M19" s="153" t="n">
        <x:f>'Dep_Tax'!M23</x:f>
        <x:v>273.23976982905424</x:v>
      </x:c>
      <x:c r="N19" s="153" t="n">
        <x:f>'Dep_Tax'!N23</x:f>
        <x:v>299.86584697474507</x:v>
      </x:c>
      <x:c r="O19" s="153" t="n">
        <x:f>'Dep_Tax'!O23</x:f>
        <x:v>326.36805528670436</x:v>
      </x:c>
      <x:c r="P19" s="153" t="n">
        <x:f>'Dep_Tax'!P23</x:f>
        <x:v>352.7425710022172</x:v>
      </x:c>
      <x:c r="Q19" s="153" t="n">
        <x:f>'Dep_Tax'!Q23</x:f>
        <x:v>378.98545586108173</x:v>
      </x:c>
      <x:c r="R19" s="153" t="n">
        <x:f>'Dep_Tax'!R23</x:f>
        <x:v>372.5426536702545</x:v>
      </x:c>
      <x:c r="S19" s="153" t="n">
        <x:f>'Dep_Tax'!S23</x:f>
        <x:v>365.9599867654356</x:v>
      </x:c>
      <x:c r="T19" s="153" t="n">
        <x:f>'Dep_Tax'!T23</x:f>
        <x:v>359.2331523665023</x:v>
      </x:c>
      <x:c r="U19" s="153" t="n">
        <x:f>'Dep_Tax'!U23</x:f>
        <x:v>352.3577188236047</x:v>
      </x:c>
      <x:c r="V19" s="153" t="n">
        <x:f>'Dep_Tax'!V23</x:f>
        <x:v>345.3291217506478</x:v>
      </x:c>
      <x:c r="W19" s="153" t="n">
        <x:f>'Dep_Tax'!W23</x:f>
        <x:v>338.1426600427775</x:v>
      </x:c>
      <x:c r="X19" s="153" t="n">
        <x:f>'Dep_Tax'!X23</x:f>
        <x:v>330.7934917743921</x:v>
      </x:c>
      <x:c r="Y19" s="153" t="n">
        <x:f>'Dep_Tax'!Y23</x:f>
        <x:v>0</x:v>
      </x:c>
      <x:c r="Z19" s="153" t="n">
        <x:f>'Dep_Tax'!Z23</x:f>
        <x:v>0</x:v>
      </x:c>
      <x:c r="AA19" s="153" t="n">
        <x:f>'Dep_Tax'!AA23</x:f>
        <x:v>0</x:v>
      </x:c>
      <x:c r="AB19" s="153" t="n">
        <x:f>'Dep_Tax'!AB23</x:f>
        <x:v>0</x:v>
      </x:c>
      <x:c r="AC19" s="153" t="n">
        <x:f>'Dep_Tax'!AC23</x:f>
        <x:v>0</x:v>
      </x:c>
      <x:c r="AD19" s="153" t="n">
        <x:f>'Dep_Tax'!AD23</x:f>
        <x:v>0</x:v>
      </x:c>
      <x:c r="AE19" s="153" t="n">
        <x:f>'Dep_Tax'!AE23</x:f>
        <x:v>0</x:v>
      </x:c>
      <x:c r="AF19" s="153" t="n">
        <x:f>'Dep_Tax'!AF23</x:f>
        <x:v>0</x:v>
      </x:c>
    </x:row>
    <x:row r="20" ht="15" hidden="0" customHeight="1">
      <x:c r="A20" s="219" t="str">
        <x:v>IS-10</x:v>
      </x:c>
      <x:c r="B20" s="219" t="str">
        <x:v>Thuế TNDN</x:v>
      </x:c>
      <x:c r="C20" s="153" t="n">
        <x:f>'Dep_Tax'!C25</x:f>
        <x:v>0</x:v>
      </x:c>
      <x:c r="D20" s="153" t="n">
        <x:f>'Dep_Tax'!D25</x:f>
        <x:v>0</x:v>
      </x:c>
      <x:c r="E20" s="153" t="n">
        <x:f>'Dep_Tax'!E25</x:f>
        <x:v>0</x:v>
      </x:c>
      <x:c r="F20" s="153" t="n">
        <x:f>'Dep_Tax'!F25</x:f>
        <x:v>0</x:v>
      </x:c>
      <x:c r="G20" s="153" t="n">
        <x:f>'Dep_Tax'!G25</x:f>
        <x:v>0</x:v>
      </x:c>
      <x:c r="H20" s="153" t="n">
        <x:f>'Dep_Tax'!H25</x:f>
        <x:v>0</x:v>
      </x:c>
      <x:c r="I20" s="153" t="n">
        <x:f>'Dep_Tax'!I25</x:f>
        <x:v>8.278471241523183</x:v>
      </x:c>
      <x:c r="J20" s="153" t="n">
        <x:f>'Dep_Tax'!J25</x:f>
        <x:v>9.632745745926542</x:v>
      </x:c>
      <x:c r="K20" s="153" t="n">
        <x:f>'Dep_Tax'!K25</x:f>
        <x:v>10.981537575727689</x:v>
      </x:c>
      <x:c r="L20" s="153" t="n">
        <x:f>'Dep_Tax'!L25</x:f>
        <x:v>12.324676822508003</x:v>
      </x:c>
      <x:c r="M20" s="153" t="n">
        <x:f>'Dep_Tax'!M25</x:f>
        <x:v>13.661988491452712</x:v>
      </x:c>
      <x:c r="N20" s="153" t="n">
        <x:f>'Dep_Tax'!N25</x:f>
        <x:v>14.993292348737254</x:v>
      </x:c>
      <x:c r="O20" s="153" t="n">
        <x:f>'Dep_Tax'!O25</x:f>
        <x:v>16.318402764335218</x:v>
      </x:c>
      <x:c r="P20" s="153" t="n">
        <x:f>'Dep_Tax'!P25</x:f>
        <x:v>17.63712855011086</x:v>
      </x:c>
      <x:c r="Q20" s="153" t="n">
        <x:f>'Dep_Tax'!Q25</x:f>
        <x:v>18.94927279305409</x:v>
      </x:c>
      <x:c r="R20" s="153" t="n">
        <x:f>'Dep_Tax'!R25</x:f>
        <x:v>37.25426536702545</x:v>
      </x:c>
      <x:c r="S20" s="153" t="n">
        <x:f>'Dep_Tax'!S25</x:f>
        <x:v>36.59599867654356</x:v>
      </x:c>
      <x:c r="T20" s="153" t="n">
        <x:f>'Dep_Tax'!T25</x:f>
        <x:v>71.84663047330046</x:v>
      </x:c>
      <x:c r="U20" s="153" t="n">
        <x:f>'Dep_Tax'!U25</x:f>
        <x:v>70.47154376472095</x:v>
      </x:c>
      <x:c r="V20" s="153" t="n">
        <x:f>'Dep_Tax'!V25</x:f>
        <x:v>69.06582435012956</x:v>
      </x:c>
      <x:c r="W20" s="153" t="n">
        <x:f>'Dep_Tax'!W25</x:f>
        <x:v>67.6285320085555</x:v>
      </x:c>
      <x:c r="X20" s="153" t="n">
        <x:f>'Dep_Tax'!X25</x:f>
        <x:v>66.15869835487842</x:v>
      </x:c>
      <x:c r="Y20" s="153" t="n">
        <x:f>'Dep_Tax'!Y25</x:f>
        <x:v>0</x:v>
      </x:c>
      <x:c r="Z20" s="153" t="n">
        <x:f>'Dep_Tax'!Z25</x:f>
        <x:v>0</x:v>
      </x:c>
      <x:c r="AA20" s="153" t="n">
        <x:f>'Dep_Tax'!AA25</x:f>
        <x:v>0</x:v>
      </x:c>
      <x:c r="AB20" s="153" t="n">
        <x:f>'Dep_Tax'!AB25</x:f>
        <x:v>0</x:v>
      </x:c>
      <x:c r="AC20" s="153" t="n">
        <x:f>'Dep_Tax'!AC25</x:f>
        <x:v>0</x:v>
      </x:c>
      <x:c r="AD20" s="153" t="n">
        <x:f>'Dep_Tax'!AD25</x:f>
        <x:v>0</x:v>
      </x:c>
      <x:c r="AE20" s="153" t="n">
        <x:f>'Dep_Tax'!AE25</x:f>
        <x:v>0</x:v>
      </x:c>
      <x:c r="AF20" s="153" t="n">
        <x:f>'Dep_Tax'!AF25</x:f>
        <x:v>0</x:v>
      </x:c>
    </x:row>
    <x:row r="21" ht="15" hidden="0" customHeight="1">
      <x:c r="A21" s="219" t="str">
        <x:v>IS-11</x:v>
      </x:c>
      <x:c r="B21" s="220" t="str">
        <x:v>Lợi nhuận sau thuế</x:v>
      </x:c>
      <x:c r="C21" s="150" t="n">
        <x:f>C17-C20</x:f>
        <x:v>0</x:v>
      </x:c>
      <x:c r="D21" s="150" t="n">
        <x:f>D17-D20</x:f>
        <x:v>0</x:v>
      </x:c>
      <x:c r="E21" s="150" t="n">
        <x:f>E17-E20</x:f>
        <x:v>56.195495999999935</x:v>
      </x:c>
      <x:c r="F21" s="150" t="n">
        <x:f>F17-F20</x:f>
        <x:v>83.68755100799996</x:v>
      </x:c>
      <x:c r="G21" s="150" t="n">
        <x:f>G17-G20</x:f>
        <x:v>111.08258590598416</x:v>
      </x:c>
      <x:c r="H21" s="150" t="n">
        <x:f>H17-H20</x:f>
        <x:v>138.37758065417216</x:v>
      </x:c>
      <x:c r="I21" s="150" t="n">
        <x:f>I17-I20</x:f>
        <x:v>157.29095358894048</x:v>
      </x:c>
      <x:c r="J21" s="150" t="n">
        <x:f>J17-J20</x:f>
        <x:v>183.0221691726043</x:v>
      </x:c>
      <x:c r="K21" s="150" t="n">
        <x:f>K17-K20</x:f>
        <x:v>208.64921393882608</x:v>
      </x:c>
      <x:c r="L21" s="150" t="n">
        <x:f>L17-L20</x:f>
        <x:v>234.16885962765204</x:v>
      </x:c>
      <x:c r="M21" s="150" t="n">
        <x:f>M17-M20</x:f>
        <x:v>259.57778133760155</x:v>
      </x:c>
      <x:c r="N21" s="150" t="n">
        <x:f>N17-N20</x:f>
        <x:v>284.8725546260078</x:v>
      </x:c>
      <x:c r="O21" s="150" t="n">
        <x:f>O17-O20</x:f>
        <x:v>310.0496525223691</x:v>
      </x:c>
      <x:c r="P21" s="150" t="n">
        <x:f>P17-P20</x:f>
        <x:v>335.10544245210633</x:v>
      </x:c>
      <x:c r="Q21" s="150" t="n">
        <x:f>Q17-Q20</x:f>
        <x:v>360.03618306802764</x:v>
      </x:c>
      <x:c r="R21" s="150" t="n">
        <x:f>R17-R20</x:f>
        <x:v>335.28838830322906</x:v>
      </x:c>
      <x:c r="S21" s="150" t="n">
        <x:f>S17-S20</x:f>
        <x:v>329.36398808889203</x:v>
      </x:c>
      <x:c r="T21" s="150" t="n">
        <x:f>T17-T20</x:f>
        <x:v>287.3865218932018</x:v>
      </x:c>
      <x:c r="U21" s="150" t="n">
        <x:f>U17-U20</x:f>
        <x:v>281.8861750588838</x:v>
      </x:c>
      <x:c r="V21" s="150" t="n">
        <x:f>V17-V20</x:f>
        <x:v>276.26329740051824</x:v>
      </x:c>
      <x:c r="W21" s="150" t="n">
        <x:f>W17-W20</x:f>
        <x:v>270.514128034222</x:v>
      </x:c>
      <x:c r="X21" s="150" t="n">
        <x:f>X17-X20</x:f>
        <x:v>264.6347934195137</x:v>
      </x:c>
      <x:c r="Y21" s="150" t="n">
        <x:f>Y17-Y20</x:f>
        <x:v>0</x:v>
      </x:c>
      <x:c r="Z21" s="150" t="n">
        <x:f>Z17-Z20</x:f>
        <x:v>0</x:v>
      </x:c>
      <x:c r="AA21" s="150" t="n">
        <x:f>AA17-AA20</x:f>
        <x:v>0</x:v>
      </x:c>
      <x:c r="AB21" s="150" t="n">
        <x:f>AB17-AB20</x:f>
        <x:v>0</x:v>
      </x:c>
      <x:c r="AC21" s="150" t="n">
        <x:f>AC17-AC20</x:f>
        <x:v>0</x:v>
      </x:c>
      <x:c r="AD21" s="150" t="n">
        <x:f>AD17-AD20</x:f>
        <x:v>0</x:v>
      </x:c>
      <x:c r="AE21" s="150" t="n">
        <x:f>AE17-AE20</x:f>
        <x:v>0</x:v>
      </x:c>
      <x:c r="AF21" s="150" t="n">
        <x:f>AF17-AF20</x:f>
        <x:v>0</x:v>
      </x:c>
    </x:row>
    <x:row r="22" ht="15" hidden="0" customHeight="1">
      <x:c r="A22" s="216"/>
      <x:c r="B22" s="216"/>
      <x:c r="C22" s="209"/>
      <x:c r="D22" s="209"/>
      <x:c r="E22" s="209"/>
      <x:c r="F22" s="209"/>
      <x:c r="G22" s="209"/>
      <x:c r="H22" s="209"/>
      <x:c r="I22" s="209"/>
      <x:c r="J22" s="209"/>
      <x:c r="K22" s="209"/>
      <x:c r="L22" s="209"/>
      <x:c r="M22" s="209"/>
      <x:c r="N22" s="209"/>
      <x:c r="O22" s="209"/>
      <x:c r="P22" s="209"/>
      <x:c r="Q22" s="209"/>
      <x:c r="R22" s="209"/>
      <x:c r="S22" s="209"/>
      <x:c r="T22" s="209"/>
      <x:c r="U22" s="209"/>
      <x:c r="V22" s="209"/>
      <x:c r="W22" s="209"/>
      <x:c r="X22" s="209"/>
      <x:c r="Y22" s="209"/>
      <x:c r="Z22" s="209"/>
      <x:c r="AA22" s="209"/>
      <x:c r="AB22" s="209"/>
      <x:c r="AC22" s="209"/>
      <x:c r="AD22" s="209"/>
      <x:c r="AE22" s="209"/>
      <x:c r="AF22" s="209"/>
    </x:row>
    <x:row r="23" ht="15" hidden="0" customHeight="1">
      <x:c r="A23" s="218" t="str">
        <x:v>TỔNG HỢP VÒNG ĐỜI</x:v>
      </x:c>
      <x:c r="B23" s="218"/>
      <x:c r="C23" s="142"/>
      <x:c r="D23" s="142"/>
      <x:c r="E23" s="142"/>
      <x:c r="F23" s="142"/>
      <x:c r="G23" s="142"/>
      <x:c r="H23" s="142"/>
      <x:c r="I23" s="142"/>
      <x:c r="J23" s="142"/>
      <x:c r="K23" s="142"/>
      <x:c r="L23" s="142"/>
      <x:c r="M23" s="142"/>
      <x:c r="N23" s="142"/>
      <x:c r="O23" s="142"/>
      <x:c r="P23" s="142"/>
      <x:c r="Q23" s="142"/>
      <x:c r="R23" s="142"/>
      <x:c r="S23" s="142"/>
      <x:c r="T23" s="142"/>
      <x:c r="U23" s="142"/>
      <x:c r="V23" s="142"/>
      <x:c r="W23" s="142"/>
      <x:c r="X23" s="142"/>
      <x:c r="Y23" s="142"/>
      <x:c r="Z23" s="142"/>
      <x:c r="AA23" s="142"/>
      <x:c r="AB23" s="142"/>
      <x:c r="AC23" s="142"/>
      <x:c r="AD23" s="142"/>
      <x:c r="AE23" s="142"/>
      <x:c r="AF23" s="142"/>
    </x:row>
    <x:row r="24" ht="15" hidden="0" customHeight="1">
      <x:c r="A24" s="216" t="str">
        <x:v>IS-S1</x:v>
      </x:c>
      <x:c r="B24" s="216" t="str">
        <x:v>Tổng doanh thu</x:v>
      </x:c>
      <x:c r="C24" s="212" t="n">
        <x:f>SUM(C11:AF11)</x:f>
        <x:v>16778.426118399504</x:v>
      </x:c>
      <x:c r="D24" s="209"/>
      <x:c r="E24" s="209"/>
      <x:c r="F24" s="209"/>
      <x:c r="G24" s="209"/>
      <x:c r="H24" s="209"/>
      <x:c r="I24" s="209"/>
      <x:c r="J24" s="209"/>
      <x:c r="K24" s="209"/>
      <x:c r="L24" s="209"/>
      <x:c r="M24" s="209"/>
      <x:c r="N24" s="209"/>
      <x:c r="O24" s="209"/>
      <x:c r="P24" s="209"/>
      <x:c r="Q24" s="209"/>
      <x:c r="R24" s="209"/>
      <x:c r="S24" s="209"/>
      <x:c r="T24" s="209"/>
      <x:c r="U24" s="209"/>
      <x:c r="V24" s="209"/>
      <x:c r="W24" s="209"/>
      <x:c r="X24" s="209"/>
      <x:c r="Y24" s="209"/>
      <x:c r="Z24" s="209"/>
      <x:c r="AA24" s="209"/>
      <x:c r="AB24" s="209"/>
      <x:c r="AC24" s="209"/>
      <x:c r="AD24" s="209"/>
      <x:c r="AE24" s="209"/>
      <x:c r="AF24" s="209"/>
    </x:row>
    <x:row r="25" ht="15" hidden="0" customHeight="1">
      <x:c r="A25" s="216" t="str">
        <x:v>IS-S2</x:v>
      </x:c>
      <x:c r="B25" s="216" t="str">
        <x:v>Tổng EBITDA</x:v>
      </x:c>
      <x:c r="C25" s="212" t="n">
        <x:f>SUM(C13:AF13)</x:f>
        <x:v>13779.692325429281</x:v>
      </x:c>
      <x:c r="D25" s="209"/>
      <x:c r="E25" s="209"/>
      <x:c r="F25" s="209"/>
      <x:c r="G25" s="209"/>
      <x:c r="H25" s="209"/>
      <x:c r="I25" s="209"/>
      <x:c r="J25" s="209"/>
      <x:c r="K25" s="209"/>
      <x:c r="L25" s="209"/>
      <x:c r="M25" s="209"/>
      <x:c r="N25" s="209"/>
      <x:c r="O25" s="209"/>
      <x:c r="P25" s="209"/>
      <x:c r="Q25" s="209"/>
      <x:c r="R25" s="209"/>
      <x:c r="S25" s="209"/>
      <x:c r="T25" s="209"/>
      <x:c r="U25" s="209"/>
      <x:c r="V25" s="209"/>
      <x:c r="W25" s="209"/>
      <x:c r="X25" s="209"/>
      <x:c r="Y25" s="209"/>
      <x:c r="Z25" s="209"/>
      <x:c r="AA25" s="209"/>
      <x:c r="AB25" s="209"/>
      <x:c r="AC25" s="209"/>
      <x:c r="AD25" s="209"/>
      <x:c r="AE25" s="209"/>
      <x:c r="AF25" s="209"/>
    </x:row>
    <x:row r="26" ht="15" hidden="0" customHeight="1">
      <x:c r="A26" s="216" t="str">
        <x:v>IS-S3</x:v>
      </x:c>
      <x:c r="B26" s="216" t="str">
        <x:v>Tổng thuế TNDN</x:v>
      </x:c>
      <x:c r="C26" s="212" t="n">
        <x:f>SUM(C20:AF20)</x:f>
        <x:v>541.7990093285295</x:v>
      </x:c>
      <x:c r="D26" s="209"/>
      <x:c r="E26" s="209"/>
      <x:c r="F26" s="209"/>
      <x:c r="G26" s="209"/>
      <x:c r="H26" s="209"/>
      <x:c r="I26" s="209"/>
      <x:c r="J26" s="209"/>
      <x:c r="K26" s="209"/>
      <x:c r="L26" s="209"/>
      <x:c r="M26" s="209"/>
      <x:c r="N26" s="209"/>
      <x:c r="O26" s="209"/>
      <x:c r="P26" s="209"/>
      <x:c r="Q26" s="209"/>
      <x:c r="R26" s="209"/>
      <x:c r="S26" s="209"/>
      <x:c r="T26" s="209"/>
      <x:c r="U26" s="209"/>
      <x:c r="V26" s="209"/>
      <x:c r="W26" s="209"/>
      <x:c r="X26" s="209"/>
      <x:c r="Y26" s="209"/>
      <x:c r="Z26" s="209"/>
      <x:c r="AA26" s="209"/>
      <x:c r="AB26" s="209"/>
      <x:c r="AC26" s="209"/>
      <x:c r="AD26" s="209"/>
      <x:c r="AE26" s="209"/>
      <x:c r="AF26" s="209"/>
    </x:row>
    <x:row r="27" ht="15" hidden="0" customHeight="1">
      <x:c r="A27" s="216" t="str">
        <x:v>IS-S4</x:v>
      </x:c>
      <x:c r="B27" s="216" t="str">
        <x:v>Tổng lợi nhuận sau thuế</x:v>
      </x:c>
      <x:c r="C27" s="212" t="n">
        <x:f>SUM(C21:AF21)</x:f>
        <x:v>4767.453316100753</x:v>
      </x:c>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x:c r="B28" s="216"/>
      <x:c r="C28" s="209"/>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x:c r="B29" s="216"/>
      <x:c r="C29" s="209"/>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x:c r="B30" s="216"/>
      <x:c r="C30" s="209"/>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x:c r="B31" s="216"/>
      <x:c r="C31" s="209"/>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23:AF23"/>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DÒNG TIỀN TOÀN DỰ ÁN</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Dòng tiền không xét cơ cấu tài trợ; dùng để xác định Project IRR, Project NPV và LCOE.</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DÒNG TIỀN HOẠT ĐỘNG</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PCF-01</x:v>
      </x:c>
      <x:c r="B11" s="219" t="str">
        <x:v>Sản lượng điện (MWh)</x:v>
      </x:c>
      <x:c r="C11" s="180" t="n">
        <x:f>'Energy_Revenue'!C11</x:f>
        <x:v>0</x:v>
      </x:c>
      <x:c r="D11" s="180" t="n">
        <x:f>'Energy_Revenue'!D11</x:f>
        <x:v>0</x:v>
      </x:c>
      <x:c r="E11" s="180" t="n">
        <x:f>'Energy_Revenue'!E11</x:f>
        <x:v>473040</x:v>
      </x:c>
      <x:c r="F11" s="180" t="n">
        <x:f>'Energy_Revenue'!F11</x:f>
        <x:v>472093.92</x:v>
      </x:c>
      <x:c r="G11" s="180" t="n">
        <x:f>'Energy_Revenue'!G11</x:f>
        <x:v>471149.73216</x:v>
      </x:c>
      <x:c r="H11" s="180" t="n">
        <x:f>'Energy_Revenue'!H11</x:f>
        <x:v>470207.43269568</x:v>
      </x:c>
      <x:c r="I11" s="180" t="n">
        <x:f>'Energy_Revenue'!I11</x:f>
        <x:v>469267.0178302886</x:v>
      </x:c>
      <x:c r="J11" s="180" t="n">
        <x:f>'Energy_Revenue'!J11</x:f>
        <x:v>468328.48379462806</x:v>
      </x:c>
      <x:c r="K11" s="180" t="n">
        <x:f>'Energy_Revenue'!K11</x:f>
        <x:v>467391.82682703884</x:v>
      </x:c>
      <x:c r="L11" s="180" t="n">
        <x:f>'Energy_Revenue'!L11</x:f>
        <x:v>466457.04317338474</x:v>
      </x:c>
      <x:c r="M11" s="180" t="n">
        <x:f>'Energy_Revenue'!M11</x:f>
        <x:v>465524.12908703793</x:v>
      </x:c>
      <x:c r="N11" s="180" t="n">
        <x:f>'Energy_Revenue'!N11</x:f>
        <x:v>464593.0808288639</x:v>
      </x:c>
      <x:c r="O11" s="180" t="n">
        <x:f>'Energy_Revenue'!O11</x:f>
        <x:v>463663.89466720616</x:v>
      </x:c>
      <x:c r="P11" s="180" t="n">
        <x:f>'Energy_Revenue'!P11</x:f>
        <x:v>462736.5668778717</x:v>
      </x:c>
      <x:c r="Q11" s="180" t="n">
        <x:f>'Energy_Revenue'!Q11</x:f>
        <x:v>461811.093744116</x:v>
      </x:c>
      <x:c r="R11" s="180" t="n">
        <x:f>'Energy_Revenue'!R11</x:f>
        <x:v>460887.4715566278</x:v>
      </x:c>
      <x:c r="S11" s="180" t="n">
        <x:f>'Energy_Revenue'!S11</x:f>
        <x:v>459965.6966135145</x:v>
      </x:c>
      <x:c r="T11" s="180" t="n">
        <x:f>'Energy_Revenue'!T11</x:f>
        <x:v>459045.7652202875</x:v>
      </x:c>
      <x:c r="U11" s="180" t="n">
        <x:f>'Energy_Revenue'!U11</x:f>
        <x:v>458127.67368984694</x:v>
      </x:c>
      <x:c r="V11" s="180" t="n">
        <x:f>'Energy_Revenue'!V11</x:f>
        <x:v>457211.41834246716</x:v>
      </x:c>
      <x:c r="W11" s="180" t="n">
        <x:f>'Energy_Revenue'!W11</x:f>
        <x:v>456296.99550578225</x:v>
      </x:c>
      <x:c r="X11" s="180" t="n">
        <x:f>'Energy_Revenue'!X11</x:f>
        <x:v>455384.4015147707</x:v>
      </x:c>
      <x:c r="Y11" s="180" t="n">
        <x:f>'Energy_Revenue'!Y11</x:f>
        <x:v>0</x:v>
      </x:c>
      <x:c r="Z11" s="180" t="n">
        <x:f>'Energy_Revenue'!Z11</x:f>
        <x:v>0</x:v>
      </x:c>
      <x:c r="AA11" s="180" t="n">
        <x:f>'Energy_Revenue'!AA11</x:f>
        <x:v>0</x:v>
      </x:c>
      <x:c r="AB11" s="180" t="n">
        <x:f>'Energy_Revenue'!AB11</x:f>
        <x:v>0</x:v>
      </x:c>
      <x:c r="AC11" s="180" t="n">
        <x:f>'Energy_Revenue'!AC11</x:f>
        <x:v>0</x:v>
      </x:c>
      <x:c r="AD11" s="180" t="n">
        <x:f>'Energy_Revenue'!AD11</x:f>
        <x:v>0</x:v>
      </x:c>
      <x:c r="AE11" s="180" t="n">
        <x:f>'Energy_Revenue'!AE11</x:f>
        <x:v>0</x:v>
      </x:c>
      <x:c r="AF11" s="180" t="n">
        <x:f>'Energy_Revenue'!AF11</x:f>
        <x:v>0</x:v>
      </x:c>
    </x:row>
    <x:row r="12" ht="15" hidden="0" customHeight="1">
      <x:c r="A12" s="219" t="str">
        <x:v>PCF-02</x:v>
      </x:c>
      <x:c r="B12" s="219" t="str">
        <x:v>Tổng doanh thu</x:v>
      </x:c>
      <x:c r="C12" s="153" t="n">
        <x:f>'Energy_Revenue'!C16</x:f>
        <x:v>0</x:v>
      </x:c>
      <x:c r="D12" s="153" t="n">
        <x:f>'Energy_Revenue'!D16</x:f>
        <x:v>0</x:v>
      </x:c>
      <x:c r="E12" s="153" t="n">
        <x:f>'Energy_Revenue'!E16</x:f>
        <x:v>854.972496</x:v>
      </x:c>
      <x:c r="F12" s="153" t="n">
        <x:f>'Energy_Revenue'!F16</x:f>
        <x:v>853.262551008</x:v>
      </x:c>
      <x:c r="G12" s="153" t="n">
        <x:f>'Energy_Revenue'!G16</x:f>
        <x:v>851.5560259059841</x:v>
      </x:c>
      <x:c r="H12" s="153" t="n">
        <x:f>'Energy_Revenue'!H16</x:f>
        <x:v>849.8529138541721</x:v>
      </x:c>
      <x:c r="I12" s="153" t="n">
        <x:f>'Energy_Revenue'!I16</x:f>
        <x:v>848.1532080264637</x:v>
      </x:c>
      <x:c r="J12" s="153" t="n">
        <x:f>'Energy_Revenue'!J16</x:f>
        <x:v>846.4569016104109</x:v>
      </x:c>
      <x:c r="K12" s="153" t="n">
        <x:f>'Energy_Revenue'!K16</x:f>
        <x:v>844.7639878071901</x:v>
      </x:c>
      <x:c r="L12" s="153" t="n">
        <x:f>'Energy_Revenue'!L16</x:f>
        <x:v>843.0744598315756</x:v>
      </x:c>
      <x:c r="M12" s="153" t="n">
        <x:f>'Energy_Revenue'!M16</x:f>
        <x:v>841.3883109119123</x:v>
      </x:c>
      <x:c r="N12" s="153" t="n">
        <x:f>'Energy_Revenue'!N16</x:f>
        <x:v>839.7055342900887</x:v>
      </x:c>
      <x:c r="O12" s="153" t="n">
        <x:f>'Energy_Revenue'!O16</x:f>
        <x:v>838.0261232215084</x:v>
      </x:c>
      <x:c r="P12" s="153" t="n">
        <x:f>'Energy_Revenue'!P16</x:f>
        <x:v>836.3500709750654</x:v>
      </x:c>
      <x:c r="Q12" s="153" t="n">
        <x:f>'Energy_Revenue'!Q16</x:f>
        <x:v>834.6773708331153</x:v>
      </x:c>
      <x:c r="R12" s="153" t="n">
        <x:f>'Energy_Revenue'!R16</x:f>
        <x:v>833.0080160914491</x:v>
      </x:c>
      <x:c r="S12" s="153" t="n">
        <x:f>'Energy_Revenue'!S16</x:f>
        <x:v>831.3420000592661</x:v>
      </x:c>
      <x:c r="T12" s="153" t="n">
        <x:f>'Energy_Revenue'!T16</x:f>
        <x:v>829.6793160591477</x:v>
      </x:c>
      <x:c r="U12" s="153" t="n">
        <x:f>'Energy_Revenue'!U16</x:f>
        <x:v>828.0199574270295</x:v>
      </x:c>
      <x:c r="V12" s="153" t="n">
        <x:f>'Energy_Revenue'!V16</x:f>
        <x:v>826.3639175121752</x:v>
      </x:c>
      <x:c r="W12" s="153" t="n">
        <x:f>'Energy_Revenue'!W16</x:f>
        <x:v>824.7111896771509</x:v>
      </x:c>
      <x:c r="X12" s="153" t="n">
        <x:f>'Energy_Revenue'!X16</x:f>
        <x:v>823.0617672977967</x:v>
      </x:c>
      <x:c r="Y12" s="153" t="n">
        <x:f>'Energy_Revenue'!Y16</x:f>
        <x:v>0</x:v>
      </x:c>
      <x:c r="Z12" s="153" t="n">
        <x:f>'Energy_Revenue'!Z16</x:f>
        <x:v>0</x:v>
      </x:c>
      <x:c r="AA12" s="153" t="n">
        <x:f>'Energy_Revenue'!AA16</x:f>
        <x:v>0</x:v>
      </x:c>
      <x:c r="AB12" s="153" t="n">
        <x:f>'Energy_Revenue'!AB16</x:f>
        <x:v>0</x:v>
      </x:c>
      <x:c r="AC12" s="153" t="n">
        <x:f>'Energy_Revenue'!AC16</x:f>
        <x:v>0</x:v>
      </x:c>
      <x:c r="AD12" s="153" t="n">
        <x:f>'Energy_Revenue'!AD16</x:f>
        <x:v>0</x:v>
      </x:c>
      <x:c r="AE12" s="153" t="n">
        <x:f>'Energy_Revenue'!AE16</x:f>
        <x:v>0</x:v>
      </x:c>
      <x:c r="AF12" s="153" t="n">
        <x:f>'Energy_Revenue'!AF16</x:f>
        <x:v>0</x:v>
      </x:c>
    </x:row>
    <x:row r="13" ht="15" hidden="0" customHeight="1">
      <x:c r="A13" s="219" t="str">
        <x:v>PCF-03</x:v>
      </x:c>
      <x:c r="B13" s="219" t="str">
        <x:v>Chi phí O&amp;M</x:v>
      </x:c>
      <x:c r="C13" s="153" t="n">
        <x:f>'Energy_Revenue'!C19</x:f>
        <x:v>0</x:v>
      </x:c>
      <x:c r="D13" s="153" t="n">
        <x:f>'Energy_Revenue'!D19</x:f>
        <x:v>0</x:v>
      </x:c>
      <x:c r="E13" s="153" t="n">
        <x:f>'Energy_Revenue'!E19</x:f>
        <x:v>111.6</x:v>
      </x:c>
      <x:c r="F13" s="153" t="n">
        <x:f>'Energy_Revenue'!F19</x:f>
        <x:v>114.948</x:v>
      </x:c>
      <x:c r="G13" s="153" t="n">
        <x:f>'Energy_Revenue'!G19</x:f>
        <x:v>118.39643999999998</x:v>
      </x:c>
      <x:c r="H13" s="153" t="n">
        <x:f>'Energy_Revenue'!H19</x:f>
        <x:v>121.9483332</x:v>
      </x:c>
      <x:c r="I13" s="153" t="n">
        <x:f>'Energy_Revenue'!I19</x:f>
        <x:v>125.60678319600001</x:v>
      </x:c>
      <x:c r="J13" s="153" t="n">
        <x:f>'Energy_Revenue'!J19</x:f>
        <x:v>129.37498669188</x:v>
      </x:c>
      <x:c r="K13" s="153" t="n">
        <x:f>'Energy_Revenue'!K19</x:f>
        <x:v>133.2562362926364</x:v>
      </x:c>
      <x:c r="L13" s="153" t="n">
        <x:f>'Energy_Revenue'!L19</x:f>
        <x:v>137.25392338141552</x:v>
      </x:c>
      <x:c r="M13" s="153" t="n">
        <x:f>'Energy_Revenue'!M19</x:f>
        <x:v>141.371541082858</x:v>
      </x:c>
      <x:c r="N13" s="153" t="n">
        <x:f>'Energy_Revenue'!N19</x:f>
        <x:v>145.61268731534372</x:v>
      </x:c>
      <x:c r="O13" s="153" t="n">
        <x:f>'Energy_Revenue'!O19</x:f>
        <x:v>149.98106793480403</x:v>
      </x:c>
      <x:c r="P13" s="153" t="n">
        <x:f>'Energy_Revenue'!P19</x:f>
        <x:v>154.48049997284815</x:v>
      </x:c>
      <x:c r="Q13" s="153" t="n">
        <x:f>'Energy_Revenue'!Q19</x:f>
        <x:v>159.1149149720336</x:v>
      </x:c>
      <x:c r="R13" s="153" t="n">
        <x:f>'Energy_Revenue'!R19</x:f>
        <x:v>163.8883624211946</x:v>
      </x:c>
      <x:c r="S13" s="153" t="n">
        <x:f>'Energy_Revenue'!S19</x:f>
        <x:v>168.80501329383048</x:v>
      </x:c>
      <x:c r="T13" s="153" t="n">
        <x:f>'Energy_Revenue'!T19</x:f>
        <x:v>173.86916369264537</x:v>
      </x:c>
      <x:c r="U13" s="153" t="n">
        <x:f>'Energy_Revenue'!U19</x:f>
        <x:v>179.08523860342476</x:v>
      </x:c>
      <x:c r="V13" s="153" t="n">
        <x:f>'Energy_Revenue'!V19</x:f>
        <x:v>184.45779576152748</x:v>
      </x:c>
      <x:c r="W13" s="153" t="n">
        <x:f>'Energy_Revenue'!W19</x:f>
        <x:v>189.99152963437334</x:v>
      </x:c>
      <x:c r="X13" s="153" t="n">
        <x:f>'Energy_Revenue'!X19</x:f>
        <x:v>195.69127552340453</x:v>
      </x:c>
      <x:c r="Y13" s="153" t="n">
        <x:f>'Energy_Revenue'!Y19</x:f>
        <x:v>0</x:v>
      </x:c>
      <x:c r="Z13" s="153" t="n">
        <x:f>'Energy_Revenue'!Z19</x:f>
        <x:v>0</x:v>
      </x:c>
      <x:c r="AA13" s="153" t="n">
        <x:f>'Energy_Revenue'!AA19</x:f>
        <x:v>0</x:v>
      </x:c>
      <x:c r="AB13" s="153" t="n">
        <x:f>'Energy_Revenue'!AB19</x:f>
        <x:v>0</x:v>
      </x:c>
      <x:c r="AC13" s="153" t="n">
        <x:f>'Energy_Revenue'!AC19</x:f>
        <x:v>0</x:v>
      </x:c>
      <x:c r="AD13" s="153" t="n">
        <x:f>'Energy_Revenue'!AD19</x:f>
        <x:v>0</x:v>
      </x:c>
      <x:c r="AE13" s="153" t="n">
        <x:f>'Energy_Revenue'!AE19</x:f>
        <x:v>0</x:v>
      </x:c>
      <x:c r="AF13" s="153" t="n">
        <x:f>'Energy_Revenue'!AF19</x:f>
        <x:v>0</x:v>
      </x:c>
    </x:row>
    <x:row r="14" ht="15" hidden="0" customHeight="1">
      <x:c r="A14" s="219" t="str">
        <x:v>PCF-04</x:v>
      </x:c>
      <x:c r="B14" s="220" t="str">
        <x:v>EBITDA</x:v>
      </x:c>
      <x:c r="C14" s="150" t="n">
        <x:f>C12-C13</x:f>
        <x:v>0</x:v>
      </x:c>
      <x:c r="D14" s="150" t="n">
        <x:f>D12-D13</x:f>
        <x:v>0</x:v>
      </x:c>
      <x:c r="E14" s="150" t="n">
        <x:f>E12-E13</x:f>
        <x:v>743.372496</x:v>
      </x:c>
      <x:c r="F14" s="150" t="n">
        <x:f>F12-F13</x:f>
        <x:v>738.314551008</x:v>
      </x:c>
      <x:c r="G14" s="150" t="n">
        <x:f>G12-G13</x:f>
        <x:v>733.1595859059842</x:v>
      </x:c>
      <x:c r="H14" s="150" t="n">
        <x:f>H12-H13</x:f>
        <x:v>727.9045806541722</x:v>
      </x:c>
      <x:c r="I14" s="150" t="n">
        <x:f>I12-I13</x:f>
        <x:v>722.5464248304637</x:v>
      </x:c>
      <x:c r="J14" s="150" t="n">
        <x:f>J12-J13</x:f>
        <x:v>717.0819149185309</x:v>
      </x:c>
      <x:c r="K14" s="150" t="n">
        <x:f>K12-K13</x:f>
        <x:v>711.5077515145538</x:v>
      </x:c>
      <x:c r="L14" s="150" t="n">
        <x:f>L12-L13</x:f>
        <x:v>705.82053645016</x:v>
      </x:c>
      <x:c r="M14" s="150" t="n">
        <x:f>M12-M13</x:f>
        <x:v>700.0167698290543</x:v>
      </x:c>
      <x:c r="N14" s="150" t="n">
        <x:f>N12-N13</x:f>
        <x:v>694.092846974745</x:v>
      </x:c>
      <x:c r="O14" s="150" t="n">
        <x:f>O12-O13</x:f>
        <x:v>688.0450552867044</x:v>
      </x:c>
      <x:c r="P14" s="150" t="n">
        <x:f>P12-P13</x:f>
        <x:v>681.8695710022172</x:v>
      </x:c>
      <x:c r="Q14" s="150" t="n">
        <x:f>Q12-Q13</x:f>
        <x:v>675.5624558610817</x:v>
      </x:c>
      <x:c r="R14" s="150" t="n">
        <x:f>R12-R13</x:f>
        <x:v>669.1196536702545</x:v>
      </x:c>
      <x:c r="S14" s="150" t="n">
        <x:f>S12-S13</x:f>
        <x:v>662.5369867654356</x:v>
      </x:c>
      <x:c r="T14" s="150" t="n">
        <x:f>T12-T13</x:f>
        <x:v>655.8101523665023</x:v>
      </x:c>
      <x:c r="U14" s="150" t="n">
        <x:f>U12-U13</x:f>
        <x:v>648.9347188236047</x:v>
      </x:c>
      <x:c r="V14" s="150" t="n">
        <x:f>V12-V13</x:f>
        <x:v>641.9061217506478</x:v>
      </x:c>
      <x:c r="W14" s="150" t="n">
        <x:f>W12-W13</x:f>
        <x:v>634.7196600427775</x:v>
      </x:c>
      <x:c r="X14" s="150" t="n">
        <x:f>X12-X13</x:f>
        <x:v>627.3704917743921</x:v>
      </x:c>
      <x:c r="Y14" s="150" t="n">
        <x:f>Y12-Y13</x:f>
        <x:v>0</x:v>
      </x:c>
      <x:c r="Z14" s="150" t="n">
        <x:f>Z12-Z13</x:f>
        <x:v>0</x:v>
      </x:c>
      <x:c r="AA14" s="150" t="n">
        <x:f>AA12-AA13</x:f>
        <x:v>0</x:v>
      </x:c>
      <x:c r="AB14" s="150" t="n">
        <x:f>AB12-AB13</x:f>
        <x:v>0</x:v>
      </x:c>
      <x:c r="AC14" s="150" t="n">
        <x:f>AC12-AC13</x:f>
        <x:v>0</x:v>
      </x:c>
      <x:c r="AD14" s="150" t="n">
        <x:f>AD12-AD13</x:f>
        <x:v>0</x:v>
      </x:c>
      <x:c r="AE14" s="150" t="n">
        <x:f>AE12-AE13</x:f>
        <x:v>0</x:v>
      </x:c>
      <x:c r="AF14" s="150" t="n">
        <x:f>AF12-AF13</x:f>
        <x:v>0</x:v>
      </x:c>
    </x:row>
    <x:row r="15" ht="15" hidden="0" customHeight="1">
      <x:c r="A15" s="219" t="str">
        <x:v>PCF-05</x:v>
      </x:c>
      <x:c r="B15" s="219" t="str">
        <x:v>Khấu hao</x:v>
      </x:c>
      <x:c r="C15" s="153" t="n">
        <x:f>'Dep_Tax'!C12</x:f>
        <x:v>0</x:v>
      </x:c>
      <x:c r="D15" s="153" t="n">
        <x:f>'Dep_Tax'!D12</x:f>
        <x:v>0</x:v>
      </x:c>
      <x:c r="E15" s="153" t="n">
        <x:f>'Dep_Tax'!E12</x:f>
        <x:v>296.577</x:v>
      </x:c>
      <x:c r="F15" s="153" t="n">
        <x:f>'Dep_Tax'!F12</x:f>
        <x:v>296.577</x:v>
      </x:c>
      <x:c r="G15" s="153" t="n">
        <x:f>'Dep_Tax'!G12</x:f>
        <x:v>296.577</x:v>
      </x:c>
      <x:c r="H15" s="153" t="n">
        <x:f>'Dep_Tax'!H12</x:f>
        <x:v>296.577</x:v>
      </x:c>
      <x:c r="I15" s="153" t="n">
        <x:f>'Dep_Tax'!I12</x:f>
        <x:v>296.577</x:v>
      </x:c>
      <x:c r="J15" s="153" t="n">
        <x:f>'Dep_Tax'!J12</x:f>
        <x:v>296.577</x:v>
      </x:c>
      <x:c r="K15" s="153" t="n">
        <x:f>'Dep_Tax'!K12</x:f>
        <x:v>296.577</x:v>
      </x:c>
      <x:c r="L15" s="153" t="n">
        <x:f>'Dep_Tax'!L12</x:f>
        <x:v>296.577</x:v>
      </x:c>
      <x:c r="M15" s="153" t="n">
        <x:f>'Dep_Tax'!M12</x:f>
        <x:v>296.577</x:v>
      </x:c>
      <x:c r="N15" s="153" t="n">
        <x:f>'Dep_Tax'!N12</x:f>
        <x:v>296.577</x:v>
      </x:c>
      <x:c r="O15" s="153" t="n">
        <x:f>'Dep_Tax'!O12</x:f>
        <x:v>296.577</x:v>
      </x:c>
      <x:c r="P15" s="153" t="n">
        <x:f>'Dep_Tax'!P12</x:f>
        <x:v>296.577</x:v>
      </x:c>
      <x:c r="Q15" s="153" t="n">
        <x:f>'Dep_Tax'!Q12</x:f>
        <x:v>296.577</x:v>
      </x:c>
      <x:c r="R15" s="153" t="n">
        <x:f>'Dep_Tax'!R12</x:f>
        <x:v>296.577</x:v>
      </x:c>
      <x:c r="S15" s="153" t="n">
        <x:f>'Dep_Tax'!S12</x:f>
        <x:v>296.577</x:v>
      </x:c>
      <x:c r="T15" s="153" t="n">
        <x:f>'Dep_Tax'!T12</x:f>
        <x:v>296.577</x:v>
      </x:c>
      <x:c r="U15" s="153" t="n">
        <x:f>'Dep_Tax'!U12</x:f>
        <x:v>296.577</x:v>
      </x:c>
      <x:c r="V15" s="153" t="n">
        <x:f>'Dep_Tax'!V12</x:f>
        <x:v>296.577</x:v>
      </x:c>
      <x:c r="W15" s="153" t="n">
        <x:f>'Dep_Tax'!W12</x:f>
        <x:v>296.577</x:v>
      </x:c>
      <x:c r="X15" s="153" t="n">
        <x:f>'Dep_Tax'!X12</x:f>
        <x:v>296.577</x:v>
      </x:c>
      <x:c r="Y15" s="153" t="n">
        <x:f>'Dep_Tax'!Y12</x:f>
        <x:v>0</x:v>
      </x:c>
      <x:c r="Z15" s="153" t="n">
        <x:f>'Dep_Tax'!Z12</x:f>
        <x:v>0</x:v>
      </x:c>
      <x:c r="AA15" s="153" t="n">
        <x:f>'Dep_Tax'!AA12</x:f>
        <x:v>0</x:v>
      </x:c>
      <x:c r="AB15" s="153" t="n">
        <x:f>'Dep_Tax'!AB12</x:f>
        <x:v>0</x:v>
      </x:c>
      <x:c r="AC15" s="153" t="n">
        <x:f>'Dep_Tax'!AC12</x:f>
        <x:v>0</x:v>
      </x:c>
      <x:c r="AD15" s="153" t="n">
        <x:f>'Dep_Tax'!AD12</x:f>
        <x:v>0</x:v>
      </x:c>
      <x:c r="AE15" s="153" t="n">
        <x:f>'Dep_Tax'!AE12</x:f>
        <x:v>0</x:v>
      </x:c>
      <x:c r="AF15" s="153" t="n">
        <x:f>'Dep_Tax'!AF12</x:f>
        <x:v>0</x:v>
      </x:c>
    </x:row>
    <x:row r="16" ht="15" hidden="0" customHeight="1">
      <x:c r="A16" s="219" t="str">
        <x:v>PCF-06</x:v>
      </x:c>
      <x:c r="B16" s="219" t="str">
        <x:v>EBIT</x:v>
      </x:c>
      <x:c r="C16" s="153" t="n">
        <x:f>C14-C15</x:f>
        <x:v>0</x:v>
      </x:c>
      <x:c r="D16" s="153" t="n">
        <x:f>D14-D15</x:f>
        <x:v>0</x:v>
      </x:c>
      <x:c r="E16" s="153" t="n">
        <x:f>E14-E15</x:f>
        <x:v>446.79549599999996</x:v>
      </x:c>
      <x:c r="F16" s="153" t="n">
        <x:f>F14-F15</x:f>
        <x:v>441.73755100799997</x:v>
      </x:c>
      <x:c r="G16" s="153" t="n">
        <x:f>G14-G15</x:f>
        <x:v>436.58258590598416</x:v>
      </x:c>
      <x:c r="H16" s="153" t="n">
        <x:f>H14-H15</x:f>
        <x:v>431.32758065417215</x:v>
      </x:c>
      <x:c r="I16" s="153" t="n">
        <x:f>I14-I15</x:f>
        <x:v>425.9694248304637</x:v>
      </x:c>
      <x:c r="J16" s="153" t="n">
        <x:f>J14-J15</x:f>
        <x:v>420.50491491853086</x:v>
      </x:c>
      <x:c r="K16" s="153" t="n">
        <x:f>K14-K15</x:f>
        <x:v>414.9307515145538</x:v>
      </x:c>
      <x:c r="L16" s="153" t="n">
        <x:f>L14-L15</x:f>
        <x:v>409.24353645016004</x:v>
      </x:c>
      <x:c r="M16" s="153" t="n">
        <x:f>M14-M15</x:f>
        <x:v>403.4397698290543</x:v>
      </x:c>
      <x:c r="N16" s="153" t="n">
        <x:f>N14-N15</x:f>
        <x:v>397.51584697474505</x:v>
      </x:c>
      <x:c r="O16" s="153" t="n">
        <x:f>O14-O15</x:f>
        <x:v>391.4680552867044</x:v>
      </x:c>
      <x:c r="P16" s="153" t="n">
        <x:f>P14-P15</x:f>
        <x:v>385.2925710022172</x:v>
      </x:c>
      <x:c r="Q16" s="153" t="n">
        <x:f>Q14-Q15</x:f>
        <x:v>378.98545586108173</x:v>
      </x:c>
      <x:c r="R16" s="153" t="n">
        <x:f>R14-R15</x:f>
        <x:v>372.5426536702545</x:v>
      </x:c>
      <x:c r="S16" s="153" t="n">
        <x:f>S14-S15</x:f>
        <x:v>365.9599867654356</x:v>
      </x:c>
      <x:c r="T16" s="153" t="n">
        <x:f>T14-T15</x:f>
        <x:v>359.2331523665023</x:v>
      </x:c>
      <x:c r="U16" s="153" t="n">
        <x:f>U14-U15</x:f>
        <x:v>352.3577188236047</x:v>
      </x:c>
      <x:c r="V16" s="153" t="n">
        <x:f>V14-V15</x:f>
        <x:v>345.3291217506478</x:v>
      </x:c>
      <x:c r="W16" s="153" t="n">
        <x:f>W14-W15</x:f>
        <x:v>338.1426600427775</x:v>
      </x:c>
      <x:c r="X16" s="153" t="n">
        <x:f>X14-X15</x:f>
        <x:v>330.7934917743921</x:v>
      </x:c>
      <x:c r="Y16" s="153" t="n">
        <x:f>Y14-Y15</x:f>
        <x:v>0</x:v>
      </x:c>
      <x:c r="Z16" s="153" t="n">
        <x:f>Z14-Z15</x:f>
        <x:v>0</x:v>
      </x:c>
      <x:c r="AA16" s="153" t="n">
        <x:f>AA14-AA15</x:f>
        <x:v>0</x:v>
      </x:c>
      <x:c r="AB16" s="153" t="n">
        <x:f>AB14-AB15</x:f>
        <x:v>0</x:v>
      </x:c>
      <x:c r="AC16" s="153" t="n">
        <x:f>AC14-AC15</x:f>
        <x:v>0</x:v>
      </x:c>
      <x:c r="AD16" s="153" t="n">
        <x:f>AD14-AD15</x:f>
        <x:v>0</x:v>
      </x:c>
      <x:c r="AE16" s="153" t="n">
        <x:f>AE14-AE15</x:f>
        <x:v>0</x:v>
      </x:c>
      <x:c r="AF16" s="153" t="n">
        <x:f>AF14-AF15</x:f>
        <x:v>0</x:v>
      </x:c>
    </x:row>
    <x:row r="17" ht="15" hidden="0" customHeight="1">
      <x:c r="A17" s="219" t="str">
        <x:v>PCF-07</x:v>
      </x:c>
      <x:c r="B17" s="219" t="str">
        <x:v>Thuế TNDN theo góc nhìn dự án</x:v>
      </x:c>
      <x:c r="C17" s="153" t="n">
        <x:f>MAX(0,C16)*'Dep_Tax'!C24</x:f>
        <x:v>0</x:v>
      </x:c>
      <x:c r="D17" s="153" t="n">
        <x:f>MAX(0,D16)*'Dep_Tax'!D24</x:f>
        <x:v>0</x:v>
      </x:c>
      <x:c r="E17" s="153" t="n">
        <x:f>MAX(0,E16)*'Dep_Tax'!E24</x:f>
        <x:v>0</x:v>
      </x:c>
      <x:c r="F17" s="153" t="n">
        <x:f>MAX(0,F16)*'Dep_Tax'!F24</x:f>
        <x:v>0</x:v>
      </x:c>
      <x:c r="G17" s="153" t="n">
        <x:f>MAX(0,G16)*'Dep_Tax'!G24</x:f>
        <x:v>0</x:v>
      </x:c>
      <x:c r="H17" s="153" t="n">
        <x:f>MAX(0,H16)*'Dep_Tax'!H24</x:f>
        <x:v>0</x:v>
      </x:c>
      <x:c r="I17" s="153" t="n">
        <x:f>MAX(0,I16)*'Dep_Tax'!I24</x:f>
        <x:v>21.29847124152319</x:v>
      </x:c>
      <x:c r="J17" s="153" t="n">
        <x:f>MAX(0,J16)*'Dep_Tax'!J24</x:f>
        <x:v>21.025245745926544</x:v>
      </x:c>
      <x:c r="K17" s="153" t="n">
        <x:f>MAX(0,K16)*'Dep_Tax'!K24</x:f>
        <x:v>20.74653757572769</x:v>
      </x:c>
      <x:c r="L17" s="153" t="n">
        <x:f>MAX(0,L16)*'Dep_Tax'!L24</x:f>
        <x:v>20.462176822508003</x:v>
      </x:c>
      <x:c r="M17" s="153" t="n">
        <x:f>MAX(0,M16)*'Dep_Tax'!M24</x:f>
        <x:v>20.171988491452716</x:v>
      </x:c>
      <x:c r="N17" s="153" t="n">
        <x:f>MAX(0,N16)*'Dep_Tax'!N24</x:f>
        <x:v>19.875792348737253</x:v>
      </x:c>
      <x:c r="O17" s="153" t="n">
        <x:f>MAX(0,O16)*'Dep_Tax'!O24</x:f>
        <x:v>19.57340276433522</x:v>
      </x:c>
      <x:c r="P17" s="153" t="n">
        <x:f>MAX(0,P16)*'Dep_Tax'!P24</x:f>
        <x:v>19.26462855011086</x:v>
      </x:c>
      <x:c r="Q17" s="153" t="n">
        <x:f>MAX(0,Q16)*'Dep_Tax'!Q24</x:f>
        <x:v>18.94927279305409</x:v>
      </x:c>
      <x:c r="R17" s="153" t="n">
        <x:f>MAX(0,R16)*'Dep_Tax'!R24</x:f>
        <x:v>37.25426536702545</x:v>
      </x:c>
      <x:c r="S17" s="153" t="n">
        <x:f>MAX(0,S16)*'Dep_Tax'!S24</x:f>
        <x:v>36.59599867654356</x:v>
      </x:c>
      <x:c r="T17" s="153" t="n">
        <x:f>MAX(0,T16)*'Dep_Tax'!T24</x:f>
        <x:v>71.84663047330046</x:v>
      </x:c>
      <x:c r="U17" s="153" t="n">
        <x:f>MAX(0,U16)*'Dep_Tax'!U24</x:f>
        <x:v>70.47154376472095</x:v>
      </x:c>
      <x:c r="V17" s="153" t="n">
        <x:f>MAX(0,V16)*'Dep_Tax'!V24</x:f>
        <x:v>69.06582435012956</x:v>
      </x:c>
      <x:c r="W17" s="153" t="n">
        <x:f>MAX(0,W16)*'Dep_Tax'!W24</x:f>
        <x:v>67.6285320085555</x:v>
      </x:c>
      <x:c r="X17" s="153" t="n">
        <x:f>MAX(0,X16)*'Dep_Tax'!X24</x:f>
        <x:v>66.15869835487842</x:v>
      </x:c>
      <x:c r="Y17" s="153" t="n">
        <x:f>MAX(0,Y16)*'Dep_Tax'!Y24</x:f>
        <x:v>0</x:v>
      </x:c>
      <x:c r="Z17" s="153" t="n">
        <x:f>MAX(0,Z16)*'Dep_Tax'!Z24</x:f>
        <x:v>0</x:v>
      </x:c>
      <x:c r="AA17" s="153" t="n">
        <x:f>MAX(0,AA16)*'Dep_Tax'!AA24</x:f>
        <x:v>0</x:v>
      </x:c>
      <x:c r="AB17" s="153" t="n">
        <x:f>MAX(0,AB16)*'Dep_Tax'!AB24</x:f>
        <x:v>0</x:v>
      </x:c>
      <x:c r="AC17" s="153" t="n">
        <x:f>MAX(0,AC16)*'Dep_Tax'!AC24</x:f>
        <x:v>0</x:v>
      </x:c>
      <x:c r="AD17" s="153" t="n">
        <x:f>MAX(0,AD16)*'Dep_Tax'!AD24</x:f>
        <x:v>0</x:v>
      </x:c>
      <x:c r="AE17" s="153" t="n">
        <x:f>MAX(0,AE16)*'Dep_Tax'!AE24</x:f>
        <x:v>0</x:v>
      </x:c>
      <x:c r="AF17" s="153" t="n">
        <x:f>MAX(0,AF16)*'Dep_Tax'!AF24</x:f>
        <x:v>0</x:v>
      </x:c>
    </x:row>
    <x:row r="18" ht="15" hidden="0" customHeight="1">
      <x:c r="A18" s="219" t="str">
        <x:v>PCF-08</x:v>
      </x:c>
      <x:c r="B18" s="220" t="str">
        <x:v>CFADS</x:v>
      </x:c>
      <x:c r="C18" s="150" t="n">
        <x:f>C14-C17</x:f>
        <x:v>0</x:v>
      </x:c>
      <x:c r="D18" s="150" t="n">
        <x:f>D14-D17</x:f>
        <x:v>0</x:v>
      </x:c>
      <x:c r="E18" s="150" t="n">
        <x:f>E14-E17</x:f>
        <x:v>743.372496</x:v>
      </x:c>
      <x:c r="F18" s="150" t="n">
        <x:f>F14-F17</x:f>
        <x:v>738.314551008</x:v>
      </x:c>
      <x:c r="G18" s="150" t="n">
        <x:f>G14-G17</x:f>
        <x:v>733.1595859059842</x:v>
      </x:c>
      <x:c r="H18" s="150" t="n">
        <x:f>H14-H17</x:f>
        <x:v>727.9045806541722</x:v>
      </x:c>
      <x:c r="I18" s="150" t="n">
        <x:f>I14-I17</x:f>
        <x:v>701.2479535889405</x:v>
      </x:c>
      <x:c r="J18" s="150" t="n">
        <x:f>J14-J17</x:f>
        <x:v>696.0566691726043</x:v>
      </x:c>
      <x:c r="K18" s="150" t="n">
        <x:f>K14-K17</x:f>
        <x:v>690.7612139388261</x:v>
      </x:c>
      <x:c r="L18" s="150" t="n">
        <x:f>L14-L17</x:f>
        <x:v>685.358359627652</x:v>
      </x:c>
      <x:c r="M18" s="150" t="n">
        <x:f>M14-M17</x:f>
        <x:v>679.8447813376016</x:v>
      </x:c>
      <x:c r="N18" s="150" t="n">
        <x:f>N14-N17</x:f>
        <x:v>674.2170546260078</x:v>
      </x:c>
      <x:c r="O18" s="150" t="n">
        <x:f>O14-O17</x:f>
        <x:v>668.4716525223691</x:v>
      </x:c>
      <x:c r="P18" s="150" t="n">
        <x:f>P14-P17</x:f>
        <x:v>662.6049424521063</x:v>
      </x:c>
      <x:c r="Q18" s="150" t="n">
        <x:f>Q14-Q17</x:f>
        <x:v>656.6131830680276</x:v>
      </x:c>
      <x:c r="R18" s="150" t="n">
        <x:f>R14-R17</x:f>
        <x:v>631.865388303229</x:v>
      </x:c>
      <x:c r="S18" s="150" t="n">
        <x:f>S14-S17</x:f>
        <x:v>625.940988088892</x:v>
      </x:c>
      <x:c r="T18" s="150" t="n">
        <x:f>T14-T17</x:f>
        <x:v>583.9635218932018</x:v>
      </x:c>
      <x:c r="U18" s="150" t="n">
        <x:f>U14-U17</x:f>
        <x:v>578.4631750588837</x:v>
      </x:c>
      <x:c r="V18" s="150" t="n">
        <x:f>V14-V17</x:f>
        <x:v>572.8402974005182</x:v>
      </x:c>
      <x:c r="W18" s="150" t="n">
        <x:f>W14-W17</x:f>
        <x:v>567.091128034222</x:v>
      </x:c>
      <x:c r="X18" s="150" t="n">
        <x:f>X14-X17</x:f>
        <x:v>561.2117934195137</x:v>
      </x:c>
      <x:c r="Y18" s="150" t="n">
        <x:f>Y14-Y17</x:f>
        <x:v>0</x:v>
      </x:c>
      <x:c r="Z18" s="150" t="n">
        <x:f>Z14-Z17</x:f>
        <x:v>0</x:v>
      </x:c>
      <x:c r="AA18" s="150" t="n">
        <x:f>AA14-AA17</x:f>
        <x:v>0</x:v>
      </x:c>
      <x:c r="AB18" s="150" t="n">
        <x:f>AB14-AB17</x:f>
        <x:v>0</x:v>
      </x:c>
      <x:c r="AC18" s="150" t="n">
        <x:f>AC14-AC17</x:f>
        <x:v>0</x:v>
      </x:c>
      <x:c r="AD18" s="150" t="n">
        <x:f>AD14-AD17</x:f>
        <x:v>0</x:v>
      </x:c>
      <x:c r="AE18" s="150" t="n">
        <x:f>AE14-AE17</x:f>
        <x:v>0</x:v>
      </x:c>
      <x:c r="AF18" s="150" t="n">
        <x:f>AF14-AF17</x:f>
        <x:v>0</x:v>
      </x:c>
    </x:row>
    <x:row r="19" ht="15" hidden="0" customHeight="1">
      <x:c r="A19" s="216"/>
      <x:c r="B19" s="216"/>
      <x:c r="C19" s="209"/>
      <x:c r="D19" s="209"/>
      <x:c r="E19" s="209"/>
      <x:c r="F19" s="209"/>
      <x:c r="G19" s="209"/>
      <x:c r="H19" s="209"/>
      <x:c r="I19" s="209"/>
      <x:c r="J19" s="209"/>
      <x:c r="K19" s="209"/>
      <x:c r="L19" s="209"/>
      <x:c r="M19" s="209"/>
      <x:c r="N19" s="209"/>
      <x:c r="O19" s="209"/>
      <x:c r="P19" s="209"/>
      <x:c r="Q19" s="209"/>
      <x:c r="R19" s="209"/>
      <x:c r="S19" s="209"/>
      <x:c r="T19" s="209"/>
      <x:c r="U19" s="209"/>
      <x:c r="V19" s="209"/>
      <x:c r="W19" s="209"/>
      <x:c r="X19" s="209"/>
      <x:c r="Y19" s="209"/>
      <x:c r="Z19" s="209"/>
      <x:c r="AA19" s="209"/>
      <x:c r="AB19" s="209"/>
      <x:c r="AC19" s="209"/>
      <x:c r="AD19" s="209"/>
      <x:c r="AE19" s="209"/>
      <x:c r="AF19" s="209"/>
    </x:row>
    <x:row r="20" ht="15" hidden="0" customHeight="1">
      <x:c r="A20" s="218" t="str">
        <x:v>2. DÒNG TIỀN ĐẦU TƯ VÀ FCFF</x:v>
      </x:c>
      <x:c r="B20" s="218"/>
      <x:c r="C20" s="142"/>
      <x:c r="D20" s="142"/>
      <x:c r="E20" s="142"/>
      <x:c r="F20" s="142"/>
      <x:c r="G20" s="142"/>
      <x:c r="H20" s="142"/>
      <x:c r="I20" s="142"/>
      <x:c r="J20" s="142"/>
      <x:c r="K20" s="142"/>
      <x:c r="L20" s="142"/>
      <x:c r="M20" s="142"/>
      <x:c r="N20" s="142"/>
      <x:c r="O20" s="142"/>
      <x:c r="P20" s="142"/>
      <x:c r="Q20" s="142"/>
      <x:c r="R20" s="142"/>
      <x:c r="S20" s="142"/>
      <x:c r="T20" s="142"/>
      <x:c r="U20" s="142"/>
      <x:c r="V20" s="142"/>
      <x:c r="W20" s="142"/>
      <x:c r="X20" s="142"/>
      <x:c r="Y20" s="142"/>
      <x:c r="Z20" s="142"/>
      <x:c r="AA20" s="142"/>
      <x:c r="AB20" s="142"/>
      <x:c r="AC20" s="142"/>
      <x:c r="AD20" s="142"/>
      <x:c r="AE20" s="142"/>
      <x:c r="AF20" s="142"/>
    </x:row>
    <x:row r="21" ht="15" hidden="0" customHeight="1">
      <x:c r="A21" s="219" t="str">
        <x:v>PCF-09</x:v>
      </x:c>
      <x:c r="B21" s="219" t="str">
        <x:v>Chi đầu tư bao gồm VAT</x:v>
      </x:c>
      <x:c r="C21" s="153" t="n">
        <x:f>'CAPEX'!C15</x:f>
        <x:v>2455.2</x:v>
      </x:c>
      <x:c r="D21" s="153" t="n">
        <x:f>'CAPEX'!D15</x:f>
        <x:v>3682.8</x:v>
      </x:c>
      <x:c r="E21" s="153" t="n">
        <x:f>'CAPEX'!E15</x:f>
        <x:v>0</x:v>
      </x:c>
      <x:c r="F21" s="153" t="n">
        <x:f>'CAPEX'!F15</x:f>
        <x:v>0</x:v>
      </x:c>
      <x:c r="G21" s="153" t="n">
        <x:f>'CAPEX'!G15</x:f>
        <x:v>0</x:v>
      </x:c>
      <x:c r="H21" s="153" t="n">
        <x:f>'CAPEX'!H15</x:f>
        <x:v>0</x:v>
      </x:c>
      <x:c r="I21" s="153" t="n">
        <x:f>'CAPEX'!I15</x:f>
        <x:v>0</x:v>
      </x:c>
      <x:c r="J21" s="153" t="n">
        <x:f>'CAPEX'!J15</x:f>
        <x:v>0</x:v>
      </x:c>
      <x:c r="K21" s="153" t="n">
        <x:f>'CAPEX'!K15</x:f>
        <x:v>0</x:v>
      </x:c>
      <x:c r="L21" s="153" t="n">
        <x:f>'CAPEX'!L15</x:f>
        <x:v>0</x:v>
      </x:c>
      <x:c r="M21" s="153" t="n">
        <x:f>'CAPEX'!M15</x:f>
        <x:v>0</x:v>
      </x:c>
      <x:c r="N21" s="153" t="n">
        <x:f>'CAPEX'!N15</x:f>
        <x:v>0</x:v>
      </x:c>
      <x:c r="O21" s="153" t="n">
        <x:f>'CAPEX'!O15</x:f>
        <x:v>0</x:v>
      </x:c>
      <x:c r="P21" s="153" t="n">
        <x:f>'CAPEX'!P15</x:f>
        <x:v>0</x:v>
      </x:c>
      <x:c r="Q21" s="153" t="n">
        <x:f>'CAPEX'!Q15</x:f>
        <x:v>0</x:v>
      </x:c>
      <x:c r="R21" s="153" t="n">
        <x:f>'CAPEX'!R15</x:f>
        <x:v>0</x:v>
      </x:c>
      <x:c r="S21" s="153" t="n">
        <x:f>'CAPEX'!S15</x:f>
        <x:v>0</x:v>
      </x:c>
      <x:c r="T21" s="153" t="n">
        <x:f>'CAPEX'!T15</x:f>
        <x:v>0</x:v>
      </x:c>
      <x:c r="U21" s="153" t="n">
        <x:f>'CAPEX'!U15</x:f>
        <x:v>0</x:v>
      </x:c>
      <x:c r="V21" s="153" t="n">
        <x:f>'CAPEX'!V15</x:f>
        <x:v>0</x:v>
      </x:c>
      <x:c r="W21" s="153" t="n">
        <x:f>'CAPEX'!W15</x:f>
        <x:v>0</x:v>
      </x:c>
      <x:c r="X21" s="153" t="n">
        <x:f>'CAPEX'!X15</x:f>
        <x:v>0</x:v>
      </x:c>
      <x:c r="Y21" s="153" t="n">
        <x:f>'CAPEX'!Y15</x:f>
        <x:v>0</x:v>
      </x:c>
      <x:c r="Z21" s="153" t="n">
        <x:f>'CAPEX'!Z15</x:f>
        <x:v>0</x:v>
      </x:c>
      <x:c r="AA21" s="153" t="n">
        <x:f>'CAPEX'!AA15</x:f>
        <x:v>0</x:v>
      </x:c>
      <x:c r="AB21" s="153" t="n">
        <x:f>'CAPEX'!AB15</x:f>
        <x:v>0</x:v>
      </x:c>
      <x:c r="AC21" s="153" t="n">
        <x:f>'CAPEX'!AC15</x:f>
        <x:v>0</x:v>
      </x:c>
      <x:c r="AD21" s="153" t="n">
        <x:f>'CAPEX'!AD15</x:f>
        <x:v>0</x:v>
      </x:c>
      <x:c r="AE21" s="153" t="n">
        <x:f>'CAPEX'!AE15</x:f>
        <x:v>0</x:v>
      </x:c>
      <x:c r="AF21" s="153" t="n">
        <x:f>'CAPEX'!AF15</x:f>
        <x:v>0</x:v>
      </x:c>
    </x:row>
    <x:row r="22" ht="15" hidden="0" customHeight="1">
      <x:c r="A22" s="219" t="str">
        <x:v>PCF-10</x:v>
      </x:c>
      <x:c r="B22" s="219" t="str">
        <x:v>VAT nhận hoàn/khấu trừ</x:v>
      </x:c>
      <x:c r="C22" s="153" t="n">
        <x:f>'CAPEX'!C17</x:f>
        <x:v>0</x:v>
      </x:c>
      <x:c r="D22" s="153" t="n">
        <x:f>'CAPEX'!D17</x:f>
        <x:v>223.20000000000002</x:v>
      </x:c>
      <x:c r="E22" s="153" t="n">
        <x:f>'CAPEX'!E17</x:f>
        <x:v>334.8</x:v>
      </x:c>
      <x:c r="F22" s="153" t="n">
        <x:f>'CAPEX'!F17</x:f>
        <x:v>0</x:v>
      </x:c>
      <x:c r="G22" s="153" t="n">
        <x:f>'CAPEX'!G17</x:f>
        <x:v>0</x:v>
      </x:c>
      <x:c r="H22" s="153" t="n">
        <x:f>'CAPEX'!H17</x:f>
        <x:v>0</x:v>
      </x:c>
      <x:c r="I22" s="153" t="n">
        <x:f>'CAPEX'!I17</x:f>
        <x:v>0</x:v>
      </x:c>
      <x:c r="J22" s="153" t="n">
        <x:f>'CAPEX'!J17</x:f>
        <x:v>0</x:v>
      </x:c>
      <x:c r="K22" s="153" t="n">
        <x:f>'CAPEX'!K17</x:f>
        <x:v>0</x:v>
      </x:c>
      <x:c r="L22" s="153" t="n">
        <x:f>'CAPEX'!L17</x:f>
        <x:v>0</x:v>
      </x:c>
      <x:c r="M22" s="153" t="n">
        <x:f>'CAPEX'!M17</x:f>
        <x:v>0</x:v>
      </x:c>
      <x:c r="N22" s="153" t="n">
        <x:f>'CAPEX'!N17</x:f>
        <x:v>0</x:v>
      </x:c>
      <x:c r="O22" s="153" t="n">
        <x:f>'CAPEX'!O17</x:f>
        <x:v>0</x:v>
      </x:c>
      <x:c r="P22" s="153" t="n">
        <x:f>'CAPEX'!P17</x:f>
        <x:v>0</x:v>
      </x:c>
      <x:c r="Q22" s="153" t="n">
        <x:f>'CAPEX'!Q17</x:f>
        <x:v>0</x:v>
      </x:c>
      <x:c r="R22" s="153" t="n">
        <x:f>'CAPEX'!R17</x:f>
        <x:v>0</x:v>
      </x:c>
      <x:c r="S22" s="153" t="n">
        <x:f>'CAPEX'!S17</x:f>
        <x:v>0</x:v>
      </x:c>
      <x:c r="T22" s="153" t="n">
        <x:f>'CAPEX'!T17</x:f>
        <x:v>0</x:v>
      </x:c>
      <x:c r="U22" s="153" t="n">
        <x:f>'CAPEX'!U17</x:f>
        <x:v>0</x:v>
      </x:c>
      <x:c r="V22" s="153" t="n">
        <x:f>'CAPEX'!V17</x:f>
        <x:v>0</x:v>
      </x:c>
      <x:c r="W22" s="153" t="n">
        <x:f>'CAPEX'!W17</x:f>
        <x:v>0</x:v>
      </x:c>
      <x:c r="X22" s="153" t="n">
        <x:f>'CAPEX'!X17</x:f>
        <x:v>0</x:v>
      </x:c>
      <x:c r="Y22" s="153" t="n">
        <x:f>'CAPEX'!Y17</x:f>
        <x:v>0</x:v>
      </x:c>
      <x:c r="Z22" s="153" t="n">
        <x:f>'CAPEX'!Z17</x:f>
        <x:v>0</x:v>
      </x:c>
      <x:c r="AA22" s="153" t="n">
        <x:f>'CAPEX'!AA17</x:f>
        <x:v>0</x:v>
      </x:c>
      <x:c r="AB22" s="153" t="n">
        <x:f>'CAPEX'!AB17</x:f>
        <x:v>0</x:v>
      </x:c>
      <x:c r="AC22" s="153" t="n">
        <x:f>'CAPEX'!AC17</x:f>
        <x:v>0</x:v>
      </x:c>
      <x:c r="AD22" s="153" t="n">
        <x:f>'CAPEX'!AD17</x:f>
        <x:v>0</x:v>
      </x:c>
      <x:c r="AE22" s="153" t="n">
        <x:f>'CAPEX'!AE17</x:f>
        <x:v>0</x:v>
      </x:c>
      <x:c r="AF22" s="153" t="n">
        <x:f>'CAPEX'!AF17</x:f>
        <x:v>0</x:v>
      </x:c>
    </x:row>
    <x:row r="23" ht="15" hidden="0" customHeight="1">
      <x:c r="A23" s="219" t="str">
        <x:v>PCF-11</x:v>
      </x:c>
      <x:c r="B23" s="219" t="str">
        <x:v>Giá trị thu hồi ròng</x:v>
      </x:c>
      <x:c r="C23" s="153" t="n">
        <x:f>IF(C$6='Input'!$D$18,'Input'!$D$28,0)</x:f>
        <x:v>0</x:v>
      </x:c>
      <x:c r="D23" s="153" t="n">
        <x:f>IF(D$6='Input'!$D$18,'Input'!$D$28,0)</x:f>
        <x:v>0</x:v>
      </x:c>
      <x:c r="E23" s="153" t="n">
        <x:f>IF(E$6='Input'!$D$18,'Input'!$D$28,0)</x:f>
        <x:v>0</x:v>
      </x:c>
      <x:c r="F23" s="153" t="n">
        <x:f>IF(F$6='Input'!$D$18,'Input'!$D$28,0)</x:f>
        <x:v>0</x:v>
      </x:c>
      <x:c r="G23" s="153" t="n">
        <x:f>IF(G$6='Input'!$D$18,'Input'!$D$28,0)</x:f>
        <x:v>0</x:v>
      </x:c>
      <x:c r="H23" s="153" t="n">
        <x:f>IF(H$6='Input'!$D$18,'Input'!$D$28,0)</x:f>
        <x:v>0</x:v>
      </x:c>
      <x:c r="I23" s="153" t="n">
        <x:f>IF(I$6='Input'!$D$18,'Input'!$D$28,0)</x:f>
        <x:v>0</x:v>
      </x:c>
      <x:c r="J23" s="153" t="n">
        <x:f>IF(J$6='Input'!$D$18,'Input'!$D$28,0)</x:f>
        <x:v>0</x:v>
      </x:c>
      <x:c r="K23" s="153" t="n">
        <x:f>IF(K$6='Input'!$D$18,'Input'!$D$28,0)</x:f>
        <x:v>0</x:v>
      </x:c>
      <x:c r="L23" s="153" t="n">
        <x:f>IF(L$6='Input'!$D$18,'Input'!$D$28,0)</x:f>
        <x:v>0</x:v>
      </x:c>
      <x:c r="M23" s="153" t="n">
        <x:f>IF(M$6='Input'!$D$18,'Input'!$D$28,0)</x:f>
        <x:v>0</x:v>
      </x:c>
      <x:c r="N23" s="153" t="n">
        <x:f>IF(N$6='Input'!$D$18,'Input'!$D$28,0)</x:f>
        <x:v>0</x:v>
      </x:c>
      <x:c r="O23" s="153" t="n">
        <x:f>IF(O$6='Input'!$D$18,'Input'!$D$28,0)</x:f>
        <x:v>0</x:v>
      </x:c>
      <x:c r="P23" s="153" t="n">
        <x:f>IF(P$6='Input'!$D$18,'Input'!$D$28,0)</x:f>
        <x:v>0</x:v>
      </x:c>
      <x:c r="Q23" s="153" t="n">
        <x:f>IF(Q$6='Input'!$D$18,'Input'!$D$28,0)</x:f>
        <x:v>0</x:v>
      </x:c>
      <x:c r="R23" s="153" t="n">
        <x:f>IF(R$6='Input'!$D$18,'Input'!$D$28,0)</x:f>
        <x:v>0</x:v>
      </x:c>
      <x:c r="S23" s="153" t="n">
        <x:f>IF(S$6='Input'!$D$18,'Input'!$D$28,0)</x:f>
        <x:v>0</x:v>
      </x:c>
      <x:c r="T23" s="153" t="n">
        <x:f>IF(T$6='Input'!$D$18,'Input'!$D$28,0)</x:f>
        <x:v>0</x:v>
      </x:c>
      <x:c r="U23" s="153" t="n">
        <x:f>IF(U$6='Input'!$D$18,'Input'!$D$28,0)</x:f>
        <x:v>0</x:v>
      </x:c>
      <x:c r="V23" s="153" t="n">
        <x:f>IF(V$6='Input'!$D$18,'Input'!$D$28,0)</x:f>
        <x:v>0</x:v>
      </x:c>
      <x:c r="W23" s="153" t="n">
        <x:f>IF(W$6='Input'!$D$18,'Input'!$D$28,0)</x:f>
        <x:v>0</x:v>
      </x:c>
      <x:c r="X23" s="153" t="n">
        <x:f>IF(X$6='Input'!$D$18,'Input'!$D$28,0)</x:f>
        <x:v>0</x:v>
      </x:c>
      <x:c r="Y23" s="153" t="n">
        <x:f>IF(Y$6='Input'!$D$18,'Input'!$D$28,0)</x:f>
        <x:v>0</x:v>
      </x:c>
      <x:c r="Z23" s="153" t="n">
        <x:f>IF(Z$6='Input'!$D$18,'Input'!$D$28,0)</x:f>
        <x:v>0</x:v>
      </x:c>
      <x:c r="AA23" s="153" t="n">
        <x:f>IF(AA$6='Input'!$D$18,'Input'!$D$28,0)</x:f>
        <x:v>0</x:v>
      </x:c>
      <x:c r="AB23" s="153" t="n">
        <x:f>IF(AB$6='Input'!$D$18,'Input'!$D$28,0)</x:f>
        <x:v>0</x:v>
      </x:c>
      <x:c r="AC23" s="153" t="n">
        <x:f>IF(AC$6='Input'!$D$18,'Input'!$D$28,0)</x:f>
        <x:v>0</x:v>
      </x:c>
      <x:c r="AD23" s="153" t="n">
        <x:f>IF(AD$6='Input'!$D$18,'Input'!$D$28,0)</x:f>
        <x:v>0</x:v>
      </x:c>
      <x:c r="AE23" s="153" t="n">
        <x:f>IF(AE$6='Input'!$D$18,'Input'!$D$28,0)</x:f>
        <x:v>0</x:v>
      </x:c>
      <x:c r="AF23" s="153" t="n">
        <x:f>IF(AF$6='Input'!$D$18,'Input'!$D$28,0)</x:f>
        <x:v>0</x:v>
      </x:c>
    </x:row>
    <x:row r="24" ht="15" hidden="0" customHeight="1">
      <x:c r="A24" s="219" t="str">
        <x:v>PCF-12</x:v>
      </x:c>
      <x:c r="B24" s="220" t="str">
        <x:v>Dòng tiền tự do dự án (FCFF)</x:v>
      </x:c>
      <x:c r="C24" s="150" t="n">
        <x:f>C18-C21+C22+C23</x:f>
        <x:v>-2455.2</x:v>
      </x:c>
      <x:c r="D24" s="150" t="n">
        <x:f>D18-D21+D22+D23</x:f>
        <x:v>-3459.6000000000004</x:v>
      </x:c>
      <x:c r="E24" s="150" t="n">
        <x:f>E18-E21+E22+E23</x:f>
        <x:v>1078.172496</x:v>
      </x:c>
      <x:c r="F24" s="150" t="n">
        <x:f>F18-F21+F22+F23</x:f>
        <x:v>738.314551008</x:v>
      </x:c>
      <x:c r="G24" s="150" t="n">
        <x:f>G18-G21+G22+G23</x:f>
        <x:v>733.1595859059842</x:v>
      </x:c>
      <x:c r="H24" s="150" t="n">
        <x:f>H18-H21+H22+H23</x:f>
        <x:v>727.9045806541722</x:v>
      </x:c>
      <x:c r="I24" s="150" t="n">
        <x:f>I18-I21+I22+I23</x:f>
        <x:v>701.2479535889405</x:v>
      </x:c>
      <x:c r="J24" s="150" t="n">
        <x:f>J18-J21+J22+J23</x:f>
        <x:v>696.0566691726043</x:v>
      </x:c>
      <x:c r="K24" s="150" t="n">
        <x:f>K18-K21+K22+K23</x:f>
        <x:v>690.7612139388261</x:v>
      </x:c>
      <x:c r="L24" s="150" t="n">
        <x:f>L18-L21+L22+L23</x:f>
        <x:v>685.358359627652</x:v>
      </x:c>
      <x:c r="M24" s="150" t="n">
        <x:f>M18-M21+M22+M23</x:f>
        <x:v>679.8447813376016</x:v>
      </x:c>
      <x:c r="N24" s="150" t="n">
        <x:f>N18-N21+N22+N23</x:f>
        <x:v>674.2170546260078</x:v>
      </x:c>
      <x:c r="O24" s="150" t="n">
        <x:f>O18-O21+O22+O23</x:f>
        <x:v>668.4716525223691</x:v>
      </x:c>
      <x:c r="P24" s="150" t="n">
        <x:f>P18-P21+P22+P23</x:f>
        <x:v>662.6049424521063</x:v>
      </x:c>
      <x:c r="Q24" s="150" t="n">
        <x:f>Q18-Q21+Q22+Q23</x:f>
        <x:v>656.6131830680276</x:v>
      </x:c>
      <x:c r="R24" s="150" t="n">
        <x:f>R18-R21+R22+R23</x:f>
        <x:v>631.865388303229</x:v>
      </x:c>
      <x:c r="S24" s="150" t="n">
        <x:f>S18-S21+S22+S23</x:f>
        <x:v>625.940988088892</x:v>
      </x:c>
      <x:c r="T24" s="150" t="n">
        <x:f>T18-T21+T22+T23</x:f>
        <x:v>583.9635218932018</x:v>
      </x:c>
      <x:c r="U24" s="150" t="n">
        <x:f>U18-U21+U22+U23</x:f>
        <x:v>578.4631750588837</x:v>
      </x:c>
      <x:c r="V24" s="150" t="n">
        <x:f>V18-V21+V22+V23</x:f>
        <x:v>572.8402974005182</x:v>
      </x:c>
      <x:c r="W24" s="150" t="n">
        <x:f>W18-W21+W22+W23</x:f>
        <x:v>567.091128034222</x:v>
      </x:c>
      <x:c r="X24" s="150" t="n">
        <x:f>X18-X21+X22+X23</x:f>
        <x:v>561.2117934195137</x:v>
      </x:c>
      <x:c r="Y24" s="150" t="n">
        <x:f>Y18-Y21+Y22+Y23</x:f>
        <x:v>0</x:v>
      </x:c>
      <x:c r="Z24" s="150" t="n">
        <x:f>Z18-Z21+Z22+Z23</x:f>
        <x:v>0</x:v>
      </x:c>
      <x:c r="AA24" s="150" t="n">
        <x:f>AA18-AA21+AA22+AA23</x:f>
        <x:v>0</x:v>
      </x:c>
      <x:c r="AB24" s="150" t="n">
        <x:f>AB18-AB21+AB22+AB23</x:f>
        <x:v>0</x:v>
      </x:c>
      <x:c r="AC24" s="150" t="n">
        <x:f>AC18-AC21+AC22+AC23</x:f>
        <x:v>0</x:v>
      </x:c>
      <x:c r="AD24" s="150" t="n">
        <x:f>AD18-AD21+AD22+AD23</x:f>
        <x:v>0</x:v>
      </x:c>
      <x:c r="AE24" s="150" t="n">
        <x:f>AE18-AE21+AE22+AE23</x:f>
        <x:v>0</x:v>
      </x:c>
      <x:c r="AF24" s="150" t="n">
        <x:f>AF18-AF21+AF22+AF23</x:f>
        <x:v>0</x:v>
      </x:c>
    </x:row>
    <x:row r="25" ht="15" hidden="0" customHeight="1">
      <x:c r="A25" s="219" t="str">
        <x:v>PCF-13</x:v>
      </x:c>
      <x:c r="B25" s="219" t="str">
        <x:v>Hệ số chiết khấu</x:v>
      </x:c>
      <x:c r="C25" s="182" t="n">
        <x:f>IF(C$6="",0,1/(1+'Input'!$D$74)^C$7)</x:f>
        <x:v>1</x:v>
      </x:c>
      <x:c r="D25" s="182" t="n">
        <x:f>IF(D$6="",0,1/(1+'Input'!$D$74)^D$7)</x:f>
        <x:v>0.9090909090909091</x:v>
      </x:c>
      <x:c r="E25" s="182" t="n">
        <x:f>IF(E$6="",0,1/(1+'Input'!$D$74)^E$7)</x:f>
        <x:v>0.8264462809917354</x:v>
      </x:c>
      <x:c r="F25" s="182" t="n">
        <x:f>IF(F$6="",0,1/(1+'Input'!$D$74)^F$7)</x:f>
        <x:v>0.7513148009015775</x:v>
      </x:c>
      <x:c r="G25" s="182" t="n">
        <x:f>IF(G$6="",0,1/(1+'Input'!$D$74)^G$7)</x:f>
        <x:v>0.6830134553650705</x:v>
      </x:c>
      <x:c r="H25" s="182" t="n">
        <x:f>IF(H$6="",0,1/(1+'Input'!$D$74)^H$7)</x:f>
        <x:v>0.6209213230591549</x:v>
      </x:c>
      <x:c r="I25" s="182" t="n">
        <x:f>IF(I$6="",0,1/(1+'Input'!$D$74)^I$7)</x:f>
        <x:v>0.5644739300537772</x:v>
      </x:c>
      <x:c r="J25" s="182" t="n">
        <x:f>IF(J$6="",0,1/(1+'Input'!$D$74)^J$7)</x:f>
        <x:v>0.5131581182307065</x:v>
      </x:c>
      <x:c r="K25" s="182" t="n">
        <x:f>IF(K$6="",0,1/(1+'Input'!$D$74)^K$7)</x:f>
        <x:v>0.4665073802097331</x:v>
      </x:c>
      <x:c r="L25" s="182" t="n">
        <x:f>IF(L$6="",0,1/(1+'Input'!$D$74)^L$7)</x:f>
        <x:v>0.42409761837248455</x:v>
      </x:c>
      <x:c r="M25" s="182" t="n">
        <x:f>IF(M$6="",0,1/(1+'Input'!$D$74)^M$7)</x:f>
        <x:v>0.3855432894295314</x:v>
      </x:c>
      <x:c r="N25" s="182" t="n">
        <x:f>IF(N$6="",0,1/(1+'Input'!$D$74)^N$7)</x:f>
        <x:v>0.3504938994813922</x:v>
      </x:c>
      <x:c r="O25" s="182" t="n">
        <x:f>IF(O$6="",0,1/(1+'Input'!$D$74)^O$7)</x:f>
        <x:v>0.3186308177103565</x:v>
      </x:c>
      <x:c r="P25" s="182" t="n">
        <x:f>IF(P$6="",0,1/(1+'Input'!$D$74)^P$7)</x:f>
        <x:v>0.2896643797366877</x:v>
      </x:c>
      <x:c r="Q25" s="182" t="n">
        <x:f>IF(Q$6="",0,1/(1+'Input'!$D$74)^Q$7)</x:f>
        <x:v>0.26333125430607973</x:v>
      </x:c>
      <x:c r="R25" s="182" t="n">
        <x:f>IF(R$6="",0,1/(1+'Input'!$D$74)^R$7)</x:f>
        <x:v>0.23939204936916333</x:v>
      </x:c>
      <x:c r="S25" s="182" t="n">
        <x:f>IF(S$6="",0,1/(1+'Input'!$D$74)^S$7)</x:f>
        <x:v>0.2176291357901485</x:v>
      </x:c>
      <x:c r="T25" s="182" t="n">
        <x:f>IF(T$6="",0,1/(1+'Input'!$D$74)^T$7)</x:f>
        <x:v>0.19784466890013497</x:v>
      </x:c>
      <x:c r="U25" s="182" t="n">
        <x:f>IF(U$6="",0,1/(1+'Input'!$D$74)^U$7)</x:f>
        <x:v>0.17985878990921358</x:v>
      </x:c>
      <x:c r="V25" s="182" t="n">
        <x:f>IF(V$6="",0,1/(1+'Input'!$D$74)^V$7)</x:f>
        <x:v>0.16350799082655781</x:v>
      </x:c>
      <x:c r="W25" s="182" t="n">
        <x:f>IF(W$6="",0,1/(1+'Input'!$D$74)^W$7)</x:f>
        <x:v>0.14864362802414344</x:v>
      </x:c>
      <x:c r="X25" s="182" t="n">
        <x:f>IF(X$6="",0,1/(1+'Input'!$D$74)^X$7)</x:f>
        <x:v>0.13513057093103947</x:v>
      </x:c>
      <x:c r="Y25" s="182" t="n">
        <x:f>IF(Y$6="",0,1/(1+'Input'!$D$74)^Y$7)</x:f>
        <x:v>0.12284597357367225</x:v>
      </x:c>
      <x:c r="Z25" s="182" t="n">
        <x:f>IF(Z$6="",0,1/(1+'Input'!$D$74)^Z$7)</x:f>
        <x:v>0.11167815779424749</x:v>
      </x:c>
      <x:c r="AA25" s="182" t="n">
        <x:f>IF(AA$6="",0,1/(1+'Input'!$D$74)^AA$7)</x:f>
        <x:v>0.10152559799477044</x:v>
      </x:c>
      <x:c r="AB25" s="182" t="n">
        <x:f>IF(AB$6="",0,1/(1+'Input'!$D$74)^AB$7)</x:f>
        <x:v>0.09229599817706402</x:v>
      </x:c>
      <x:c r="AC25" s="182" t="n">
        <x:f>IF(AC$6="",0,1/(1+'Input'!$D$74)^AC$7)</x:f>
        <x:v>0.08390545288824001</x:v>
      </x:c>
      <x:c r="AD25" s="182" t="n">
        <x:f>IF(AD$6="",0,1/(1+'Input'!$D$74)^AD$7)</x:f>
        <x:v>0.07627768444385455</x:v>
      </x:c>
      <x:c r="AE25" s="182" t="n">
        <x:f>IF(AE$6="",0,1/(1+'Input'!$D$74)^AE$7)</x:f>
        <x:v>0.06934334949441322</x:v>
      </x:c>
      <x:c r="AF25" s="182" t="n">
        <x:f>IF(AF$6="",0,1/(1+'Input'!$D$74)^AF$7)</x:f>
        <x:v>0.06303940863128475</x:v>
      </x:c>
    </x:row>
    <x:row r="26" ht="15" hidden="0" customHeight="1">
      <x:c r="A26" s="219" t="str">
        <x:v>PCF-14</x:v>
      </x:c>
      <x:c r="B26" s="220" t="str">
        <x:v>Giá trị hiện tại FCFF</x:v>
      </x:c>
      <x:c r="C26" s="150" t="n">
        <x:f>C24*C25</x:f>
        <x:v>-2455.2</x:v>
      </x:c>
      <x:c r="D26" s="150" t="n">
        <x:f>D24*D25</x:f>
        <x:v>-3145.0909090909095</x:v>
      </x:c>
      <x:c r="E26" s="150" t="n">
        <x:f>E24*E25</x:f>
        <x:v>891.0516495867766</x:v>
      </x:c>
      <x:c r="F26" s="150" t="n">
        <x:f>F24*F25</x:f>
        <x:v>554.706649893313</x:v>
      </x:c>
      <x:c r="G26" s="150" t="n">
        <x:f>G24*G25</x:f>
        <x:v>500.7578621036705</x:v>
      </x:c>
      <x:c r="H26" s="150" t="n">
        <x:f>H24*H25</x:f>
        <x:v>451.97147528060793</x:v>
      </x:c>
      <x:c r="I26" s="150" t="n">
        <x:f>I24*I25</x:f>
        <x:v>395.83618830451803</x:v>
      </x:c>
      <x:c r="J26" s="150" t="n">
        <x:f>J24*J25</x:f>
        <x:v>357.187130534547</x:v>
      </x:c>
      <x:c r="K26" s="150" t="n">
        <x:f>K24*K25</x:f>
        <x:v>322.24520426509673</x:v>
      </x:c>
      <x:c r="L26" s="150" t="n">
        <x:f>L24*L25</x:f>
        <x:v>290.65884804975997</x:v>
      </x:c>
      <x:c r="M26" s="150" t="n">
        <x:f>M24*M25</x:f>
        <x:v>262.10959329839943</x:v>
      </x:c>
      <x:c r="N26" s="150" t="n">
        <x:f>N24*N25</x:f>
        <x:v>236.30896457272829</x:v>
      </x:c>
      <x:c r="O26" s="150" t="n">
        <x:f>O24*O25</x:f>
        <x:v>212.99566925939578</x:v>
      </x:c>
      <x:c r="P26" s="150" t="n">
        <x:f>P24*P25</x:f>
        <x:v>191.93304966585302</x:v>
      </x:c>
      <x:c r="Q26" s="150" t="n">
        <x:f>Q24*Q25</x:f>
        <x:v>172.90677309121128</x:v>
      </x:c>
      <x:c r="R26" s="150" t="n">
        <x:f>R24*R25</x:f>
        <x:v>151.26355023135216</x:v>
      </x:c>
      <x:c r="S26" s="150" t="n">
        <x:f>S24*S25</x:f>
        <x:v>136.2229962934172</x:v>
      </x:c>
      <x:c r="T26" s="150" t="n">
        <x:f>T24*T25</x:f>
        <x:v>115.53406963871723</x:v>
      </x:c>
      <x:c r="U26" s="150" t="n">
        <x:f>U24*U25</x:f>
        <x:v>104.0416866731324</x:v>
      </x:c>
      <x:c r="V26" s="150" t="n">
        <x:f>V24*V25</x:f>
        <x:v>93.66396609244659</x:v>
      </x:c>
      <x:c r="W26" s="150" t="n">
        <x:f>W24*W25</x:f>
        <x:v>84.2944826913108</x:v>
      </x:c>
      <x:c r="X26" s="150" t="n">
        <x:f>X24*X25</x:f>
        <x:v>75.83687005801147</x:v>
      </x:c>
      <x:c r="Y26" s="150" t="n">
        <x:f>Y24*Y25</x:f>
        <x:v>0</x:v>
      </x:c>
      <x:c r="Z26" s="150" t="n">
        <x:f>Z24*Z25</x:f>
        <x:v>0</x:v>
      </x:c>
      <x:c r="AA26" s="150" t="n">
        <x:f>AA24*AA25</x:f>
        <x:v>0</x:v>
      </x:c>
      <x:c r="AB26" s="150" t="n">
        <x:f>AB24*AB25</x:f>
        <x:v>0</x:v>
      </x:c>
      <x:c r="AC26" s="150" t="n">
        <x:f>AC24*AC25</x:f>
        <x:v>0</x:v>
      </x:c>
      <x:c r="AD26" s="150" t="n">
        <x:f>AD24*AD25</x:f>
        <x:v>0</x:v>
      </x:c>
      <x:c r="AE26" s="150" t="n">
        <x:f>AE24*AE25</x:f>
        <x:v>0</x:v>
      </x:c>
      <x:c r="AF26" s="150" t="n">
        <x:f>AF24*AF25</x:f>
        <x:v>0</x:v>
      </x:c>
    </x:row>
    <x:row r="27" ht="15" hidden="0" customHeight="1">
      <x:c r="A27" s="219" t="str">
        <x:v>PCF-15</x:v>
      </x:c>
      <x:c r="B27" s="220" t="str">
        <x:v>Dòng tiền tích lũy</x:v>
      </x:c>
      <x:c r="C27" s="150" t="n">
        <x:f>C24</x:f>
        <x:v>-2455.2</x:v>
      </x:c>
      <x:c r="D27" s="150" t="n">
        <x:f>C27+D24</x:f>
        <x:v>-5914.8</x:v>
      </x:c>
      <x:c r="E27" s="150" t="n">
        <x:f>D27+E24</x:f>
        <x:v>-4836.627504</x:v>
      </x:c>
      <x:c r="F27" s="150" t="n">
        <x:f>E27+F24</x:f>
        <x:v>-4098.312952992</x:v>
      </x:c>
      <x:c r="G27" s="150" t="n">
        <x:f>F27+G24</x:f>
        <x:v>-3365.1533670860154</x:v>
      </x:c>
      <x:c r="H27" s="150" t="n">
        <x:f>G27+H24</x:f>
        <x:v>-2637.248786431843</x:v>
      </x:c>
      <x:c r="I27" s="150" t="n">
        <x:f>H27+I24</x:f>
        <x:v>-1936.0008328429026</x:v>
      </x:c>
      <x:c r="J27" s="150" t="n">
        <x:f>I27+J24</x:f>
        <x:v>-1239.9441636702982</x:v>
      </x:c>
      <x:c r="K27" s="150" t="n">
        <x:f>J27+K24</x:f>
        <x:v>-549.182949731472</x:v>
      </x:c>
      <x:c r="L27" s="150" t="n">
        <x:f>K27+L24</x:f>
        <x:v>136.17540989617999</x:v>
      </x:c>
      <x:c r="M27" s="150" t="n">
        <x:f>L27+M24</x:f>
        <x:v>816.0201912337816</x:v>
      </x:c>
      <x:c r="N27" s="150" t="n">
        <x:f>M27+N24</x:f>
        <x:v>1490.2372458597893</x:v>
      </x:c>
      <x:c r="O27" s="150" t="n">
        <x:f>N27+O24</x:f>
        <x:v>2158.7088983821586</x:v>
      </x:c>
      <x:c r="P27" s="150" t="n">
        <x:f>O27+P24</x:f>
        <x:v>2821.3138408342647</x:v>
      </x:c>
      <x:c r="Q27" s="150" t="n">
        <x:f>P27+Q24</x:f>
        <x:v>3477.9270239022926</x:v>
      </x:c>
      <x:c r="R27" s="150" t="n">
        <x:f>Q27+R24</x:f>
        <x:v>4109.792412205522</x:v>
      </x:c>
      <x:c r="S27" s="150" t="n">
        <x:f>R27+S24</x:f>
        <x:v>4735.7334002944135</x:v>
      </x:c>
      <x:c r="T27" s="150" t="n">
        <x:f>S27+T24</x:f>
        <x:v>5319.696922187615</x:v>
      </x:c>
      <x:c r="U27" s="150" t="n">
        <x:f>T27+U24</x:f>
        <x:v>5898.1600972464985</x:v>
      </x:c>
      <x:c r="V27" s="150" t="n">
        <x:f>U27+V24</x:f>
        <x:v>6471.000394647017</x:v>
      </x:c>
      <x:c r="W27" s="150" t="n">
        <x:f>V27+W24</x:f>
        <x:v>7038.091522681239</x:v>
      </x:c>
      <x:c r="X27" s="150" t="n">
        <x:f>W27+X24</x:f>
        <x:v>7599.303316100753</x:v>
      </x:c>
      <x:c r="Y27" s="150" t="n">
        <x:f>X27+Y24</x:f>
        <x:v>7599.303316100753</x:v>
      </x:c>
      <x:c r="Z27" s="150" t="n">
        <x:f>Y27+Z24</x:f>
        <x:v>7599.303316100753</x:v>
      </x:c>
      <x:c r="AA27" s="150" t="n">
        <x:f>Z27+AA24</x:f>
        <x:v>7599.303316100753</x:v>
      </x:c>
      <x:c r="AB27" s="150" t="n">
        <x:f>AA27+AB24</x:f>
        <x:v>7599.303316100753</x:v>
      </x:c>
      <x:c r="AC27" s="150" t="n">
        <x:f>AB27+AC24</x:f>
        <x:v>7599.303316100753</x:v>
      </x:c>
      <x:c r="AD27" s="150" t="n">
        <x:f>AC27+AD24</x:f>
        <x:v>7599.303316100753</x:v>
      </x:c>
      <x:c r="AE27" s="150" t="n">
        <x:f>AD27+AE24</x:f>
        <x:v>7599.303316100753</x:v>
      </x:c>
      <x:c r="AF27" s="150" t="n">
        <x:f>AE27+AF24</x:f>
        <x:v>7599.303316100753</x:v>
      </x:c>
    </x:row>
    <x:row r="28" ht="15" hidden="0" customHeight="1">
      <x:c r="A28" s="219" t="str">
        <x:v>PCF-16</x:v>
      </x:c>
      <x:c r="B28" s="219" t="str">
        <x:v>Năm hoàn vốn hỗ trợ</x:v>
      </x:c>
      <x:c r="C28" s="166" t="str">
        <x:f>IF(C27&gt;=0,C$6,"")</x:f>
      </x:c>
      <x:c r="D28" s="166" t="str">
        <x:f>IF(D27&gt;=0,D$6,"")</x:f>
      </x:c>
      <x:c r="E28" s="166" t="str">
        <x:f>IF(E27&gt;=0,E$6,"")</x:f>
      </x:c>
      <x:c r="F28" s="166" t="str">
        <x:f>IF(F27&gt;=0,F$6,"")</x:f>
      </x:c>
      <x:c r="G28" s="166" t="str">
        <x:f>IF(G27&gt;=0,G$6,"")</x:f>
      </x:c>
      <x:c r="H28" s="166" t="str">
        <x:f>IF(H27&gt;=0,H$6,"")</x:f>
      </x:c>
      <x:c r="I28" s="166" t="str">
        <x:f>IF(I27&gt;=0,I$6,"")</x:f>
      </x:c>
      <x:c r="J28" s="166" t="str">
        <x:f>IF(J27&gt;=0,J$6,"")</x:f>
      </x:c>
      <x:c r="K28" s="166" t="str">
        <x:f>IF(K27&gt;=0,K$6,"")</x:f>
      </x:c>
      <x:c r="L28" s="166" t="n">
        <x:f>IF(L27&gt;=0,L$6,"")</x:f>
        <x:v>2034</x:v>
      </x:c>
      <x:c r="M28" s="166" t="n">
        <x:f>IF(M27&gt;=0,M$6,"")</x:f>
        <x:v>2035</x:v>
      </x:c>
      <x:c r="N28" s="166" t="n">
        <x:f>IF(N27&gt;=0,N$6,"")</x:f>
        <x:v>2036</x:v>
      </x:c>
      <x:c r="O28" s="166" t="n">
        <x:f>IF(O27&gt;=0,O$6,"")</x:f>
        <x:v>2037</x:v>
      </x:c>
      <x:c r="P28" s="166" t="n">
        <x:f>IF(P27&gt;=0,P$6,"")</x:f>
        <x:v>2038</x:v>
      </x:c>
      <x:c r="Q28" s="166" t="n">
        <x:f>IF(Q27&gt;=0,Q$6,"")</x:f>
        <x:v>2039</x:v>
      </x:c>
      <x:c r="R28" s="166" t="n">
        <x:f>IF(R27&gt;=0,R$6,"")</x:f>
        <x:v>2040</x:v>
      </x:c>
      <x:c r="S28" s="166" t="n">
        <x:f>IF(S27&gt;=0,S$6,"")</x:f>
        <x:v>2041</x:v>
      </x:c>
      <x:c r="T28" s="166" t="n">
        <x:f>IF(T27&gt;=0,T$6,"")</x:f>
        <x:v>2042</x:v>
      </x:c>
      <x:c r="U28" s="166" t="n">
        <x:f>IF(U27&gt;=0,U$6,"")</x:f>
        <x:v>2043</x:v>
      </x:c>
      <x:c r="V28" s="166" t="n">
        <x:f>IF(V27&gt;=0,V$6,"")</x:f>
        <x:v>2044</x:v>
      </x:c>
      <x:c r="W28" s="166" t="n">
        <x:f>IF(W27&gt;=0,W$6,"")</x:f>
        <x:v>2045</x:v>
      </x:c>
      <x:c r="X28" s="166" t="n">
        <x:f>IF(X27&gt;=0,X$6,"")</x:f>
        <x:v>2046</x:v>
      </x:c>
      <x:c r="Y28" s="166" t="n">
        <x:f>IF(Y27&gt;=0,Y$6,"")</x:f>
        <x:v>2047</x:v>
      </x:c>
      <x:c r="Z28" s="166" t="n">
        <x:f>IF(Z27&gt;=0,Z$6,"")</x:f>
        <x:v>2048</x:v>
      </x:c>
      <x:c r="AA28" s="166" t="n">
        <x:f>IF(AA27&gt;=0,AA$6,"")</x:f>
        <x:v>2049</x:v>
      </x:c>
      <x:c r="AB28" s="166" t="n">
        <x:f>IF(AB27&gt;=0,AB$6,"")</x:f>
        <x:v>2050</x:v>
      </x:c>
      <x:c r="AC28" s="166" t="n">
        <x:f>IF(AC27&gt;=0,AC$6,"")</x:f>
        <x:v>2051</x:v>
      </x:c>
      <x:c r="AD28" s="166" t="n">
        <x:f>IF(AD27&gt;=0,AD$6,"")</x:f>
        <x:v>2052</x:v>
      </x:c>
      <x:c r="AE28" s="166" t="n">
        <x:f>IF(AE27&gt;=0,AE$6,"")</x:f>
        <x:v>2053</x:v>
      </x:c>
      <x:c r="AF28" s="166" t="n">
        <x:f>IF(AF27&gt;=0,AF$6,"")</x:f>
        <x:v>2054</x:v>
      </x:c>
    </x:row>
    <x:row r="29" ht="15" hidden="0" customHeight="1">
      <x:c r="A29" s="219" t="str">
        <x:v>PCF-17</x:v>
      </x:c>
      <x:c r="B29" s="219" t="str">
        <x:v>PV chi phí cho LCOE</x:v>
      </x:c>
      <x:c r="C29" s="153" t="n">
        <x:f>(C21-C22+C13-C23)*C25</x:f>
        <x:v>2455.2</x:v>
      </x:c>
      <x:c r="D29" s="153" t="n">
        <x:f>(D21-D22+D13-D23)*D25</x:f>
        <x:v>3145.0909090909095</x:v>
      </x:c>
      <x:c r="E29" s="153" t="n">
        <x:f>(E21-E22+E13-E23)*E25</x:f>
        <x:v>-184.46280991735537</x:v>
      </x:c>
      <x:c r="F29" s="153" t="n">
        <x:f>(F21-F22+F13-F23)*F25</x:f>
        <x:v>86.36213373403453</x:v>
      </x:c>
      <x:c r="G29" s="153" t="n">
        <x:f>(G21-G22+G13-G23)*G25</x:f>
        <x:v>80.86636158732324</x:v>
      </x:c>
      <x:c r="H29" s="153" t="n">
        <x:f>(H21-H22+H13-H23)*H25</x:f>
        <x:v>75.72032039540267</x:v>
      </x:c>
      <x:c r="I29" s="153" t="n">
        <x:f>(I21-I22+I13-I23)*I25</x:f>
        <x:v>70.90175455205888</x:v>
      </x:c>
      <x:c r="J29" s="153" t="n">
        <x:f>(J21-J22+J13-J23)*J25</x:f>
        <x:v>66.38982471692783</x:v>
      </x:c>
      <x:c r="K29" s="153" t="n">
        <x:f>(K21-K22+K13-K23)*K25</x:f>
        <x:v>62.165017689486966</x:v>
      </x:c>
      <x:c r="L29" s="153" t="n">
        <x:f>(L21-L22+L13-L23)*L25</x:f>
        <x:v>58.2090620183378</x:v>
      </x:c>
      <x:c r="M29" s="153" t="n">
        <x:f>(M21-M22+M13-M23)*M25</x:f>
        <x:v>54.50484898080721</x:v>
      </x:c>
      <x:c r="N29" s="153" t="n">
        <x:f>(N21-N22+N13-N23)*N25</x:f>
        <x:v>51.03635859111947</x:v>
      </x:c>
      <x:c r="O29" s="153" t="n">
        <x:f>(O21-O22+O13-O23)*O25</x:f>
        <x:v>47.78859031713914</x:v>
      </x:c>
      <x:c r="P29" s="153" t="n">
        <x:f>(P21-P22+P13-P23)*P25</x:f>
        <x:v>44.747498206048455</x:v>
      </x:c>
      <x:c r="Q29" s="153" t="n">
        <x:f>(Q21-Q22+Q13-Q23)*Q25</x:f>
        <x:v>41.899930138390836</x:v>
      </x:c>
      <x:c r="R29" s="153" t="n">
        <x:f>(R21-R22+R13-R23)*R25</x:f>
        <x:v>39.233570947765955</x:v>
      </x:c>
      <x:c r="S29" s="153" t="n">
        <x:f>(S21-S22+S13-S23)*S25</x:f>
        <x:v>36.73688916018086</x:v>
      </x:c>
      <x:c r="T29" s="153" t="n">
        <x:f>(T21-T22+T13-T23)*T25</x:f>
        <x:v>34.39908712271479</x:v>
      </x:c>
      <x:c r="U29" s="153" t="n">
        <x:f>(U21-U22+U13-U23)*U25</x:f>
        <x:v>32.21005430581476</x:v>
      </x:c>
      <x:c r="V29" s="153" t="n">
        <x:f>(V21-V22+V13-V23)*V25</x:f>
        <x:v>30.16032357726291</x:v>
      </x:c>
      <x:c r="W29" s="153" t="n">
        <x:f>(W21-W22+W13-W23)*W25</x:f>
        <x:v>28.241030258709813</x:v>
      </x:c>
      <x:c r="X29" s="153" t="n">
        <x:f>(X21-X22+X13-X23)*X25</x:f>
        <x:v>26.443873787701005</x:v>
      </x:c>
      <x:c r="Y29" s="153" t="n">
        <x:f>(Y21-Y22+Y13-Y23)*Y25</x:f>
        <x:v>0</x:v>
      </x:c>
      <x:c r="Z29" s="153" t="n">
        <x:f>(Z21-Z22+Z13-Z23)*Z25</x:f>
        <x:v>0</x:v>
      </x:c>
      <x:c r="AA29" s="153" t="n">
        <x:f>(AA21-AA22+AA13-AA23)*AA25</x:f>
        <x:v>0</x:v>
      </x:c>
      <x:c r="AB29" s="153" t="n">
        <x:f>(AB21-AB22+AB13-AB23)*AB25</x:f>
        <x:v>0</x:v>
      </x:c>
      <x:c r="AC29" s="153" t="n">
        <x:f>(AC21-AC22+AC13-AC23)*AC25</x:f>
        <x:v>0</x:v>
      </x:c>
      <x:c r="AD29" s="153" t="n">
        <x:f>(AD21-AD22+AD13-AD23)*AD25</x:f>
        <x:v>0</x:v>
      </x:c>
      <x:c r="AE29" s="153" t="n">
        <x:f>(AE21-AE22+AE13-AE23)*AE25</x:f>
        <x:v>0</x:v>
      </x:c>
      <x:c r="AF29" s="153" t="n">
        <x:f>(AF21-AF22+AF13-AF23)*AF25</x:f>
        <x:v>0</x:v>
      </x:c>
    </x:row>
    <x:row r="30" ht="15" hidden="0" customHeight="1">
      <x:c r="A30" s="219" t="str">
        <x:v>PCF-18</x:v>
      </x:c>
      <x:c r="B30" s="219" t="str">
        <x:v>PV sản lượng điện</x:v>
      </x:c>
      <x:c r="C30" s="180" t="n">
        <x:f>C11*C25</x:f>
        <x:v>0</x:v>
      </x:c>
      <x:c r="D30" s="180" t="n">
        <x:f>D11*D25</x:f>
        <x:v>0</x:v>
      </x:c>
      <x:c r="E30" s="180" t="n">
        <x:f>E11*E25</x:f>
        <x:v>390942.1487603305</x:v>
      </x:c>
      <x:c r="F30" s="180" t="n">
        <x:f>F11*F25</x:f>
        <x:v>354691.14951164526</x:v>
      </x:c>
      <x:c r="G30" s="180" t="n">
        <x:f>G11*G25</x:f>
        <x:v>321801.6065569291</x:v>
      </x:c>
      <x:c r="H30" s="180" t="n">
        <x:f>H11*H25</x:f>
        <x:v>291961.82122165017</x:v>
      </x:c>
      <x:c r="I30" s="180" t="n">
        <x:f>I11*I25</x:f>
        <x:v>264888.997799279</x:v>
      </x:c>
      <x:c r="J30" s="180" t="n">
        <x:f>J11*J25</x:f>
        <x:v>240326.56345789123</x:v>
      </x:c>
      <x:c r="K30" s="180" t="n">
        <x:f>K11*K25</x:f>
        <x:v>218041.73666452314</x:v>
      </x:c>
      <x:c r="L30" s="180" t="n">
        <x:f>L11*L25</x:f>
        <x:v>197823.32108290368</x:v>
      </x:c>
      <x:c r="M30" s="180" t="n">
        <x:f>M11*M25</x:f>
        <x:v>179479.70403703442</x:v>
      </x:c>
      <x:c r="N30" s="180" t="n">
        <x:f>N11*N25</x:f>
        <x:v>162837.04057178216</x:v>
      </x:c>
      <x:c r="O30" s="180" t="n">
        <x:f>O11*O25</x:f>
        <x:v>147737.6059005805</x:v>
      </x:c>
      <x:c r="P30" s="180" t="n">
        <x:f>P11*P25</x:f>
        <x:v>134038.300626163</x:v>
      </x:c>
      <x:c r="Q30" s="180" t="n">
        <x:f>Q11*Q25</x:f>
        <x:v>121609.29456810064</x:v>
      </x:c>
      <x:c r="R30" s="180" t="n">
        <x:f>R11*R25</x:f>
        <x:v>110332.7963445131</x:v>
      </x:c>
      <x:c r="S30" s="180" t="n">
        <x:f>S11*S25</x:f>
        <x:v>100101.93704711279</x:v>
      </x:c>
      <x:c r="T30" s="180" t="n">
        <x:f>T11*T25</x:f>
        <x:v>90819.75743001686</x:v>
      </x:c>
      <x:c r="U30" s="180" t="n">
        <x:f>U11*U25</x:f>
        <x:v>82398.28901377894</x:v>
      </x:c>
      <x:c r="V30" s="180" t="n">
        <x:f>V11*V25</x:f>
        <x:v>74757.7203961376</x:v>
      </x:c>
      <x:c r="W30" s="180" t="n">
        <x:f>W11*W25</x:f>
        <x:v>67825.64086849574</x:v>
      </x:c>
      <x:c r="X30" s="180" t="n">
        <x:f>X11*X25</x:f>
        <x:v>61536.35416978068</x:v>
      </x:c>
      <x:c r="Y30" s="180" t="n">
        <x:f>Y11*Y25</x:f>
        <x:v>0</x:v>
      </x:c>
      <x:c r="Z30" s="180" t="n">
        <x:f>Z11*Z25</x:f>
        <x:v>0</x:v>
      </x:c>
      <x:c r="AA30" s="180" t="n">
        <x:f>AA11*AA25</x:f>
        <x:v>0</x:v>
      </x:c>
      <x:c r="AB30" s="180" t="n">
        <x:f>AB11*AB25</x:f>
        <x:v>0</x:v>
      </x:c>
      <x:c r="AC30" s="180" t="n">
        <x:f>AC11*AC25</x:f>
        <x:v>0</x:v>
      </x:c>
      <x:c r="AD30" s="180" t="n">
        <x:f>AD11*AD25</x:f>
        <x:v>0</x:v>
      </x:c>
      <x:c r="AE30" s="180" t="n">
        <x:f>AE11*AE25</x:f>
        <x:v>0</x:v>
      </x:c>
      <x:c r="AF30" s="180" t="n">
        <x:f>AF11*AF25</x:f>
        <x:v>0</x:v>
      </x:c>
    </x:row>
    <x:row r="31" ht="15" hidden="0" customHeight="1">
      <x:c r="A31" s="219" t="str">
        <x:v>PCF-19</x:v>
      </x:c>
      <x:c r="B31" s="219" t="str">
        <x:v>PV sản lượng có hệ số giá</x:v>
      </x:c>
      <x:c r="C31" s="180" t="n">
        <x:f>C11*1000*(1+'Input'!$D$45)^MAX(0,C$8-1)*C25</x:f>
        <x:v>0</x:v>
      </x:c>
      <x:c r="D31" s="180" t="n">
        <x:f>D11*1000*(1+'Input'!$D$45)^MAX(0,D$8-1)*D25</x:f>
        <x:v>0</x:v>
      </x:c>
      <x:c r="E31" s="180" t="n">
        <x:f>E11*1000*(1+'Input'!$D$45)^MAX(0,E$8-1)*E25</x:f>
        <x:v>390942148.76033056</x:v>
      </x:c>
      <x:c r="F31" s="180" t="n">
        <x:f>F11*1000*(1+'Input'!$D$45)^MAX(0,F$8-1)*F25</x:f>
        <x:v>354691149.51164526</x:v>
      </x:c>
      <x:c r="G31" s="180" t="n">
        <x:f>G11*1000*(1+'Input'!$D$45)^MAX(0,G$8-1)*G25</x:f>
        <x:v>321801606.5569291</x:v>
      </x:c>
      <x:c r="H31" s="180" t="n">
        <x:f>H11*1000*(1+'Input'!$D$45)^MAX(0,H$8-1)*H25</x:f>
        <x:v>291961821.2216502</x:v>
      </x:c>
      <x:c r="I31" s="180" t="n">
        <x:f>I11*1000*(1+'Input'!$D$45)^MAX(0,I$8-1)*I25</x:f>
        <x:v>264888997.79927897</x:v>
      </x:c>
      <x:c r="J31" s="180" t="n">
        <x:f>J11*1000*(1+'Input'!$D$45)^MAX(0,J$8-1)*J25</x:f>
        <x:v>240326563.45789126</x:v>
      </x:c>
      <x:c r="K31" s="180" t="n">
        <x:f>K11*1000*(1+'Input'!$D$45)^MAX(0,K$8-1)*K25</x:f>
        <x:v>218041736.66452312</x:v>
      </x:c>
      <x:c r="L31" s="180" t="n">
        <x:f>L11*1000*(1+'Input'!$D$45)^MAX(0,L$8-1)*L25</x:f>
        <x:v>197823321.08290365</x:v>
      </x:c>
      <x:c r="M31" s="180" t="n">
        <x:f>M11*1000*(1+'Input'!$D$45)^MAX(0,M$8-1)*M25</x:f>
        <x:v>179479704.03703442</x:v>
      </x:c>
      <x:c r="N31" s="180" t="n">
        <x:f>N11*1000*(1+'Input'!$D$45)^MAX(0,N$8-1)*N25</x:f>
        <x:v>162837040.57178214</x:v>
      </x:c>
      <x:c r="O31" s="180" t="n">
        <x:f>O11*1000*(1+'Input'!$D$45)^MAX(0,O$8-1)*O25</x:f>
        <x:v>147737605.9005805</x:v>
      </x:c>
      <x:c r="P31" s="180" t="n">
        <x:f>P11*1000*(1+'Input'!$D$45)^MAX(0,P$8-1)*P25</x:f>
        <x:v>134038300.626163</x:v>
      </x:c>
      <x:c r="Q31" s="180" t="n">
        <x:f>Q11*1000*(1+'Input'!$D$45)^MAX(0,Q$8-1)*Q25</x:f>
        <x:v>121609294.56810065</x:v>
      </x:c>
      <x:c r="R31" s="180" t="n">
        <x:f>R11*1000*(1+'Input'!$D$45)^MAX(0,R$8-1)*R25</x:f>
        <x:v>110332796.34451309</x:v>
      </x:c>
      <x:c r="S31" s="180" t="n">
        <x:f>S11*1000*(1+'Input'!$D$45)^MAX(0,S$8-1)*S25</x:f>
        <x:v>100101937.0471128</x:v>
      </x:c>
      <x:c r="T31" s="180" t="n">
        <x:f>T11*1000*(1+'Input'!$D$45)^MAX(0,T$8-1)*T25</x:f>
        <x:v>90819757.43001688</x:v>
      </x:c>
      <x:c r="U31" s="180" t="n">
        <x:f>U11*1000*(1+'Input'!$D$45)^MAX(0,U$8-1)*U25</x:f>
        <x:v>82398289.01377894</x:v>
      </x:c>
      <x:c r="V31" s="180" t="n">
        <x:f>V11*1000*(1+'Input'!$D$45)^MAX(0,V$8-1)*V25</x:f>
        <x:v>74757720.39613761</x:v>
      </x:c>
      <x:c r="W31" s="180" t="n">
        <x:f>W11*1000*(1+'Input'!$D$45)^MAX(0,W$8-1)*W25</x:f>
        <x:v>67825640.86849575</x:v>
      </x:c>
      <x:c r="X31" s="180" t="n">
        <x:f>X11*1000*(1+'Input'!$D$45)^MAX(0,X$8-1)*X25</x:f>
        <x:v>61536354.16978068</x:v>
      </x:c>
      <x:c r="Y31" s="180" t="n">
        <x:f>Y11*1000*(1+'Input'!$D$45)^MAX(0,Y$8-1)*Y25</x:f>
        <x:v>0</x:v>
      </x:c>
      <x:c r="Z31" s="180" t="n">
        <x:f>Z11*1000*(1+'Input'!$D$45)^MAX(0,Z$8-1)*Z25</x:f>
        <x:v>0</x:v>
      </x:c>
      <x:c r="AA31" s="180" t="n">
        <x:f>AA11*1000*(1+'Input'!$D$45)^MAX(0,AA$8-1)*AA25</x:f>
        <x:v>0</x:v>
      </x:c>
      <x:c r="AB31" s="180" t="n">
        <x:f>AB11*1000*(1+'Input'!$D$45)^MAX(0,AB$8-1)*AB25</x:f>
        <x:v>0</x:v>
      </x:c>
      <x:c r="AC31" s="180" t="n">
        <x:f>AC11*1000*(1+'Input'!$D$45)^MAX(0,AC$8-1)*AC25</x:f>
        <x:v>0</x:v>
      </x:c>
      <x:c r="AD31" s="180" t="n">
        <x:f>AD11*1000*(1+'Input'!$D$45)^MAX(0,AD$8-1)*AD25</x:f>
        <x:v>0</x:v>
      </x:c>
      <x:c r="AE31" s="180" t="n">
        <x:f>AE11*1000*(1+'Input'!$D$45)^MAX(0,AE$8-1)*AE25</x:f>
        <x:v>0</x:v>
      </x:c>
      <x:c r="AF31" s="180" t="n">
        <x:f>AF11*1000*(1+'Input'!$D$45)^MAX(0,AF$8-1)*AF25</x:f>
        <x:v>0</x:v>
      </x:c>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8" t="str">
        <x:v>3. CHỈ TIÊU HIỆU QUẢ DỰ ÁN</x:v>
      </x:c>
      <x:c r="B33" s="218"/>
      <x:c r="C33" s="142"/>
      <x:c r="D33" s="142"/>
      <x:c r="E33" s="142"/>
      <x:c r="F33" s="142"/>
      <x:c r="G33" s="142"/>
      <x:c r="H33" s="142"/>
      <x:c r="I33" s="142"/>
      <x:c r="J33" s="142"/>
      <x:c r="K33" s="142"/>
      <x:c r="L33" s="142"/>
      <x:c r="M33" s="142"/>
      <x:c r="N33" s="142"/>
      <x:c r="O33" s="142"/>
      <x:c r="P33" s="142"/>
      <x:c r="Q33" s="142"/>
      <x:c r="R33" s="142"/>
      <x:c r="S33" s="142"/>
      <x:c r="T33" s="142"/>
      <x:c r="U33" s="142"/>
      <x:c r="V33" s="142"/>
      <x:c r="W33" s="142"/>
      <x:c r="X33" s="142"/>
      <x:c r="Y33" s="142"/>
      <x:c r="Z33" s="142"/>
      <x:c r="AA33" s="142"/>
      <x:c r="AB33" s="142"/>
      <x:c r="AC33" s="142"/>
      <x:c r="AD33" s="142"/>
      <x:c r="AE33" s="142"/>
      <x:c r="AF33" s="142"/>
    </x:row>
    <x:row r="34" ht="15" hidden="0" customHeight="1">
      <x:c r="A34" s="216" t="str">
        <x:v>KPI-01</x:v>
      </x:c>
      <x:c r="B34" s="216" t="str">
        <x:v>Project IRR</x:v>
      </x:c>
      <x:c r="C34" s="223" t="n">
        <x:f>IF(COUNTIF(C24:AF24,"&lt;0")*COUNTIF(C24:AF24,"&gt;0")=0,0,IRR(C24:AF24))</x:f>
        <x:v>0.1000334313323855</x:v>
      </x:c>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t="str">
        <x:v>KPI-02</x:v>
      </x:c>
      <x:c r="B35" s="216" t="str">
        <x:v>Project NPV</x:v>
      </x:c>
      <x:c r="C35" s="212" t="n">
        <x:f>SUM(C26:AF26)</x:f>
        <x:v>1.2357704933564833</x:v>
      </x:c>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t="str">
        <x:v>KPI-03</x:v>
      </x:c>
      <x:c r="B36" s="216" t="str">
        <x:v>Năm hoàn vốn</x:v>
      </x:c>
      <x:c r="C36" s="224" t="n">
        <x:f>IF(COUNT(C28:AF28)=0,0,MIN(C28:AF28))</x:f>
        <x:v>2034</x:v>
      </x:c>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t="str">
        <x:v>KPI-04</x:v>
      </x:c>
      <x:c r="B37" s="216" t="str">
        <x:v>Thời gian hoàn vốn</x:v>
      </x:c>
      <x:c r="C37" s="224" t="n">
        <x:f>IF(C36=0,0,C36-'Input'!$D$14)</x:f>
        <x:v>9</x:v>
      </x:c>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t="str">
        <x:v>KPI-05</x:v>
      </x:c>
      <x:c r="B38" s="216" t="str">
        <x:v>LCOE</x:v>
      </x:c>
      <x:c r="C38" s="212" t="n">
        <x:f>IF(SUM(C30:AF30)=0,0,SUM(C29:AF29)/SUM(C30:AF30)*1000000)</x:f>
        <x:v>1766.4443266621306</x:v>
      </x:c>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t="str">
        <x:v>KPI-06</x:v>
      </x:c>
      <x:c r="B39" s="216" t="str">
        <x:v>Giá điện hòa vốn trước thuế</x:v>
      </x:c>
      <x:c r="C39" s="212" t="n">
        <x:f>IF(SUM(C31:AF31)=0,0,SUM(C29:AF29)*1000000000/SUM(C31:AF31))</x:f>
        <x:v>1766.4443266621304</x:v>
      </x:c>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20:AF20"/>
    <x:mergeCell ref="A33:AF33"/>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DÒNG TIỀN VỐN CHỦ SỞ HỮU</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Dòng tiền sau vay, trả nợ và thuế; dùng để xác định Equity IRR và Equity NPV.</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DÒNG TIỀN VỐN CHỦ SỞ HỮU</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ECF-01</x:v>
      </x:c>
      <x:c r="B11" s="219" t="str">
        <x:v>EBITDA</x:v>
      </x:c>
      <x:c r="C11" s="153" t="n">
        <x:f>'Energy_Revenue'!C20</x:f>
        <x:v>0</x:v>
      </x:c>
      <x:c r="D11" s="153" t="n">
        <x:f>'Energy_Revenue'!D20</x:f>
        <x:v>0</x:v>
      </x:c>
      <x:c r="E11" s="153" t="n">
        <x:f>'Energy_Revenue'!E20</x:f>
        <x:v>743.372496</x:v>
      </x:c>
      <x:c r="F11" s="153" t="n">
        <x:f>'Energy_Revenue'!F20</x:f>
        <x:v>738.314551008</x:v>
      </x:c>
      <x:c r="G11" s="153" t="n">
        <x:f>'Energy_Revenue'!G20</x:f>
        <x:v>733.1595859059842</x:v>
      </x:c>
      <x:c r="H11" s="153" t="n">
        <x:f>'Energy_Revenue'!H20</x:f>
        <x:v>727.9045806541722</x:v>
      </x:c>
      <x:c r="I11" s="153" t="n">
        <x:f>'Energy_Revenue'!I20</x:f>
        <x:v>722.5464248304637</x:v>
      </x:c>
      <x:c r="J11" s="153" t="n">
        <x:f>'Energy_Revenue'!J20</x:f>
        <x:v>717.0819149185309</x:v>
      </x:c>
      <x:c r="K11" s="153" t="n">
        <x:f>'Energy_Revenue'!K20</x:f>
        <x:v>711.5077515145538</x:v>
      </x:c>
      <x:c r="L11" s="153" t="n">
        <x:f>'Energy_Revenue'!L20</x:f>
        <x:v>705.82053645016</x:v>
      </x:c>
      <x:c r="M11" s="153" t="n">
        <x:f>'Energy_Revenue'!M20</x:f>
        <x:v>700.0167698290543</x:v>
      </x:c>
      <x:c r="N11" s="153" t="n">
        <x:f>'Energy_Revenue'!N20</x:f>
        <x:v>694.092846974745</x:v>
      </x:c>
      <x:c r="O11" s="153" t="n">
        <x:f>'Energy_Revenue'!O20</x:f>
        <x:v>688.0450552867044</x:v>
      </x:c>
      <x:c r="P11" s="153" t="n">
        <x:f>'Energy_Revenue'!P20</x:f>
        <x:v>681.8695710022172</x:v>
      </x:c>
      <x:c r="Q11" s="153" t="n">
        <x:f>'Energy_Revenue'!Q20</x:f>
        <x:v>675.5624558610817</x:v>
      </x:c>
      <x:c r="R11" s="153" t="n">
        <x:f>'Energy_Revenue'!R20</x:f>
        <x:v>669.1196536702545</x:v>
      </x:c>
      <x:c r="S11" s="153" t="n">
        <x:f>'Energy_Revenue'!S20</x:f>
        <x:v>662.5369867654356</x:v>
      </x:c>
      <x:c r="T11" s="153" t="n">
        <x:f>'Energy_Revenue'!T20</x:f>
        <x:v>655.8101523665023</x:v>
      </x:c>
      <x:c r="U11" s="153" t="n">
        <x:f>'Energy_Revenue'!U20</x:f>
        <x:v>648.9347188236047</x:v>
      </x:c>
      <x:c r="V11" s="153" t="n">
        <x:f>'Energy_Revenue'!V20</x:f>
        <x:v>641.9061217506478</x:v>
      </x:c>
      <x:c r="W11" s="153" t="n">
        <x:f>'Energy_Revenue'!W20</x:f>
        <x:v>634.7196600427775</x:v>
      </x:c>
      <x:c r="X11" s="153" t="n">
        <x:f>'Energy_Revenue'!X20</x:f>
        <x:v>627.3704917743921</x:v>
      </x:c>
      <x:c r="Y11" s="153" t="n">
        <x:f>'Energy_Revenue'!Y20</x:f>
        <x:v>0</x:v>
      </x:c>
      <x:c r="Z11" s="153" t="n">
        <x:f>'Energy_Revenue'!Z20</x:f>
        <x:v>0</x:v>
      </x:c>
      <x:c r="AA11" s="153" t="n">
        <x:f>'Energy_Revenue'!AA20</x:f>
        <x:v>0</x:v>
      </x:c>
      <x:c r="AB11" s="153" t="n">
        <x:f>'Energy_Revenue'!AB20</x:f>
        <x:v>0</x:v>
      </x:c>
      <x:c r="AC11" s="153" t="n">
        <x:f>'Energy_Revenue'!AC20</x:f>
        <x:v>0</x:v>
      </x:c>
      <x:c r="AD11" s="153" t="n">
        <x:f>'Energy_Revenue'!AD20</x:f>
        <x:v>0</x:v>
      </x:c>
      <x:c r="AE11" s="153" t="n">
        <x:f>'Energy_Revenue'!AE20</x:f>
        <x:v>0</x:v>
      </x:c>
      <x:c r="AF11" s="153" t="n">
        <x:f>'Energy_Revenue'!AF20</x:f>
        <x:v>0</x:v>
      </x:c>
    </x:row>
    <x:row r="12" ht="15" hidden="0" customHeight="1">
      <x:c r="A12" s="219" t="str">
        <x:v>ECF-02</x:v>
      </x:c>
      <x:c r="B12" s="219" t="str">
        <x:v>Chi đầu tư bao gồm VAT</x:v>
      </x:c>
      <x:c r="C12" s="153" t="n">
        <x:f>'CAPEX'!C15</x:f>
        <x:v>2455.2</x:v>
      </x:c>
      <x:c r="D12" s="153" t="n">
        <x:f>'CAPEX'!D15</x:f>
        <x:v>3682.8</x:v>
      </x:c>
      <x:c r="E12" s="153" t="n">
        <x:f>'CAPEX'!E15</x:f>
        <x:v>0</x:v>
      </x:c>
      <x:c r="F12" s="153" t="n">
        <x:f>'CAPEX'!F15</x:f>
        <x:v>0</x:v>
      </x:c>
      <x:c r="G12" s="153" t="n">
        <x:f>'CAPEX'!G15</x:f>
        <x:v>0</x:v>
      </x:c>
      <x:c r="H12" s="153" t="n">
        <x:f>'CAPEX'!H15</x:f>
        <x:v>0</x:v>
      </x:c>
      <x:c r="I12" s="153" t="n">
        <x:f>'CAPEX'!I15</x:f>
        <x:v>0</x:v>
      </x:c>
      <x:c r="J12" s="153" t="n">
        <x:f>'CAPEX'!J15</x:f>
        <x:v>0</x:v>
      </x:c>
      <x:c r="K12" s="153" t="n">
        <x:f>'CAPEX'!K15</x:f>
        <x:v>0</x:v>
      </x:c>
      <x:c r="L12" s="153" t="n">
        <x:f>'CAPEX'!L15</x:f>
        <x:v>0</x:v>
      </x:c>
      <x:c r="M12" s="153" t="n">
        <x:f>'CAPEX'!M15</x:f>
        <x:v>0</x:v>
      </x:c>
      <x:c r="N12" s="153" t="n">
        <x:f>'CAPEX'!N15</x:f>
        <x:v>0</x:v>
      </x:c>
      <x:c r="O12" s="153" t="n">
        <x:f>'CAPEX'!O15</x:f>
        <x:v>0</x:v>
      </x:c>
      <x:c r="P12" s="153" t="n">
        <x:f>'CAPEX'!P15</x:f>
        <x:v>0</x:v>
      </x:c>
      <x:c r="Q12" s="153" t="n">
        <x:f>'CAPEX'!Q15</x:f>
        <x:v>0</x:v>
      </x:c>
      <x:c r="R12" s="153" t="n">
        <x:f>'CAPEX'!R15</x:f>
        <x:v>0</x:v>
      </x:c>
      <x:c r="S12" s="153" t="n">
        <x:f>'CAPEX'!S15</x:f>
        <x:v>0</x:v>
      </x:c>
      <x:c r="T12" s="153" t="n">
        <x:f>'CAPEX'!T15</x:f>
        <x:v>0</x:v>
      </x:c>
      <x:c r="U12" s="153" t="n">
        <x:f>'CAPEX'!U15</x:f>
        <x:v>0</x:v>
      </x:c>
      <x:c r="V12" s="153" t="n">
        <x:f>'CAPEX'!V15</x:f>
        <x:v>0</x:v>
      </x:c>
      <x:c r="W12" s="153" t="n">
        <x:f>'CAPEX'!W15</x:f>
        <x:v>0</x:v>
      </x:c>
      <x:c r="X12" s="153" t="n">
        <x:f>'CAPEX'!X15</x:f>
        <x:v>0</x:v>
      </x:c>
      <x:c r="Y12" s="153" t="n">
        <x:f>'CAPEX'!Y15</x:f>
        <x:v>0</x:v>
      </x:c>
      <x:c r="Z12" s="153" t="n">
        <x:f>'CAPEX'!Z15</x:f>
        <x:v>0</x:v>
      </x:c>
      <x:c r="AA12" s="153" t="n">
        <x:f>'CAPEX'!AA15</x:f>
        <x:v>0</x:v>
      </x:c>
      <x:c r="AB12" s="153" t="n">
        <x:f>'CAPEX'!AB15</x:f>
        <x:v>0</x:v>
      </x:c>
      <x:c r="AC12" s="153" t="n">
        <x:f>'CAPEX'!AC15</x:f>
        <x:v>0</x:v>
      </x:c>
      <x:c r="AD12" s="153" t="n">
        <x:f>'CAPEX'!AD15</x:f>
        <x:v>0</x:v>
      </x:c>
      <x:c r="AE12" s="153" t="n">
        <x:f>'CAPEX'!AE15</x:f>
        <x:v>0</x:v>
      </x:c>
      <x:c r="AF12" s="153" t="n">
        <x:f>'CAPEX'!AF15</x:f>
        <x:v>0</x:v>
      </x:c>
    </x:row>
    <x:row r="13" ht="15" hidden="0" customHeight="1">
      <x:c r="A13" s="219" t="str">
        <x:v>ECF-03</x:v>
      </x:c>
      <x:c r="B13" s="219" t="str">
        <x:v>VAT nhận hoàn/khấu trừ</x:v>
      </x:c>
      <x:c r="C13" s="153" t="n">
        <x:f>'CAPEX'!C17</x:f>
        <x:v>0</x:v>
      </x:c>
      <x:c r="D13" s="153" t="n">
        <x:f>'CAPEX'!D17</x:f>
        <x:v>223.20000000000002</x:v>
      </x:c>
      <x:c r="E13" s="153" t="n">
        <x:f>'CAPEX'!E17</x:f>
        <x:v>334.8</x:v>
      </x:c>
      <x:c r="F13" s="153" t="n">
        <x:f>'CAPEX'!F17</x:f>
        <x:v>0</x:v>
      </x:c>
      <x:c r="G13" s="153" t="n">
        <x:f>'CAPEX'!G17</x:f>
        <x:v>0</x:v>
      </x:c>
      <x:c r="H13" s="153" t="n">
        <x:f>'CAPEX'!H17</x:f>
        <x:v>0</x:v>
      </x:c>
      <x:c r="I13" s="153" t="n">
        <x:f>'CAPEX'!I17</x:f>
        <x:v>0</x:v>
      </x:c>
      <x:c r="J13" s="153" t="n">
        <x:f>'CAPEX'!J17</x:f>
        <x:v>0</x:v>
      </x:c>
      <x:c r="K13" s="153" t="n">
        <x:f>'CAPEX'!K17</x:f>
        <x:v>0</x:v>
      </x:c>
      <x:c r="L13" s="153" t="n">
        <x:f>'CAPEX'!L17</x:f>
        <x:v>0</x:v>
      </x:c>
      <x:c r="M13" s="153" t="n">
        <x:f>'CAPEX'!M17</x:f>
        <x:v>0</x:v>
      </x:c>
      <x:c r="N13" s="153" t="n">
        <x:f>'CAPEX'!N17</x:f>
        <x:v>0</x:v>
      </x:c>
      <x:c r="O13" s="153" t="n">
        <x:f>'CAPEX'!O17</x:f>
        <x:v>0</x:v>
      </x:c>
      <x:c r="P13" s="153" t="n">
        <x:f>'CAPEX'!P17</x:f>
        <x:v>0</x:v>
      </x:c>
      <x:c r="Q13" s="153" t="n">
        <x:f>'CAPEX'!Q17</x:f>
        <x:v>0</x:v>
      </x:c>
      <x:c r="R13" s="153" t="n">
        <x:f>'CAPEX'!R17</x:f>
        <x:v>0</x:v>
      </x:c>
      <x:c r="S13" s="153" t="n">
        <x:f>'CAPEX'!S17</x:f>
        <x:v>0</x:v>
      </x:c>
      <x:c r="T13" s="153" t="n">
        <x:f>'CAPEX'!T17</x:f>
        <x:v>0</x:v>
      </x:c>
      <x:c r="U13" s="153" t="n">
        <x:f>'CAPEX'!U17</x:f>
        <x:v>0</x:v>
      </x:c>
      <x:c r="V13" s="153" t="n">
        <x:f>'CAPEX'!V17</x:f>
        <x:v>0</x:v>
      </x:c>
      <x:c r="W13" s="153" t="n">
        <x:f>'CAPEX'!W17</x:f>
        <x:v>0</x:v>
      </x:c>
      <x:c r="X13" s="153" t="n">
        <x:f>'CAPEX'!X17</x:f>
        <x:v>0</x:v>
      </x:c>
      <x:c r="Y13" s="153" t="n">
        <x:f>'CAPEX'!Y17</x:f>
        <x:v>0</x:v>
      </x:c>
      <x:c r="Z13" s="153" t="n">
        <x:f>'CAPEX'!Z17</x:f>
        <x:v>0</x:v>
      </x:c>
      <x:c r="AA13" s="153" t="n">
        <x:f>'CAPEX'!AA17</x:f>
        <x:v>0</x:v>
      </x:c>
      <x:c r="AB13" s="153" t="n">
        <x:f>'CAPEX'!AB17</x:f>
        <x:v>0</x:v>
      </x:c>
      <x:c r="AC13" s="153" t="n">
        <x:f>'CAPEX'!AC17</x:f>
        <x:v>0</x:v>
      </x:c>
      <x:c r="AD13" s="153" t="n">
        <x:f>'CAPEX'!AD17</x:f>
        <x:v>0</x:v>
      </x:c>
      <x:c r="AE13" s="153" t="n">
        <x:f>'CAPEX'!AE17</x:f>
        <x:v>0</x:v>
      </x:c>
      <x:c r="AF13" s="153" t="n">
        <x:f>'CAPEX'!AF17</x:f>
        <x:v>0</x:v>
      </x:c>
    </x:row>
    <x:row r="14" ht="15" hidden="0" customHeight="1">
      <x:c r="A14" s="219" t="str">
        <x:v>ECF-04</x:v>
      </x:c>
      <x:c r="B14" s="219" t="str">
        <x:v>Giải ngân vốn vay</x:v>
      </x:c>
      <x:c r="C14" s="153" t="n">
        <x:f>'Debt'!C12</x:f>
        <x:v>1562.3999999999999</x:v>
      </x:c>
      <x:c r="D14" s="153" t="n">
        <x:f>'Debt'!D12</x:f>
        <x:v>2343.6</x:v>
      </x:c>
      <x:c r="E14" s="153" t="n">
        <x:f>'Debt'!E12</x:f>
        <x:v>0</x:v>
      </x:c>
      <x:c r="F14" s="153" t="n">
        <x:f>'Debt'!F12</x:f>
        <x:v>0</x:v>
      </x:c>
      <x:c r="G14" s="153" t="n">
        <x:f>'Debt'!G12</x:f>
        <x:v>0</x:v>
      </x:c>
      <x:c r="H14" s="153" t="n">
        <x:f>'Debt'!H12</x:f>
        <x:v>0</x:v>
      </x:c>
      <x:c r="I14" s="153" t="n">
        <x:f>'Debt'!I12</x:f>
        <x:v>0</x:v>
      </x:c>
      <x:c r="J14" s="153" t="n">
        <x:f>'Debt'!J12</x:f>
        <x:v>0</x:v>
      </x:c>
      <x:c r="K14" s="153" t="n">
        <x:f>'Debt'!K12</x:f>
        <x:v>0</x:v>
      </x:c>
      <x:c r="L14" s="153" t="n">
        <x:f>'Debt'!L12</x:f>
        <x:v>0</x:v>
      </x:c>
      <x:c r="M14" s="153" t="n">
        <x:f>'Debt'!M12</x:f>
        <x:v>0</x:v>
      </x:c>
      <x:c r="N14" s="153" t="n">
        <x:f>'Debt'!N12</x:f>
        <x:v>0</x:v>
      </x:c>
      <x:c r="O14" s="153" t="n">
        <x:f>'Debt'!O12</x:f>
        <x:v>0</x:v>
      </x:c>
      <x:c r="P14" s="153" t="n">
        <x:f>'Debt'!P12</x:f>
        <x:v>0</x:v>
      </x:c>
      <x:c r="Q14" s="153" t="n">
        <x:f>'Debt'!Q12</x:f>
        <x:v>0</x:v>
      </x:c>
      <x:c r="R14" s="153" t="n">
        <x:f>'Debt'!R12</x:f>
        <x:v>0</x:v>
      </x:c>
      <x:c r="S14" s="153" t="n">
        <x:f>'Debt'!S12</x:f>
        <x:v>0</x:v>
      </x:c>
      <x:c r="T14" s="153" t="n">
        <x:f>'Debt'!T12</x:f>
        <x:v>0</x:v>
      </x:c>
      <x:c r="U14" s="153" t="n">
        <x:f>'Debt'!U12</x:f>
        <x:v>0</x:v>
      </x:c>
      <x:c r="V14" s="153" t="n">
        <x:f>'Debt'!V12</x:f>
        <x:v>0</x:v>
      </x:c>
      <x:c r="W14" s="153" t="n">
        <x:f>'Debt'!W12</x:f>
        <x:v>0</x:v>
      </x:c>
      <x:c r="X14" s="153" t="n">
        <x:f>'Debt'!X12</x:f>
        <x:v>0</x:v>
      </x:c>
      <x:c r="Y14" s="153" t="n">
        <x:f>'Debt'!Y12</x:f>
        <x:v>0</x:v>
      </x:c>
      <x:c r="Z14" s="153" t="n">
        <x:f>'Debt'!Z12</x:f>
        <x:v>0</x:v>
      </x:c>
      <x:c r="AA14" s="153" t="n">
        <x:f>'Debt'!AA12</x:f>
        <x:v>0</x:v>
      </x:c>
      <x:c r="AB14" s="153" t="n">
        <x:f>'Debt'!AB12</x:f>
        <x:v>0</x:v>
      </x:c>
      <x:c r="AC14" s="153" t="n">
        <x:f>'Debt'!AC12</x:f>
        <x:v>0</x:v>
      </x:c>
      <x:c r="AD14" s="153" t="n">
        <x:f>'Debt'!AD12</x:f>
        <x:v>0</x:v>
      </x:c>
      <x:c r="AE14" s="153" t="n">
        <x:f>'Debt'!AE12</x:f>
        <x:v>0</x:v>
      </x:c>
      <x:c r="AF14" s="153" t="n">
        <x:f>'Debt'!AF12</x:f>
        <x:v>0</x:v>
      </x:c>
    </x:row>
    <x:row r="15" ht="15" hidden="0" customHeight="1">
      <x:c r="A15" s="219" t="str">
        <x:v>ECF-05</x:v>
      </x:c>
      <x:c r="B15" s="219" t="str">
        <x:v>Phí thu xếp khoản vay</x:v>
      </x:c>
      <x:c r="C15" s="153" t="n">
        <x:f>'Debt'!C19</x:f>
        <x:v>39.059999999999995</x:v>
      </x:c>
      <x:c r="D15" s="153" t="n">
        <x:f>'Debt'!D19</x:f>
        <x:v>0</x:v>
      </x:c>
      <x:c r="E15" s="153" t="n">
        <x:f>'Debt'!E19</x:f>
        <x:v>0</x:v>
      </x:c>
      <x:c r="F15" s="153" t="n">
        <x:f>'Debt'!F19</x:f>
        <x:v>0</x:v>
      </x:c>
      <x:c r="G15" s="153" t="n">
        <x:f>'Debt'!G19</x:f>
        <x:v>0</x:v>
      </x:c>
      <x:c r="H15" s="153" t="n">
        <x:f>'Debt'!H19</x:f>
        <x:v>0</x:v>
      </x:c>
      <x:c r="I15" s="153" t="n">
        <x:f>'Debt'!I19</x:f>
        <x:v>0</x:v>
      </x:c>
      <x:c r="J15" s="153" t="n">
        <x:f>'Debt'!J19</x:f>
        <x:v>0</x:v>
      </x:c>
      <x:c r="K15" s="153" t="n">
        <x:f>'Debt'!K19</x:f>
        <x:v>0</x:v>
      </x:c>
      <x:c r="L15" s="153" t="n">
        <x:f>'Debt'!L19</x:f>
        <x:v>0</x:v>
      </x:c>
      <x:c r="M15" s="153" t="n">
        <x:f>'Debt'!M19</x:f>
        <x:v>0</x:v>
      </x:c>
      <x:c r="N15" s="153" t="n">
        <x:f>'Debt'!N19</x:f>
        <x:v>0</x:v>
      </x:c>
      <x:c r="O15" s="153" t="n">
        <x:f>'Debt'!O19</x:f>
        <x:v>0</x:v>
      </x:c>
      <x:c r="P15" s="153" t="n">
        <x:f>'Debt'!P19</x:f>
        <x:v>0</x:v>
      </x:c>
      <x:c r="Q15" s="153" t="n">
        <x:f>'Debt'!Q19</x:f>
        <x:v>0</x:v>
      </x:c>
      <x:c r="R15" s="153" t="n">
        <x:f>'Debt'!R19</x:f>
        <x:v>0</x:v>
      </x:c>
      <x:c r="S15" s="153" t="n">
        <x:f>'Debt'!S19</x:f>
        <x:v>0</x:v>
      </x:c>
      <x:c r="T15" s="153" t="n">
        <x:f>'Debt'!T19</x:f>
        <x:v>0</x:v>
      </x:c>
      <x:c r="U15" s="153" t="n">
        <x:f>'Debt'!U19</x:f>
        <x:v>0</x:v>
      </x:c>
      <x:c r="V15" s="153" t="n">
        <x:f>'Debt'!V19</x:f>
        <x:v>0</x:v>
      </x:c>
      <x:c r="W15" s="153" t="n">
        <x:f>'Debt'!W19</x:f>
        <x:v>0</x:v>
      </x:c>
      <x:c r="X15" s="153" t="n">
        <x:f>'Debt'!X19</x:f>
        <x:v>0</x:v>
      </x:c>
      <x:c r="Y15" s="153" t="n">
        <x:f>'Debt'!Y19</x:f>
        <x:v>0</x:v>
      </x:c>
      <x:c r="Z15" s="153" t="n">
        <x:f>'Debt'!Z19</x:f>
        <x:v>0</x:v>
      </x:c>
      <x:c r="AA15" s="153" t="n">
        <x:f>'Debt'!AA19</x:f>
        <x:v>0</x:v>
      </x:c>
      <x:c r="AB15" s="153" t="n">
        <x:f>'Debt'!AB19</x:f>
        <x:v>0</x:v>
      </x:c>
      <x:c r="AC15" s="153" t="n">
        <x:f>'Debt'!AC19</x:f>
        <x:v>0</x:v>
      </x:c>
      <x:c r="AD15" s="153" t="n">
        <x:f>'Debt'!AD19</x:f>
        <x:v>0</x:v>
      </x:c>
      <x:c r="AE15" s="153" t="n">
        <x:f>'Debt'!AE19</x:f>
        <x:v>0</x:v>
      </x:c>
      <x:c r="AF15" s="153" t="n">
        <x:f>'Debt'!AF19</x:f>
        <x:v>0</x:v>
      </x:c>
    </x:row>
    <x:row r="16" ht="15" hidden="0" customHeight="1">
      <x:c r="A16" s="219" t="str">
        <x:v>ECF-06</x:v>
      </x:c>
      <x:c r="B16" s="219" t="str">
        <x:v>Chi phí lãi vay</x:v>
      </x:c>
      <x:c r="C16" s="153" t="n">
        <x:f>'Debt'!C16</x:f>
        <x:v>78.12</x:v>
      </x:c>
      <x:c r="D16" s="153" t="n">
        <x:f>'Debt'!D16</x:f>
        <x:v>273.42</x:v>
      </x:c>
      <x:c r="E16" s="153" t="n">
        <x:f>'Debt'!E16</x:f>
        <x:v>390.6</x:v>
      </x:c>
      <x:c r="F16" s="153" t="n">
        <x:f>'Debt'!F16</x:f>
        <x:v>358.05</x:v>
      </x:c>
      <x:c r="G16" s="153" t="n">
        <x:f>'Debt'!G16</x:f>
        <x:v>325.5</x:v>
      </x:c>
      <x:c r="H16" s="153" t="n">
        <x:f>'Debt'!H16</x:f>
        <x:v>292.95</x:v>
      </x:c>
      <x:c r="I16" s="153" t="n">
        <x:f>'Debt'!I16</x:f>
        <x:v>260.40000000000003</x:v>
      </x:c>
      <x:c r="J16" s="153" t="n">
        <x:f>'Debt'!J16</x:f>
        <x:v>227.85000000000002</x:v>
      </x:c>
      <x:c r="K16" s="153" t="n">
        <x:f>'Debt'!K16</x:f>
        <x:v>195.3</x:v>
      </x:c>
      <x:c r="L16" s="153" t="n">
        <x:f>'Debt'!L16</x:f>
        <x:v>162.75</x:v>
      </x:c>
      <x:c r="M16" s="153" t="n">
        <x:f>'Debt'!M16</x:f>
        <x:v>130.20000000000002</x:v>
      </x:c>
      <x:c r="N16" s="153" t="n">
        <x:f>'Debt'!N16</x:f>
        <x:v>97.65</x:v>
      </x:c>
      <x:c r="O16" s="153" t="n">
        <x:f>'Debt'!O16</x:f>
        <x:v>65.10000000000001</x:v>
      </x:c>
      <x:c r="P16" s="153" t="n">
        <x:f>'Debt'!P16</x:f>
        <x:v>32.550000000000004</x:v>
      </x:c>
      <x:c r="Q16" s="153" t="n">
        <x:f>'Debt'!Q16</x:f>
        <x:v>1.1368683772161604e-14</x:v>
      </x:c>
      <x:c r="R16" s="153" t="n">
        <x:f>'Debt'!R16</x:f>
        <x:v>1.1368683772161604e-14</x:v>
      </x:c>
      <x:c r="S16" s="153" t="n">
        <x:f>'Debt'!S16</x:f>
        <x:v>1.1368683772161604e-14</x:v>
      </x:c>
      <x:c r="T16" s="153" t="n">
        <x:f>'Debt'!T16</x:f>
        <x:v>1.1368683772161604e-14</x:v>
      </x:c>
      <x:c r="U16" s="153" t="n">
        <x:f>'Debt'!U16</x:f>
        <x:v>1.1368683772161604e-14</x:v>
      </x:c>
      <x:c r="V16" s="153" t="n">
        <x:f>'Debt'!V16</x:f>
        <x:v>1.1368683772161604e-14</x:v>
      </x:c>
      <x:c r="W16" s="153" t="n">
        <x:f>'Debt'!W16</x:f>
        <x:v>1.1368683772161604e-14</x:v>
      </x:c>
      <x:c r="X16" s="153" t="n">
        <x:f>'Debt'!X16</x:f>
        <x:v>1.1368683772161604e-14</x:v>
      </x:c>
      <x:c r="Y16" s="153" t="n">
        <x:f>'Debt'!Y16</x:f>
        <x:v>1.1368683772161604e-14</x:v>
      </x:c>
      <x:c r="Z16" s="153" t="n">
        <x:f>'Debt'!Z16</x:f>
        <x:v>1.1368683772161604e-14</x:v>
      </x:c>
      <x:c r="AA16" s="153" t="n">
        <x:f>'Debt'!AA16</x:f>
        <x:v>1.1368683772161604e-14</x:v>
      </x:c>
      <x:c r="AB16" s="153" t="n">
        <x:f>'Debt'!AB16</x:f>
        <x:v>1.1368683772161604e-14</x:v>
      </x:c>
      <x:c r="AC16" s="153" t="n">
        <x:f>'Debt'!AC16</x:f>
        <x:v>1.1368683772161604e-14</x:v>
      </x:c>
      <x:c r="AD16" s="153" t="n">
        <x:f>'Debt'!AD16</x:f>
        <x:v>1.1368683772161604e-14</x:v>
      </x:c>
      <x:c r="AE16" s="153" t="n">
        <x:f>'Debt'!AE16</x:f>
        <x:v>1.1368683772161604e-14</x:v>
      </x:c>
      <x:c r="AF16" s="153" t="n">
        <x:f>'Debt'!AF16</x:f>
        <x:v>1.1368683772161604e-14</x:v>
      </x:c>
    </x:row>
    <x:row r="17" ht="15" hidden="0" customHeight="1">
      <x:c r="A17" s="219" t="str">
        <x:v>ECF-07</x:v>
      </x:c>
      <x:c r="B17" s="219" t="str">
        <x:v>Trả nợ gốc</x:v>
      </x:c>
      <x:c r="C17" s="153" t="n">
        <x:f>'Debt'!C15</x:f>
        <x:v>0</x:v>
      </x:c>
      <x:c r="D17" s="153" t="n">
        <x:f>'Debt'!D15</x:f>
        <x:v>0</x:v>
      </x:c>
      <x:c r="E17" s="153" t="n">
        <x:f>'Debt'!E15</x:f>
        <x:v>325.49999999999994</x:v>
      </x:c>
      <x:c r="F17" s="153" t="n">
        <x:f>'Debt'!F15</x:f>
        <x:v>325.49999999999994</x:v>
      </x:c>
      <x:c r="G17" s="153" t="n">
        <x:f>'Debt'!G15</x:f>
        <x:v>325.49999999999994</x:v>
      </x:c>
      <x:c r="H17" s="153" t="n">
        <x:f>'Debt'!H15</x:f>
        <x:v>325.49999999999994</x:v>
      </x:c>
      <x:c r="I17" s="153" t="n">
        <x:f>'Debt'!I15</x:f>
        <x:v>325.49999999999994</x:v>
      </x:c>
      <x:c r="J17" s="153" t="n">
        <x:f>'Debt'!J15</x:f>
        <x:v>325.49999999999994</x:v>
      </x:c>
      <x:c r="K17" s="153" t="n">
        <x:f>'Debt'!K15</x:f>
        <x:v>325.49999999999994</x:v>
      </x:c>
      <x:c r="L17" s="153" t="n">
        <x:f>'Debt'!L15</x:f>
        <x:v>325.49999999999994</x:v>
      </x:c>
      <x:c r="M17" s="153" t="n">
        <x:f>'Debt'!M15</x:f>
        <x:v>325.49999999999994</x:v>
      </x:c>
      <x:c r="N17" s="153" t="n">
        <x:f>'Debt'!N15</x:f>
        <x:v>325.49999999999994</x:v>
      </x:c>
      <x:c r="O17" s="153" t="n">
        <x:f>'Debt'!O15</x:f>
        <x:v>325.49999999999994</x:v>
      </x:c>
      <x:c r="P17" s="153" t="n">
        <x:f>'Debt'!P15</x:f>
        <x:v>325.49999999999994</x:v>
      </x:c>
      <x:c r="Q17" s="153" t="n">
        <x:f>'Debt'!Q15</x:f>
        <x:v>0</x:v>
      </x:c>
      <x:c r="R17" s="153" t="n">
        <x:f>'Debt'!R15</x:f>
        <x:v>0</x:v>
      </x:c>
      <x:c r="S17" s="153" t="n">
        <x:f>'Debt'!S15</x:f>
        <x:v>0</x:v>
      </x:c>
      <x:c r="T17" s="153" t="n">
        <x:f>'Debt'!T15</x:f>
        <x:v>0</x:v>
      </x:c>
      <x:c r="U17" s="153" t="n">
        <x:f>'Debt'!U15</x:f>
        <x:v>0</x:v>
      </x:c>
      <x:c r="V17" s="153" t="n">
        <x:f>'Debt'!V15</x:f>
        <x:v>0</x:v>
      </x:c>
      <x:c r="W17" s="153" t="n">
        <x:f>'Debt'!W15</x:f>
        <x:v>0</x:v>
      </x:c>
      <x:c r="X17" s="153" t="n">
        <x:f>'Debt'!X15</x:f>
        <x:v>0</x:v>
      </x:c>
      <x:c r="Y17" s="153" t="n">
        <x:f>'Debt'!Y15</x:f>
        <x:v>0</x:v>
      </x:c>
      <x:c r="Z17" s="153" t="n">
        <x:f>'Debt'!Z15</x:f>
        <x:v>0</x:v>
      </x:c>
      <x:c r="AA17" s="153" t="n">
        <x:f>'Debt'!AA15</x:f>
        <x:v>0</x:v>
      </x:c>
      <x:c r="AB17" s="153" t="n">
        <x:f>'Debt'!AB15</x:f>
        <x:v>0</x:v>
      </x:c>
      <x:c r="AC17" s="153" t="n">
        <x:f>'Debt'!AC15</x:f>
        <x:v>0</x:v>
      </x:c>
      <x:c r="AD17" s="153" t="n">
        <x:f>'Debt'!AD15</x:f>
        <x:v>0</x:v>
      </x:c>
      <x:c r="AE17" s="153" t="n">
        <x:f>'Debt'!AE15</x:f>
        <x:v>0</x:v>
      </x:c>
      <x:c r="AF17" s="153" t="n">
        <x:f>'Debt'!AF15</x:f>
        <x:v>0</x:v>
      </x:c>
    </x:row>
    <x:row r="18" ht="15" hidden="0" customHeight="1">
      <x:c r="A18" s="219" t="str">
        <x:v>ECF-08</x:v>
      </x:c>
      <x:c r="B18" s="219" t="str">
        <x:v>Thuế TNDN</x:v>
      </x:c>
      <x:c r="C18" s="153" t="n">
        <x:f>'Dep_Tax'!C25</x:f>
        <x:v>0</x:v>
      </x:c>
      <x:c r="D18" s="153" t="n">
        <x:f>'Dep_Tax'!D25</x:f>
        <x:v>0</x:v>
      </x:c>
      <x:c r="E18" s="153" t="n">
        <x:f>'Dep_Tax'!E25</x:f>
        <x:v>0</x:v>
      </x:c>
      <x:c r="F18" s="153" t="n">
        <x:f>'Dep_Tax'!F25</x:f>
        <x:v>0</x:v>
      </x:c>
      <x:c r="G18" s="153" t="n">
        <x:f>'Dep_Tax'!G25</x:f>
        <x:v>0</x:v>
      </x:c>
      <x:c r="H18" s="153" t="n">
        <x:f>'Dep_Tax'!H25</x:f>
        <x:v>0</x:v>
      </x:c>
      <x:c r="I18" s="153" t="n">
        <x:f>'Dep_Tax'!I25</x:f>
        <x:v>8.278471241523183</x:v>
      </x:c>
      <x:c r="J18" s="153" t="n">
        <x:f>'Dep_Tax'!J25</x:f>
        <x:v>9.632745745926542</x:v>
      </x:c>
      <x:c r="K18" s="153" t="n">
        <x:f>'Dep_Tax'!K25</x:f>
        <x:v>10.981537575727689</x:v>
      </x:c>
      <x:c r="L18" s="153" t="n">
        <x:f>'Dep_Tax'!L25</x:f>
        <x:v>12.324676822508003</x:v>
      </x:c>
      <x:c r="M18" s="153" t="n">
        <x:f>'Dep_Tax'!M25</x:f>
        <x:v>13.661988491452712</x:v>
      </x:c>
      <x:c r="N18" s="153" t="n">
        <x:f>'Dep_Tax'!N25</x:f>
        <x:v>14.993292348737254</x:v>
      </x:c>
      <x:c r="O18" s="153" t="n">
        <x:f>'Dep_Tax'!O25</x:f>
        <x:v>16.318402764335218</x:v>
      </x:c>
      <x:c r="P18" s="153" t="n">
        <x:f>'Dep_Tax'!P25</x:f>
        <x:v>17.63712855011086</x:v>
      </x:c>
      <x:c r="Q18" s="153" t="n">
        <x:f>'Dep_Tax'!Q25</x:f>
        <x:v>18.94927279305409</x:v>
      </x:c>
      <x:c r="R18" s="153" t="n">
        <x:f>'Dep_Tax'!R25</x:f>
        <x:v>37.25426536702545</x:v>
      </x:c>
      <x:c r="S18" s="153" t="n">
        <x:f>'Dep_Tax'!S25</x:f>
        <x:v>36.59599867654356</x:v>
      </x:c>
      <x:c r="T18" s="153" t="n">
        <x:f>'Dep_Tax'!T25</x:f>
        <x:v>71.84663047330046</x:v>
      </x:c>
      <x:c r="U18" s="153" t="n">
        <x:f>'Dep_Tax'!U25</x:f>
        <x:v>70.47154376472095</x:v>
      </x:c>
      <x:c r="V18" s="153" t="n">
        <x:f>'Dep_Tax'!V25</x:f>
        <x:v>69.06582435012956</x:v>
      </x:c>
      <x:c r="W18" s="153" t="n">
        <x:f>'Dep_Tax'!W25</x:f>
        <x:v>67.6285320085555</x:v>
      </x:c>
      <x:c r="X18" s="153" t="n">
        <x:f>'Dep_Tax'!X25</x:f>
        <x:v>66.15869835487842</x:v>
      </x:c>
      <x:c r="Y18" s="153" t="n">
        <x:f>'Dep_Tax'!Y25</x:f>
        <x:v>0</x:v>
      </x:c>
      <x:c r="Z18" s="153" t="n">
        <x:f>'Dep_Tax'!Z25</x:f>
        <x:v>0</x:v>
      </x:c>
      <x:c r="AA18" s="153" t="n">
        <x:f>'Dep_Tax'!AA25</x:f>
        <x:v>0</x:v>
      </x:c>
      <x:c r="AB18" s="153" t="n">
        <x:f>'Dep_Tax'!AB25</x:f>
        <x:v>0</x:v>
      </x:c>
      <x:c r="AC18" s="153" t="n">
        <x:f>'Dep_Tax'!AC25</x:f>
        <x:v>0</x:v>
      </x:c>
      <x:c r="AD18" s="153" t="n">
        <x:f>'Dep_Tax'!AD25</x:f>
        <x:v>0</x:v>
      </x:c>
      <x:c r="AE18" s="153" t="n">
        <x:f>'Dep_Tax'!AE25</x:f>
        <x:v>0</x:v>
      </x:c>
      <x:c r="AF18" s="153" t="n">
        <x:f>'Dep_Tax'!AF25</x:f>
        <x:v>0</x:v>
      </x:c>
    </x:row>
    <x:row r="19" ht="15" hidden="0" customHeight="1">
      <x:c r="A19" s="219" t="str">
        <x:v>ECF-09</x:v>
      </x:c>
      <x:c r="B19" s="219" t="str">
        <x:v>Giá trị thu hồi ròng</x:v>
      </x:c>
      <x:c r="C19" s="153" t="n">
        <x:f>IF(C$6='Input'!$D$18,'Input'!$D$28,0)</x:f>
        <x:v>0</x:v>
      </x:c>
      <x:c r="D19" s="153" t="n">
        <x:f>IF(D$6='Input'!$D$18,'Input'!$D$28,0)</x:f>
        <x:v>0</x:v>
      </x:c>
      <x:c r="E19" s="153" t="n">
        <x:f>IF(E$6='Input'!$D$18,'Input'!$D$28,0)</x:f>
        <x:v>0</x:v>
      </x:c>
      <x:c r="F19" s="153" t="n">
        <x:f>IF(F$6='Input'!$D$18,'Input'!$D$28,0)</x:f>
        <x:v>0</x:v>
      </x:c>
      <x:c r="G19" s="153" t="n">
        <x:f>IF(G$6='Input'!$D$18,'Input'!$D$28,0)</x:f>
        <x:v>0</x:v>
      </x:c>
      <x:c r="H19" s="153" t="n">
        <x:f>IF(H$6='Input'!$D$18,'Input'!$D$28,0)</x:f>
        <x:v>0</x:v>
      </x:c>
      <x:c r="I19" s="153" t="n">
        <x:f>IF(I$6='Input'!$D$18,'Input'!$D$28,0)</x:f>
        <x:v>0</x:v>
      </x:c>
      <x:c r="J19" s="153" t="n">
        <x:f>IF(J$6='Input'!$D$18,'Input'!$D$28,0)</x:f>
        <x:v>0</x:v>
      </x:c>
      <x:c r="K19" s="153" t="n">
        <x:f>IF(K$6='Input'!$D$18,'Input'!$D$28,0)</x:f>
        <x:v>0</x:v>
      </x:c>
      <x:c r="L19" s="153" t="n">
        <x:f>IF(L$6='Input'!$D$18,'Input'!$D$28,0)</x:f>
        <x:v>0</x:v>
      </x:c>
      <x:c r="M19" s="153" t="n">
        <x:f>IF(M$6='Input'!$D$18,'Input'!$D$28,0)</x:f>
        <x:v>0</x:v>
      </x:c>
      <x:c r="N19" s="153" t="n">
        <x:f>IF(N$6='Input'!$D$18,'Input'!$D$28,0)</x:f>
        <x:v>0</x:v>
      </x:c>
      <x:c r="O19" s="153" t="n">
        <x:f>IF(O$6='Input'!$D$18,'Input'!$D$28,0)</x:f>
        <x:v>0</x:v>
      </x:c>
      <x:c r="P19" s="153" t="n">
        <x:f>IF(P$6='Input'!$D$18,'Input'!$D$28,0)</x:f>
        <x:v>0</x:v>
      </x:c>
      <x:c r="Q19" s="153" t="n">
        <x:f>IF(Q$6='Input'!$D$18,'Input'!$D$28,0)</x:f>
        <x:v>0</x:v>
      </x:c>
      <x:c r="R19" s="153" t="n">
        <x:f>IF(R$6='Input'!$D$18,'Input'!$D$28,0)</x:f>
        <x:v>0</x:v>
      </x:c>
      <x:c r="S19" s="153" t="n">
        <x:f>IF(S$6='Input'!$D$18,'Input'!$D$28,0)</x:f>
        <x:v>0</x:v>
      </x:c>
      <x:c r="T19" s="153" t="n">
        <x:f>IF(T$6='Input'!$D$18,'Input'!$D$28,0)</x:f>
        <x:v>0</x:v>
      </x:c>
      <x:c r="U19" s="153" t="n">
        <x:f>IF(U$6='Input'!$D$18,'Input'!$D$28,0)</x:f>
        <x:v>0</x:v>
      </x:c>
      <x:c r="V19" s="153" t="n">
        <x:f>IF(V$6='Input'!$D$18,'Input'!$D$28,0)</x:f>
        <x:v>0</x:v>
      </x:c>
      <x:c r="W19" s="153" t="n">
        <x:f>IF(W$6='Input'!$D$18,'Input'!$D$28,0)</x:f>
        <x:v>0</x:v>
      </x:c>
      <x:c r="X19" s="153" t="n">
        <x:f>IF(X$6='Input'!$D$18,'Input'!$D$28,0)</x:f>
        <x:v>0</x:v>
      </x:c>
      <x:c r="Y19" s="153" t="n">
        <x:f>IF(Y$6='Input'!$D$18,'Input'!$D$28,0)</x:f>
        <x:v>0</x:v>
      </x:c>
      <x:c r="Z19" s="153" t="n">
        <x:f>IF(Z$6='Input'!$D$18,'Input'!$D$28,0)</x:f>
        <x:v>0</x:v>
      </x:c>
      <x:c r="AA19" s="153" t="n">
        <x:f>IF(AA$6='Input'!$D$18,'Input'!$D$28,0)</x:f>
        <x:v>0</x:v>
      </x:c>
      <x:c r="AB19" s="153" t="n">
        <x:f>IF(AB$6='Input'!$D$18,'Input'!$D$28,0)</x:f>
        <x:v>0</x:v>
      </x:c>
      <x:c r="AC19" s="153" t="n">
        <x:f>IF(AC$6='Input'!$D$18,'Input'!$D$28,0)</x:f>
        <x:v>0</x:v>
      </x:c>
      <x:c r="AD19" s="153" t="n">
        <x:f>IF(AD$6='Input'!$D$18,'Input'!$D$28,0)</x:f>
        <x:v>0</x:v>
      </x:c>
      <x:c r="AE19" s="153" t="n">
        <x:f>IF(AE$6='Input'!$D$18,'Input'!$D$28,0)</x:f>
        <x:v>0</x:v>
      </x:c>
      <x:c r="AF19" s="153" t="n">
        <x:f>IF(AF$6='Input'!$D$18,'Input'!$D$28,0)</x:f>
        <x:v>0</x:v>
      </x:c>
    </x:row>
    <x:row r="20" ht="15" hidden="0" customHeight="1">
      <x:c r="A20" s="219" t="str">
        <x:v>ECF-10</x:v>
      </x:c>
      <x:c r="B20" s="220" t="str">
        <x:v>Dòng tiền vốn chủ sở hữu</x:v>
      </x:c>
      <x:c r="C20" s="150" t="n">
        <x:f>C11-C12+C13+C14-C15-C16-C17-C18+C19</x:f>
        <x:v>-1009.9799999999999</x:v>
      </x:c>
      <x:c r="D20" s="150" t="n">
        <x:f>D11-D12+D13+D14-D15-D16-D17-D18+D19</x:f>
        <x:v>-1389.4200000000005</x:v>
      </x:c>
      <x:c r="E20" s="150" t="n">
        <x:f>E11-E12+E13+E14-E15-E16-E17-E18+E19</x:f>
        <x:v>362.07249599999994</x:v>
      </x:c>
      <x:c r="F20" s="150" t="n">
        <x:f>F11-F12+F13+F14-F15-F16-F17-F18+F19</x:f>
        <x:v>54.76455100800001</x:v>
      </x:c>
      <x:c r="G20" s="150" t="n">
        <x:f>G11-G12+G13+G14-G15-G16-G17-G18+G19</x:f>
        <x:v>82.15958590598422</x:v>
      </x:c>
      <x:c r="H20" s="150" t="n">
        <x:f>H11-H12+H13+H14-H15-H16-H17-H18+H19</x:f>
        <x:v>109.45458065417222</x:v>
      </x:c>
      <x:c r="I20" s="150" t="n">
        <x:f>I11-I12+I13+I14-I15-I16-I17-I18+I19</x:f>
        <x:v>128.36795358894054</x:v>
      </x:c>
      <x:c r="J20" s="150" t="n">
        <x:f>J11-J12+J13+J14-J15-J16-J17-J18+J19</x:f>
        <x:v>154.09916917260435</x:v>
      </x:c>
      <x:c r="K20" s="150" t="n">
        <x:f>K11-K12+K13+K14-K15-K16-K17-K18+K19</x:f>
        <x:v>179.7262139388262</x:v>
      </x:c>
      <x:c r="L20" s="150" t="n">
        <x:f>L11-L12+L13+L14-L15-L16-L17-L18+L19</x:f>
        <x:v>205.2458596276521</x:v>
      </x:c>
      <x:c r="M20" s="150" t="n">
        <x:f>M11-M12+M13+M14-M15-M16-M17-M18+M19</x:f>
        <x:v>230.65478133760158</x:v>
      </x:c>
      <x:c r="N20" s="150" t="n">
        <x:f>N11-N12+N13+N14-N15-N16-N17-N18+N19</x:f>
        <x:v>255.94955462600788</x:v>
      </x:c>
      <x:c r="O20" s="150" t="n">
        <x:f>O11-O12+O13+O14-O15-O16-O17-O18+O19</x:f>
        <x:v>281.1266525223692</x:v>
      </x:c>
      <x:c r="P20" s="150" t="n">
        <x:f>P11-P12+P13+P14-P15-P16-P17-P18+P19</x:f>
        <x:v>306.18244245210644</x:v>
      </x:c>
      <x:c r="Q20" s="150" t="n">
        <x:f>Q11-Q12+Q13+Q14-Q15-Q16-Q17-Q18+Q19</x:f>
        <x:v>656.6131830680276</x:v>
      </x:c>
      <x:c r="R20" s="150" t="n">
        <x:f>R11-R12+R13+R14-R15-R16-R17-R18+R19</x:f>
        <x:v>631.865388303229</x:v>
      </x:c>
      <x:c r="S20" s="150" t="n">
        <x:f>S11-S12+S13+S14-S15-S16-S17-S18+S19</x:f>
        <x:v>625.940988088892</x:v>
      </x:c>
      <x:c r="T20" s="150" t="n">
        <x:f>T11-T12+T13+T14-T15-T16-T17-T18+T19</x:f>
        <x:v>583.9635218932018</x:v>
      </x:c>
      <x:c r="U20" s="150" t="n">
        <x:f>U11-U12+U13+U14-U15-U16-U17-U18+U19</x:f>
        <x:v>578.4631750588837</x:v>
      </x:c>
      <x:c r="V20" s="150" t="n">
        <x:f>V11-V12+V13+V14-V15-V16-V17-V18+V19</x:f>
        <x:v>572.8402974005182</x:v>
      </x:c>
      <x:c r="W20" s="150" t="n">
        <x:f>W11-W12+W13+W14-W15-W16-W17-W18+W19</x:f>
        <x:v>567.091128034222</x:v>
      </x:c>
      <x:c r="X20" s="150" t="n">
        <x:f>X11-X12+X13+X14-X15-X16-X17-X18+X19</x:f>
        <x:v>561.2117934195137</x:v>
      </x:c>
      <x:c r="Y20" s="150" t="n">
        <x:f>Y11-Y12+Y13+Y14-Y15-Y16-Y17-Y18+Y19</x:f>
        <x:v>-1.1368683772161604e-14</x:v>
      </x:c>
      <x:c r="Z20" s="150" t="n">
        <x:f>Z11-Z12+Z13+Z14-Z15-Z16-Z17-Z18+Z19</x:f>
        <x:v>-1.1368683772161604e-14</x:v>
      </x:c>
      <x:c r="AA20" s="150" t="n">
        <x:f>AA11-AA12+AA13+AA14-AA15-AA16-AA17-AA18+AA19</x:f>
        <x:v>-1.1368683772161604e-14</x:v>
      </x:c>
      <x:c r="AB20" s="150" t="n">
        <x:f>AB11-AB12+AB13+AB14-AB15-AB16-AB17-AB18+AB19</x:f>
        <x:v>-1.1368683772161604e-14</x:v>
      </x:c>
      <x:c r="AC20" s="150" t="n">
        <x:f>AC11-AC12+AC13+AC14-AC15-AC16-AC17-AC18+AC19</x:f>
        <x:v>-1.1368683772161604e-14</x:v>
      </x:c>
      <x:c r="AD20" s="150" t="n">
        <x:f>AD11-AD12+AD13+AD14-AD15-AD16-AD17-AD18+AD19</x:f>
        <x:v>-1.1368683772161604e-14</x:v>
      </x:c>
      <x:c r="AE20" s="150" t="n">
        <x:f>AE11-AE12+AE13+AE14-AE15-AE16-AE17-AE18+AE19</x:f>
        <x:v>-1.1368683772161604e-14</x:v>
      </x:c>
      <x:c r="AF20" s="150" t="n">
        <x:f>AF11-AF12+AF13+AF14-AF15-AF16-AF17-AF18+AF19</x:f>
        <x:v>-1.1368683772161604e-14</x:v>
      </x:c>
    </x:row>
    <x:row r="21" ht="15" hidden="0" customHeight="1">
      <x:c r="A21" s="219" t="str">
        <x:v>ECF-11</x:v>
      </x:c>
      <x:c r="B21" s="219" t="str">
        <x:v>Hệ số chiết khấu</x:v>
      </x:c>
      <x:c r="C21" s="182" t="n">
        <x:f>IF(C$6="",0,1/(1+'Input'!$D$75)^C$7)</x:f>
        <x:v>1</x:v>
      </x:c>
      <x:c r="D21" s="182" t="n">
        <x:f>IF(D$6="",0,1/(1+'Input'!$D$75)^D$7)</x:f>
        <x:v>0.8928571428571428</x:v>
      </x:c>
      <x:c r="E21" s="182" t="n">
        <x:f>IF(E$6="",0,1/(1+'Input'!$D$75)^E$7)</x:f>
        <x:v>0.7971938775510203</x:v>
      </x:c>
      <x:c r="F21" s="182" t="n">
        <x:f>IF(F$6="",0,1/(1+'Input'!$D$75)^F$7)</x:f>
        <x:v>0.7117802478134109</x:v>
      </x:c>
      <x:c r="G21" s="182" t="n">
        <x:f>IF(G$6="",0,1/(1+'Input'!$D$75)^G$7)</x:f>
        <x:v>0.6355180784048311</x:v>
      </x:c>
      <x:c r="H21" s="182" t="n">
        <x:f>IF(H$6="",0,1/(1+'Input'!$D$75)^H$7)</x:f>
        <x:v>0.5674268557185992</x:v>
      </x:c>
      <x:c r="I21" s="182" t="n">
        <x:f>IF(I$6="",0,1/(1+'Input'!$D$75)^I$7)</x:f>
        <x:v>0.5066311211773206</x:v>
      </x:c>
      <x:c r="J21" s="182" t="n">
        <x:f>IF(J$6="",0,1/(1+'Input'!$D$75)^J$7)</x:f>
        <x:v>0.4523492153368934</x:v>
      </x:c>
      <x:c r="K21" s="182" t="n">
        <x:f>IF(K$6="",0,1/(1+'Input'!$D$75)^K$7)</x:f>
        <x:v>0.40388322797936904</x:v>
      </x:c>
      <x:c r="L21" s="182" t="n">
        <x:f>IF(L$6="",0,1/(1+'Input'!$D$75)^L$7)</x:f>
        <x:v>0.36061002498157946</x:v>
      </x:c>
      <x:c r="M21" s="182" t="n">
        <x:f>IF(M$6="",0,1/(1+'Input'!$D$75)^M$7)</x:f>
        <x:v>0.32197323659069593</x:v>
      </x:c>
      <x:c r="N21" s="182" t="n">
        <x:f>IF(N$6="",0,1/(1+'Input'!$D$75)^N$7)</x:f>
        <x:v>0.2874761040988356</x:v>
      </x:c>
      <x:c r="O21" s="182" t="n">
        <x:f>IF(O$6="",0,1/(1+'Input'!$D$75)^O$7)</x:f>
        <x:v>0.25667509294538887</x:v>
      </x:c>
      <x:c r="P21" s="182" t="n">
        <x:f>IF(P$6="",0,1/(1+'Input'!$D$75)^P$7)</x:f>
        <x:v>0.2291741901298115</x:v>
      </x:c>
      <x:c r="Q21" s="182" t="n">
        <x:f>IF(Q$6="",0,1/(1+'Input'!$D$75)^Q$7)</x:f>
        <x:v>0.20461981261590312</x:v>
      </x:c>
      <x:c r="R21" s="182" t="n">
        <x:f>IF(R$6="",0,1/(1+'Input'!$D$75)^R$7)</x:f>
        <x:v>0.1826962612641992</x:v>
      </x:c>
      <x:c r="S21" s="182" t="n">
        <x:f>IF(S$6="",0,1/(1+'Input'!$D$75)^S$7)</x:f>
        <x:v>0.16312166184303498</x:v>
      </x:c>
      <x:c r="T21" s="182" t="n">
        <x:f>IF(T$6="",0,1/(1+'Input'!$D$75)^T$7)</x:f>
        <x:v>0.14564434093128123</x:v>
      </x:c>
      <x:c r="U21" s="182" t="n">
        <x:f>IF(U$6="",0,1/(1+'Input'!$D$75)^U$7)</x:f>
        <x:v>0.13003959011721536</x:v>
      </x:c>
      <x:c r="V21" s="182" t="n">
        <x:f>IF(V$6="",0,1/(1+'Input'!$D$75)^V$7)</x:f>
        <x:v>0.11610677689037084</x:v>
      </x:c>
      <x:c r="W21" s="182" t="n">
        <x:f>IF(W$6="",0,1/(1+'Input'!$D$75)^W$7)</x:f>
        <x:v>0.10366676508068824</x:v>
      </x:c>
      <x:c r="X21" s="182" t="n">
        <x:f>IF(X$6="",0,1/(1+'Input'!$D$75)^X$7)</x:f>
        <x:v>0.09255961167918592</x:v>
      </x:c>
      <x:c r="Y21" s="182" t="n">
        <x:f>IF(Y$6="",0,1/(1+'Input'!$D$75)^Y$7)</x:f>
        <x:v>0.08264251042784457</x:v>
      </x:c>
      <x:c r="Z21" s="182" t="n">
        <x:f>IF(Z$6="",0,1/(1+'Input'!$D$75)^Z$7)</x:f>
        <x:v>0.07378795573914693</x:v>
      </x:c>
      <x:c r="AA21" s="182" t="n">
        <x:f>IF(AA$6="",0,1/(1+'Input'!$D$75)^AA$7)</x:f>
        <x:v>0.06588210333852404</x:v>
      </x:c>
      <x:c r="AB21" s="182" t="n">
        <x:f>IF(AB$6="",0,1/(1+'Input'!$D$75)^AB$7)</x:f>
        <x:v>0.0588233065522536</x:v>
      </x:c>
      <x:c r="AC21" s="182" t="n">
        <x:f>IF(AC$6="",0,1/(1+'Input'!$D$75)^AC$7)</x:f>
        <x:v>0.052520809421655</x:v>
      </x:c>
      <x:c r="AD21" s="182" t="n">
        <x:f>IF(AD$6="",0,1/(1+'Input'!$D$75)^AD$7)</x:f>
        <x:v>0.04689357984076338</x:v>
      </x:c>
      <x:c r="AE21" s="182" t="n">
        <x:f>IF(AE$6="",0,1/(1+'Input'!$D$75)^AE$7)</x:f>
        <x:v>0.041869267714967295</x:v>
      </x:c>
      <x:c r="AF21" s="182" t="n">
        <x:f>IF(AF$6="",0,1/(1+'Input'!$D$75)^AF$7)</x:f>
        <x:v>0.03738327474550651</x:v>
      </x:c>
    </x:row>
    <x:row r="22" ht="15" hidden="0" customHeight="1">
      <x:c r="A22" s="219" t="str">
        <x:v>ECF-12</x:v>
      </x:c>
      <x:c r="B22" s="220" t="str">
        <x:v>Giá trị hiện tại dòng tiền vốn CSH</x:v>
      </x:c>
      <x:c r="C22" s="150" t="n">
        <x:f>C20*C21</x:f>
        <x:v>-1009.9799999999999</x:v>
      </x:c>
      <x:c r="D22" s="150" t="n">
        <x:f>D20*D21</x:f>
        <x:v>-1240.5535714285718</x:v>
      </x:c>
      <x:c r="E22" s="150" t="n">
        <x:f>E20*E21</x:f>
        <x:v>288.64197704081624</x:v>
      </x:c>
      <x:c r="F22" s="150" t="n">
        <x:f>F20*F21</x:f>
        <x:v>38.98032568786443</x:v>
      </x:c>
      <x:c r="G22" s="150" t="n">
        <x:f>G20*G21</x:f>
        <x:v>52.21390215750773</x:v>
      </x:c>
      <x:c r="H22" s="150" t="n">
        <x:f>H20*H21</x:f>
        <x:v>62.10746854459476</x:v>
      </x:c>
      <x:c r="I22" s="150" t="n">
        <x:f>I20*I21</x:f>
        <x:v>65.0352002500032</x:v>
      </x:c>
      <x:c r="J22" s="150" t="n">
        <x:f>J20*J21</x:f>
        <x:v>69.70663825929476</x:v>
      </x:c>
      <x:c r="K22" s="150" t="n">
        <x:f>K20*K21</x:f>
        <x:v>72.58840343812379</x:v>
      </x:c>
      <x:c r="L22" s="150" t="n">
        <x:f>L20*L21</x:f>
        <x:v>74.01371456769337</x:v>
      </x:c>
      <x:c r="M22" s="150" t="n">
        <x:f>M20*M21</x:f>
        <x:v>74.26466648238683</x:v>
      </x:c>
      <x:c r="N22" s="150" t="n">
        <x:f>N20*N21</x:f>
        <x:v>73.57938080971685</x:v>
      </x:c>
      <x:c r="O22" s="150" t="n">
        <x:f>O20*O21</x:f>
        <x:v>72.15820966560516</x:v>
      </x:c>
      <x:c r="P22" s="150" t="n">
        <x:f>P20*P21</x:f>
        <x:v>70.16911328092911</x:v>
      </x:c>
      <x:c r="Q22" s="150" t="n">
        <x:f>Q20*Q21</x:f>
        <x:v>134.35606648051152</x:v>
      </x:c>
      <x:c r="R22" s="150" t="n">
        <x:f>R20*R21</x:f>
        <x:v>115.4394440652514</x:v>
      </x:c>
      <x:c r="S22" s="150" t="n">
        <x:f>S20*S21</x:f>
        <x:v>102.10453419273144</x:v>
      </x:c>
      <x:c r="T22" s="150" t="n">
        <x:f>T20*T21</x:f>
        <x:v>85.0509822740452</x:v>
      </x:c>
      <x:c r="U22" s="150" t="n">
        <x:f>U20*U21</x:f>
        <x:v>75.22311418256024</x:v>
      </x:c>
      <x:c r="V22" s="150" t="n">
        <x:f>V20*V21</x:f>
        <x:v>66.51064060409566</x:v>
      </x:c>
      <x:c r="W22" s="150" t="n">
        <x:f>W20*W21</x:f>
        <x:v>58.78850274926619</x:v>
      </x:c>
      <x:c r="X22" s="150" t="n">
        <x:f>X20*X21</x:f>
        <x:v>51.9455456686897</x:v>
      </x:c>
      <x:c r="Y22" s="150" t="n">
        <x:f>Y20*Y21</x:f>
        <x:v>-9.395365671917326e-16</x:v>
      </x:c>
      <x:c r="Z22" s="150" t="n">
        <x:f>Z20*Z21</x:f>
        <x:v>-8.388719349926183e-16</x:v>
      </x:c>
      <x:c r="AA22" s="150" t="n">
        <x:f>AA20*AA21</x:f>
        <x:v>-7.489927991005521e-16</x:v>
      </x:c>
      <x:c r="AB22" s="150" t="n">
        <x:f>AB20*AB21</x:f>
        <x:v>-6.687435706254929e-16</x:v>
      </x:c>
      <x:c r="AC22" s="150" t="n">
        <x:f>AC20*AC21</x:f>
        <x:v>-5.970924737727615e-16</x:v>
      </x:c>
      <x:c r="AD22" s="150" t="n">
        <x:f>AD20*AD21</x:f>
        <x:v>-5.331182801542512e-16</x:v>
      </x:c>
      <x:c r="AE22" s="150" t="n">
        <x:f>AE20*AE21</x:f>
        <x:v>-4.7599846442343845e-16</x:v>
      </x:c>
      <x:c r="AF22" s="150" t="n">
        <x:f>AF20*AF21</x:f>
        <x:v>-4.249986289494986e-16</x:v>
      </x:c>
    </x:row>
    <x:row r="23" ht="15" hidden="0" customHeight="1">
      <x:c r="A23" s="219" t="str">
        <x:v>ECF-13</x:v>
      </x:c>
      <x:c r="B23" s="220" t="str">
        <x:v>Dòng tiền tích lũy</x:v>
      </x:c>
      <x:c r="C23" s="150" t="n">
        <x:f>C20</x:f>
        <x:v>-1009.9799999999999</x:v>
      </x:c>
      <x:c r="D23" s="150" t="n">
        <x:f>C23+D20</x:f>
        <x:v>-2399.4000000000005</x:v>
      </x:c>
      <x:c r="E23" s="150" t="n">
        <x:f>D23+E20</x:f>
        <x:v>-2037.3275040000005</x:v>
      </x:c>
      <x:c r="F23" s="150" t="n">
        <x:f>E23+F20</x:f>
        <x:v>-1982.5629529920006</x:v>
      </x:c>
      <x:c r="G23" s="150" t="n">
        <x:f>F23+G20</x:f>
        <x:v>-1900.4033670860165</x:v>
      </x:c>
      <x:c r="H23" s="150" t="n">
        <x:f>G23+H20</x:f>
        <x:v>-1790.9487864318444</x:v>
      </x:c>
      <x:c r="I23" s="150" t="n">
        <x:f>H23+I20</x:f>
        <x:v>-1662.5808328429039</x:v>
      </x:c>
      <x:c r="J23" s="150" t="n">
        <x:f>I23+J20</x:f>
        <x:v>-1508.4816636702994</x:v>
      </x:c>
      <x:c r="K23" s="150" t="n">
        <x:f>J23+K20</x:f>
        <x:v>-1328.7554497314732</x:v>
      </x:c>
      <x:c r="L23" s="150" t="n">
        <x:f>K23+L20</x:f>
        <x:v>-1123.509590103821</x:v>
      </x:c>
      <x:c r="M23" s="150" t="n">
        <x:f>L23+M20</x:f>
        <x:v>-892.8548087662194</x:v>
      </x:c>
      <x:c r="N23" s="150" t="n">
        <x:f>M23+N20</x:f>
        <x:v>-636.9052541402116</x:v>
      </x:c>
      <x:c r="O23" s="150" t="n">
        <x:f>N23+O20</x:f>
        <x:v>-355.77860161784236</x:v>
      </x:c>
      <x:c r="P23" s="150" t="n">
        <x:f>O23+P20</x:f>
        <x:v>-49.59615916573591</x:v>
      </x:c>
      <x:c r="Q23" s="150" t="n">
        <x:f>P23+Q20</x:f>
        <x:v>607.0170239022917</x:v>
      </x:c>
      <x:c r="R23" s="150" t="n">
        <x:f>Q23+R20</x:f>
        <x:v>1238.8824122055207</x:v>
      </x:c>
      <x:c r="S23" s="150" t="n">
        <x:f>R23+S20</x:f>
        <x:v>1864.8234002944127</x:v>
      </x:c>
      <x:c r="T23" s="150" t="n">
        <x:f>S23+T20</x:f>
        <x:v>2448.7869221876144</x:v>
      </x:c>
      <x:c r="U23" s="150" t="n">
        <x:f>T23+U20</x:f>
        <x:v>3027.250097246498</x:v>
      </x:c>
      <x:c r="V23" s="150" t="n">
        <x:f>U23+V20</x:f>
        <x:v>3600.090394647016</x:v>
      </x:c>
      <x:c r="W23" s="150" t="n">
        <x:f>V23+W20</x:f>
        <x:v>4167.181522681238</x:v>
      </x:c>
      <x:c r="X23" s="150" t="n">
        <x:f>W23+X20</x:f>
        <x:v>4728.393316100752</x:v>
      </x:c>
      <x:c r="Y23" s="150" t="n">
        <x:f>X23+Y20</x:f>
        <x:v>4728.393316100752</x:v>
      </x:c>
      <x:c r="Z23" s="150" t="n">
        <x:f>Y23+Z20</x:f>
        <x:v>4728.393316100752</x:v>
      </x:c>
      <x:c r="AA23" s="150" t="n">
        <x:f>Z23+AA20</x:f>
        <x:v>4728.393316100752</x:v>
      </x:c>
      <x:c r="AB23" s="150" t="n">
        <x:f>AA23+AB20</x:f>
        <x:v>4728.393316100752</x:v>
      </x:c>
      <x:c r="AC23" s="150" t="n">
        <x:f>AB23+AC20</x:f>
        <x:v>4728.393316100752</x:v>
      </x:c>
      <x:c r="AD23" s="150" t="n">
        <x:f>AC23+AD20</x:f>
        <x:v>4728.393316100752</x:v>
      </x:c>
      <x:c r="AE23" s="150" t="n">
        <x:f>AD23+AE20</x:f>
        <x:v>4728.393316100752</x:v>
      </x:c>
      <x:c r="AF23" s="150" t="n">
        <x:f>AE23+AF20</x:f>
        <x:v>4728.393316100752</x:v>
      </x:c>
    </x:row>
    <x:row r="24" ht="15" hidden="0" customHeight="1">
      <x:c r="A24" s="219" t="str">
        <x:v>ECF-14</x:v>
      </x:c>
      <x:c r="B24" s="219" t="str">
        <x:v>Năm hoàn vốn hỗ trợ</x:v>
      </x:c>
      <x:c r="C24" s="166" t="str">
        <x:f>IF(C23&gt;=0,C$6,"")</x:f>
      </x:c>
      <x:c r="D24" s="166" t="str">
        <x:f>IF(D23&gt;=0,D$6,"")</x:f>
      </x:c>
      <x:c r="E24" s="166" t="str">
        <x:f>IF(E23&gt;=0,E$6,"")</x:f>
      </x:c>
      <x:c r="F24" s="166" t="str">
        <x:f>IF(F23&gt;=0,F$6,"")</x:f>
      </x:c>
      <x:c r="G24" s="166" t="str">
        <x:f>IF(G23&gt;=0,G$6,"")</x:f>
      </x:c>
      <x:c r="H24" s="166" t="str">
        <x:f>IF(H23&gt;=0,H$6,"")</x:f>
      </x:c>
      <x:c r="I24" s="166" t="str">
        <x:f>IF(I23&gt;=0,I$6,"")</x:f>
      </x:c>
      <x:c r="J24" s="166" t="str">
        <x:f>IF(J23&gt;=0,J$6,"")</x:f>
      </x:c>
      <x:c r="K24" s="166" t="str">
        <x:f>IF(K23&gt;=0,K$6,"")</x:f>
      </x:c>
      <x:c r="L24" s="166" t="str">
        <x:f>IF(L23&gt;=0,L$6,"")</x:f>
      </x:c>
      <x:c r="M24" s="166" t="str">
        <x:f>IF(M23&gt;=0,M$6,"")</x:f>
      </x:c>
      <x:c r="N24" s="166" t="str">
        <x:f>IF(N23&gt;=0,N$6,"")</x:f>
      </x:c>
      <x:c r="O24" s="166" t="str">
        <x:f>IF(O23&gt;=0,O$6,"")</x:f>
      </x:c>
      <x:c r="P24" s="166" t="str">
        <x:f>IF(P23&gt;=0,P$6,"")</x:f>
      </x:c>
      <x:c r="Q24" s="166" t="n">
        <x:f>IF(Q23&gt;=0,Q$6,"")</x:f>
        <x:v>2039</x:v>
      </x:c>
      <x:c r="R24" s="166" t="n">
        <x:f>IF(R23&gt;=0,R$6,"")</x:f>
        <x:v>2040</x:v>
      </x:c>
      <x:c r="S24" s="166" t="n">
        <x:f>IF(S23&gt;=0,S$6,"")</x:f>
        <x:v>2041</x:v>
      </x:c>
      <x:c r="T24" s="166" t="n">
        <x:f>IF(T23&gt;=0,T$6,"")</x:f>
        <x:v>2042</x:v>
      </x:c>
      <x:c r="U24" s="166" t="n">
        <x:f>IF(U23&gt;=0,U$6,"")</x:f>
        <x:v>2043</x:v>
      </x:c>
      <x:c r="V24" s="166" t="n">
        <x:f>IF(V23&gt;=0,V$6,"")</x:f>
        <x:v>2044</x:v>
      </x:c>
      <x:c r="W24" s="166" t="n">
        <x:f>IF(W23&gt;=0,W$6,"")</x:f>
        <x:v>2045</x:v>
      </x:c>
      <x:c r="X24" s="166" t="n">
        <x:f>IF(X23&gt;=0,X$6,"")</x:f>
        <x:v>2046</x:v>
      </x:c>
      <x:c r="Y24" s="166" t="n">
        <x:f>IF(Y23&gt;=0,Y$6,"")</x:f>
        <x:v>2047</x:v>
      </x:c>
      <x:c r="Z24" s="166" t="n">
        <x:f>IF(Z23&gt;=0,Z$6,"")</x:f>
        <x:v>2048</x:v>
      </x:c>
      <x:c r="AA24" s="166" t="n">
        <x:f>IF(AA23&gt;=0,AA$6,"")</x:f>
        <x:v>2049</x:v>
      </x:c>
      <x:c r="AB24" s="166" t="n">
        <x:f>IF(AB23&gt;=0,AB$6,"")</x:f>
        <x:v>2050</x:v>
      </x:c>
      <x:c r="AC24" s="166" t="n">
        <x:f>IF(AC23&gt;=0,AC$6,"")</x:f>
        <x:v>2051</x:v>
      </x:c>
      <x:c r="AD24" s="166" t="n">
        <x:f>IF(AD23&gt;=0,AD$6,"")</x:f>
        <x:v>2052</x:v>
      </x:c>
      <x:c r="AE24" s="166" t="n">
        <x:f>IF(AE23&gt;=0,AE$6,"")</x:f>
        <x:v>2053</x:v>
      </x:c>
      <x:c r="AF24" s="166" t="n">
        <x:f>IF(AF23&gt;=0,AF$6,"")</x:f>
        <x:v>2054</x:v>
      </x:c>
    </x:row>
    <x:row r="25" ht="15" hidden="0" customHeight="1">
      <x:c r="A25" s="216"/>
      <x:c r="B25" s="216"/>
      <x:c r="C25" s="209"/>
      <x:c r="D25" s="209"/>
      <x:c r="E25" s="209"/>
      <x:c r="F25" s="209"/>
      <x:c r="G25" s="209"/>
      <x:c r="H25" s="209"/>
      <x:c r="I25" s="209"/>
      <x:c r="J25" s="209"/>
      <x:c r="K25" s="209"/>
      <x:c r="L25" s="209"/>
      <x:c r="M25" s="209"/>
      <x:c r="N25" s="209"/>
      <x:c r="O25" s="209"/>
      <x:c r="P25" s="209"/>
      <x:c r="Q25" s="209"/>
      <x:c r="R25" s="209"/>
      <x:c r="S25" s="209"/>
      <x:c r="T25" s="209"/>
      <x:c r="U25" s="209"/>
      <x:c r="V25" s="209"/>
      <x:c r="W25" s="209"/>
      <x:c r="X25" s="209"/>
      <x:c r="Y25" s="209"/>
      <x:c r="Z25" s="209"/>
      <x:c r="AA25" s="209"/>
      <x:c r="AB25" s="209"/>
      <x:c r="AC25" s="209"/>
      <x:c r="AD25" s="209"/>
      <x:c r="AE25" s="209"/>
      <x:c r="AF25" s="209"/>
    </x:row>
    <x:row r="26" ht="15" hidden="0" customHeight="1">
      <x:c r="A26" s="218" t="str">
        <x:v>2. CHỈ TIÊU VỐN CHỦ SỞ HỮU</x:v>
      </x:c>
      <x:c r="B26" s="218"/>
      <x:c r="C26" s="142"/>
      <x:c r="D26" s="142"/>
      <x:c r="E26" s="142"/>
      <x:c r="F26" s="142"/>
      <x:c r="G26" s="142"/>
      <x:c r="H26" s="142"/>
      <x:c r="I26" s="142"/>
      <x:c r="J26" s="142"/>
      <x:c r="K26" s="142"/>
      <x:c r="L26" s="142"/>
      <x:c r="M26" s="142"/>
      <x:c r="N26" s="142"/>
      <x:c r="O26" s="142"/>
      <x:c r="P26" s="142"/>
      <x:c r="Q26" s="142"/>
      <x:c r="R26" s="142"/>
      <x:c r="S26" s="142"/>
      <x:c r="T26" s="142"/>
      <x:c r="U26" s="142"/>
      <x:c r="V26" s="142"/>
      <x:c r="W26" s="142"/>
      <x:c r="X26" s="142"/>
      <x:c r="Y26" s="142"/>
      <x:c r="Z26" s="142"/>
      <x:c r="AA26" s="142"/>
      <x:c r="AB26" s="142"/>
      <x:c r="AC26" s="142"/>
      <x:c r="AD26" s="142"/>
      <x:c r="AE26" s="142"/>
      <x:c r="AF26" s="142"/>
    </x:row>
    <x:row r="27" ht="15" hidden="0" customHeight="1">
      <x:c r="A27" s="216" t="str">
        <x:v>KPI-01</x:v>
      </x:c>
      <x:c r="B27" s="216" t="str">
        <x:v>Equity IRR</x:v>
      </x:c>
      <x:c r="C27" s="223" t="n">
        <x:f>IF(COUNTIF(C20:AF20,"&lt;0")*COUNTIF(C20:AF20,"&gt;0")=0,0,IRR(C20:AF20))</x:f>
        <x:v>0.09099776668955893</x:v>
      </x:c>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t="str">
        <x:v>KPI-02</x:v>
      </x:c>
      <x:c r="B28" s="216" t="str">
        <x:v>Equity NPV</x:v>
      </x:c>
      <x:c r="C28" s="212" t="n">
        <x:f>SUM(C22:AF22)</x:f>
        <x:v>-547.6557410268836</x:v>
      </x:c>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t="str">
        <x:v>KPI-03</x:v>
      </x:c>
      <x:c r="B29" s="216" t="str">
        <x:v>Năm hoàn vốn vốn CSH</x:v>
      </x:c>
      <x:c r="C29" s="224" t="n">
        <x:f>IF(COUNT(C24:AF24)=0,0,MIN(C24:AF24))</x:f>
        <x:v>2039</x:v>
      </x:c>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t="str">
        <x:v>KPI-04</x:v>
      </x:c>
      <x:c r="B30" s="216" t="str">
        <x:v>Thời gian hoàn vốn vốn CSH</x:v>
      </x:c>
      <x:c r="C30" s="224" t="n">
        <x:f>IF(C29=0,0,C29-'Input'!$D$14)</x:f>
        <x:v>14</x:v>
      </x:c>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t="str">
        <x:v>KPI-05</x:v>
      </x:c>
      <x:c r="B31" s="216" t="str">
        <x:v>Tổng vốn CSH thực góp</x:v>
      </x:c>
      <x:c r="C31" s="212" t="n">
        <x:f>-SUMIF(C20:AF20,"&lt;0",C20:AF20)</x:f>
        <x:v>2399.4000000000005</x:v>
      </x:c>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26:AF26"/>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3"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28" customHeight="1">
      <x:c r="A1" s="117" t="str">
        <x:v>PHÂN TÍCH ĐỘ NHẠY</x:v>
      </x:c>
      <x:c r="B1" s="117"/>
      <x:c r="C1" s="117"/>
      <x:c r="D1" s="117"/>
      <x:c r="E1" s="117"/>
      <x:c r="F1" s="117"/>
      <x:c r="G1" s="117"/>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24" customHeight="1">
      <x:c r="A2" s="122" t="str">
        <x:v>Phân tích một biến tại một thời điểm; các dòng tiền điều chỉnh được tính lại từ mô hình cơ sở.</x:v>
      </x:c>
      <x:c r="B2" s="122"/>
      <x:c r="C2" s="122"/>
      <x:c r="D2" s="122"/>
      <x:c r="E2" s="122"/>
      <x:c r="F2" s="122"/>
      <x:c r="G2" s="122"/>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x:c r="A3" s="124" t="str">
        <x:v>Đơn vị tiền tệ: tỷ VND, trừ khi ghi khác  |  Số màu xanh: kết quả tính toán</x:v>
      </x:c>
      <x:c r="B3" s="124"/>
      <x:c r="C3" s="124"/>
      <x:c r="D3" s="124"/>
      <x:c r="E3" s="124"/>
      <x:c r="F3" s="124"/>
      <x:c r="G3" s="124"/>
      <x:c r="H3" s="127"/>
      <x:c r="I3" s="127"/>
      <x:c r="J3" s="127"/>
      <x:c r="K3" s="127"/>
      <x:c r="L3" s="127"/>
      <x:c r="M3" s="127"/>
      <x:c r="N3" s="127"/>
      <x:c r="O3" s="127"/>
      <x:c r="P3" s="127"/>
      <x:c r="Q3" s="127"/>
      <x:c r="R3" s="127"/>
      <x:c r="S3" s="127"/>
      <x:c r="T3" s="127"/>
      <x:c r="U3" s="127"/>
      <x:c r="V3" s="127"/>
      <x:c r="W3" s="127"/>
      <x:c r="X3" s="127"/>
      <x:c r="Y3" s="127"/>
      <x:c r="Z3" s="127"/>
      <x:c r="AA3" s="127"/>
      <x:c r="AB3" s="127"/>
      <x:c r="AC3" s="127"/>
      <x:c r="AD3" s="127"/>
      <x:c r="AE3" s="127"/>
      <x:c r="AF3" s="127"/>
    </x:row>
    <x:row r="4">
      <x:c r="A4" s="128"/>
      <x:c r="B4" s="128"/>
      <x:c r="C4" s="128"/>
      <x:c r="D4" s="128"/>
      <x:c r="E4" s="128"/>
      <x:c r="F4" s="128"/>
      <x:c r="G4" s="128"/>
      <x:c r="H4" s="128"/>
      <x:c r="I4" s="128"/>
      <x:c r="J4" s="128"/>
      <x:c r="K4" s="128"/>
      <x:c r="L4" s="128"/>
      <x:c r="M4" s="128"/>
      <x:c r="N4" s="128"/>
      <x:c r="O4" s="128"/>
      <x:c r="P4" s="128"/>
      <x:c r="Q4" s="128"/>
      <x:c r="R4" s="128"/>
      <x:c r="S4" s="128"/>
      <x:c r="T4" s="128"/>
      <x:c r="U4" s="128"/>
      <x:c r="V4" s="128"/>
      <x:c r="W4" s="128"/>
      <x:c r="X4" s="128"/>
      <x:c r="Y4" s="128"/>
      <x:c r="Z4" s="128"/>
      <x:c r="AA4" s="128"/>
      <x:c r="AB4" s="128"/>
      <x:c r="AC4" s="128"/>
      <x:c r="AD4" s="128"/>
      <x:c r="AE4" s="128"/>
      <x:c r="AF4" s="128"/>
    </x:row>
    <x:row r="5">
      <x:c r="A5" s="140" t="str">
        <x:v>1. ĐỘ NHẠY PROJECT IRR</x:v>
      </x:c>
      <x:c r="B5" s="140"/>
      <x:c r="C5" s="140"/>
      <x:c r="D5" s="140"/>
      <x:c r="E5" s="140"/>
      <x:c r="F5" s="140"/>
      <x:c r="G5" s="140"/>
      <x:c r="H5" s="128"/>
      <x:c r="I5" s="128"/>
      <x:c r="J5" s="128"/>
      <x:c r="K5" s="128"/>
      <x:c r="L5" s="128"/>
      <x:c r="M5" s="128"/>
      <x:c r="N5" s="128"/>
      <x:c r="O5" s="128"/>
      <x:c r="P5" s="128"/>
      <x:c r="Q5" s="128"/>
      <x:c r="R5" s="128"/>
      <x:c r="S5" s="128"/>
      <x:c r="T5" s="128"/>
      <x:c r="U5" s="128"/>
      <x:c r="V5" s="128"/>
      <x:c r="W5" s="128"/>
      <x:c r="X5" s="128"/>
      <x:c r="Y5" s="128"/>
      <x:c r="Z5" s="128"/>
      <x:c r="AA5" s="128"/>
      <x:c r="AB5" s="128"/>
      <x:c r="AC5" s="128"/>
      <x:c r="AD5" s="128"/>
      <x:c r="AE5" s="128"/>
      <x:c r="AF5" s="128"/>
    </x:row>
    <x:row r="6">
      <x:c r="A6" s="185" t="str">
        <x:v>Mã</x:v>
      </x:c>
      <x:c r="B6" s="185" t="str">
        <x:v>Biến số</x:v>
      </x:c>
      <x:c r="C6" s="185" t="str">
        <x:v>-10%</x:v>
      </x:c>
      <x:c r="D6" s="185" t="str">
        <x:v>-5%</x:v>
      </x:c>
      <x:c r="E6" s="185" t="str">
        <x:v>Cơ sở</x:v>
      </x:c>
      <x:c r="F6" s="185" t="str">
        <x:v>+5%</x:v>
      </x:c>
      <x:c r="G6" s="185" t="str">
        <x:v>+10%</x:v>
      </x:c>
      <x:c r="H6" s="128"/>
      <x:c r="I6" s="128"/>
      <x:c r="J6" s="128"/>
      <x:c r="K6" s="128"/>
      <x:c r="L6" s="128"/>
      <x:c r="M6" s="128"/>
      <x:c r="N6" s="128"/>
      <x:c r="O6" s="128"/>
      <x:c r="P6" s="128"/>
      <x:c r="Q6" s="128"/>
      <x:c r="R6" s="128"/>
      <x:c r="S6" s="128"/>
      <x:c r="T6" s="128"/>
      <x:c r="U6" s="128"/>
      <x:c r="V6" s="128"/>
      <x:c r="W6" s="128"/>
      <x:c r="X6" s="128"/>
      <x:c r="Y6" s="128"/>
      <x:c r="Z6" s="128"/>
      <x:c r="AA6" s="128"/>
      <x:c r="AB6" s="128"/>
      <x:c r="AC6" s="128"/>
      <x:c r="AD6" s="128"/>
      <x:c r="AE6" s="128"/>
      <x:c r="AF6" s="128"/>
    </x:row>
    <x:row r="7">
      <x:c r="A7" s="128" t="str">
        <x:v>SEN-01</x:v>
      </x:c>
      <x:c r="B7" s="128" t="str">
        <x:v>Sản lượng điện</x:v>
      </x:c>
      <x:c r="C7" s="183" t="n">
        <x:f>IF(COUNTIF(C40:AF40,"&lt;0")*COUNTIF(C40:AF40,"&gt;0")=0,0,IRR(C40:AF40))</x:f>
        <x:v>0.0827866546621554</x:v>
      </x:c>
      <x:c r="D7" s="183" t="n">
        <x:f>IF(COUNTIF(C41:AF41,"&lt;0")*COUNTIF(C41:AF41,"&gt;0")=0,0,IRR(C41:AF41))</x:f>
        <x:v>0.09152877468257564</x:v>
      </x:c>
      <x:c r="E7" s="183" t="n">
        <x:f>IF(COUNTIF(C42:AF42,"&lt;0")*COUNTIF(C42:AF42,"&gt;0")=0,0,IRR(C42:AF42))</x:f>
        <x:v>0.1000334313323855</x:v>
      </x:c>
      <x:c r="F7" s="183" t="n">
        <x:f>IF(COUNTIF(C43:AF43,"&lt;0")*COUNTIF(C43:AF43,"&gt;0")=0,0,IRR(C43:AF43))</x:f>
        <x:v>0.10832732453352237</x:v>
      </x:c>
      <x:c r="G7" s="183" t="n">
        <x:f>IF(COUNTIF(C44:AF44,"&lt;0")*COUNTIF(C44:AF44,"&gt;0")=0,0,IRR(C44:AF44))</x:f>
        <x:v>0.11643290283674468</x:v>
      </x:c>
      <x:c r="H7" s="128"/>
      <x:c r="I7" s="128"/>
      <x:c r="J7" s="128"/>
      <x:c r="K7" s="128"/>
      <x:c r="L7" s="128"/>
      <x:c r="M7" s="128"/>
      <x:c r="N7" s="128"/>
      <x:c r="O7" s="128"/>
      <x:c r="P7" s="128"/>
      <x:c r="Q7" s="128"/>
      <x:c r="R7" s="128"/>
      <x:c r="S7" s="128"/>
      <x:c r="T7" s="128"/>
      <x:c r="U7" s="128"/>
      <x:c r="V7" s="128"/>
      <x:c r="W7" s="128"/>
      <x:c r="X7" s="128"/>
      <x:c r="Y7" s="128"/>
      <x:c r="Z7" s="128"/>
      <x:c r="AA7" s="128"/>
      <x:c r="AB7" s="128"/>
      <x:c r="AC7" s="128"/>
      <x:c r="AD7" s="128"/>
      <x:c r="AE7" s="128"/>
      <x:c r="AF7" s="128"/>
    </x:row>
    <x:row r="8">
      <x:c r="A8" s="128" t="str">
        <x:v>SEN-02</x:v>
      </x:c>
      <x:c r="B8" s="128" t="str">
        <x:v>Giá bán điện</x:v>
      </x:c>
      <x:c r="C8" s="183" t="n">
        <x:f>IF(COUNTIF(C45:AF45,"&lt;0")*COUNTIF(C45:AF45,"&gt;0")=0,0,IRR(C45:AF45))</x:f>
        <x:v>0.0827866546621554</x:v>
      </x:c>
      <x:c r="D8" s="183" t="n">
        <x:f>IF(COUNTIF(C46:AF46,"&lt;0")*COUNTIF(C46:AF46,"&gt;0")=0,0,IRR(C46:AF46))</x:f>
        <x:v>0.09152877468257564</x:v>
      </x:c>
      <x:c r="E8" s="183" t="n">
        <x:f>IF(COUNTIF(C47:AF47,"&lt;0")*COUNTIF(C47:AF47,"&gt;0")=0,0,IRR(C47:AF47))</x:f>
        <x:v>0.1000334313323855</x:v>
      </x:c>
      <x:c r="F8" s="183" t="n">
        <x:f>IF(COUNTIF(C48:AF48,"&lt;0")*COUNTIF(C48:AF48,"&gt;0")=0,0,IRR(C48:AF48))</x:f>
        <x:v>0.10832732453352237</x:v>
      </x:c>
      <x:c r="G8" s="183" t="n">
        <x:f>IF(COUNTIF(C49:AF49,"&lt;0")*COUNTIF(C49:AF49,"&gt;0")=0,0,IRR(C49:AF49))</x:f>
        <x:v>0.11643290283674468</x:v>
      </x:c>
      <x:c r="H8" s="128"/>
      <x:c r="I8" s="128"/>
      <x:c r="J8" s="128"/>
      <x:c r="K8" s="128"/>
      <x:c r="L8" s="128"/>
      <x:c r="M8" s="128"/>
      <x:c r="N8" s="128"/>
      <x:c r="O8" s="128"/>
      <x:c r="P8" s="128"/>
      <x:c r="Q8" s="128"/>
      <x:c r="R8" s="128"/>
      <x:c r="S8" s="128"/>
      <x:c r="T8" s="128"/>
      <x:c r="U8" s="128"/>
      <x:c r="V8" s="128"/>
      <x:c r="W8" s="128"/>
      <x:c r="X8" s="128"/>
      <x:c r="Y8" s="128"/>
      <x:c r="Z8" s="128"/>
      <x:c r="AA8" s="128"/>
      <x:c r="AB8" s="128"/>
      <x:c r="AC8" s="128"/>
      <x:c r="AD8" s="128"/>
      <x:c r="AE8" s="128"/>
      <x:c r="AF8" s="128"/>
    </x:row>
    <x:row r="9">
      <x:c r="A9" s="128" t="str">
        <x:v>SEN-03</x:v>
      </x:c>
      <x:c r="B9" s="128" t="str">
        <x:v>Tổng vốn đầu tư</x:v>
      </x:c>
      <x:c r="C9" s="183" t="n">
        <x:f>IF(COUNTIF(C50:AF50,"&lt;0")*COUNTIF(C50:AF50,"&gt;0")=0,0,IRR(C50:AF50))</x:f>
        <x:v>0.11538357743844008</x:v>
      </x:c>
      <x:c r="D9" s="183" t="n">
        <x:f>IF(COUNTIF(C51:AF51,"&lt;0")*COUNTIF(C51:AF51,"&gt;0")=0,0,IRR(C51:AF51))</x:f>
        <x:v>0.10737891535119207</x:v>
      </x:c>
      <x:c r="E9" s="183" t="n">
        <x:f>IF(COUNTIF(C52:AF52,"&lt;0")*COUNTIF(C52:AF52,"&gt;0")=0,0,IRR(C52:AF52))</x:f>
        <x:v>0.1000334313323855</x:v>
      </x:c>
      <x:c r="F9" s="183" t="n">
        <x:f>IF(COUNTIF(C53:AF53,"&lt;0")*COUNTIF(C53:AF53,"&gt;0")=0,0,IRR(C53:AF53))</x:f>
        <x:v>0.09326069912843665</x:v>
      </x:c>
      <x:c r="G9" s="183" t="n">
        <x:f>IF(COUNTIF(C54:AF54,"&lt;0")*COUNTIF(C54:AF54,"&gt;0")=0,0,IRR(C54:AF54))</x:f>
        <x:v>0.08698929456650045</x:v>
      </x:c>
      <x:c r="H9" s="128"/>
      <x:c r="I9" s="128"/>
      <x:c r="J9" s="128"/>
      <x:c r="K9" s="128"/>
      <x:c r="L9" s="128"/>
      <x:c r="M9" s="128"/>
      <x:c r="N9" s="128"/>
      <x:c r="O9" s="128"/>
      <x:c r="P9" s="128"/>
      <x:c r="Q9" s="128"/>
      <x:c r="R9" s="128"/>
      <x:c r="S9" s="128"/>
      <x:c r="T9" s="128"/>
      <x:c r="U9" s="128"/>
      <x:c r="V9" s="128"/>
      <x:c r="W9" s="128"/>
      <x:c r="X9" s="128"/>
      <x:c r="Y9" s="128"/>
      <x:c r="Z9" s="128"/>
      <x:c r="AA9" s="128"/>
      <x:c r="AB9" s="128"/>
      <x:c r="AC9" s="128"/>
      <x:c r="AD9" s="128"/>
      <x:c r="AE9" s="128"/>
      <x:c r="AF9" s="128"/>
    </x:row>
    <x:row r="10">
      <x:c r="A10" s="128" t="str">
        <x:v>SEN-04</x:v>
      </x:c>
      <x:c r="B10" s="128" t="str">
        <x:v>Chi phí O&amp;M</x:v>
      </x:c>
      <x:c r="C10" s="183" t="n">
        <x:f>IF(COUNTIF(C55:AF55,"&lt;0")*COUNTIF(C55:AF55,"&gt;0")=0,0,IRR(C55:AF55))</x:f>
        <x:v>0.10271529399494407</x:v>
      </x:c>
      <x:c r="D10" s="183" t="n">
        <x:f>IF(COUNTIF(C56:AF56,"&lt;0")*COUNTIF(C56:AF56,"&gt;0")=0,0,IRR(C56:AF56))</x:f>
        <x:v>0.10137843441184939</x:v>
      </x:c>
      <x:c r="E10" s="183" t="n">
        <x:f>IF(COUNTIF(C57:AF57,"&lt;0")*COUNTIF(C57:AF57,"&gt;0")=0,0,IRR(C57:AF57))</x:f>
        <x:v>0.1000334313323855</x:v>
      </x:c>
      <x:c r="F10" s="183" t="n">
        <x:f>IF(COUNTIF(C58:AF58,"&lt;0")*COUNTIF(C58:AF58,"&gt;0")=0,0,IRR(C58:AF58))</x:f>
        <x:v>0.09868009771673188</x:v>
      </x:c>
      <x:c r="G10" s="183" t="n">
        <x:f>IF(COUNTIF(C59:AF59,"&lt;0")*COUNTIF(C59:AF59,"&gt;0")=0,0,IRR(C59:AF59))</x:f>
        <x:v>0.09731824027219001</x:v>
      </x:c>
      <x:c r="H10" s="128"/>
      <x:c r="I10" s="128"/>
      <x:c r="J10" s="128"/>
      <x:c r="K10" s="128"/>
      <x:c r="L10" s="128"/>
      <x:c r="M10" s="128"/>
      <x:c r="N10" s="128"/>
      <x:c r="O10" s="128"/>
      <x:c r="P10" s="128"/>
      <x:c r="Q10" s="128"/>
      <x:c r="R10" s="128"/>
      <x:c r="S10" s="128"/>
      <x:c r="T10" s="128"/>
      <x:c r="U10" s="128"/>
      <x:c r="V10" s="128"/>
      <x:c r="W10" s="128"/>
      <x:c r="X10" s="128"/>
      <x:c r="Y10" s="128"/>
      <x:c r="Z10" s="128"/>
      <x:c r="AA10" s="128"/>
      <x:c r="AB10" s="128"/>
      <x:c r="AC10" s="128"/>
      <x:c r="AD10" s="128"/>
      <x:c r="AE10" s="128"/>
      <x:c r="AF10" s="128"/>
    </x:row>
    <x:row r="11">
      <x:c r="A11" s="128" t="str">
        <x:v>SEN-05</x:v>
      </x:c>
      <x:c r="B11" s="128" t="str">
        <x:v>Lãi suất vay</x:v>
      </x:c>
      <x:c r="C11" s="183" t="n">
        <x:f>IF(COUNTIF(C60:AF60,"&lt;0")*COUNTIF(C60:AF60,"&gt;0")=0,0,IRR(C60:AF60))</x:f>
        <x:v>0.1000334313323855</x:v>
      </x:c>
      <x:c r="D11" s="183" t="n">
        <x:f>IF(COUNTIF(C61:AF61,"&lt;0")*COUNTIF(C61:AF61,"&gt;0")=0,0,IRR(C61:AF61))</x:f>
        <x:v>0.1000334313323855</x:v>
      </x:c>
      <x:c r="E11" s="183" t="n">
        <x:f>IF(COUNTIF(C62:AF62,"&lt;0")*COUNTIF(C62:AF62,"&gt;0")=0,0,IRR(C62:AF62))</x:f>
        <x:v>0.1000334313323855</x:v>
      </x:c>
      <x:c r="F11" s="183" t="n">
        <x:f>IF(COUNTIF(C63:AF63,"&lt;0")*COUNTIF(C63:AF63,"&gt;0")=0,0,IRR(C63:AF63))</x:f>
        <x:v>0.1000334313323855</x:v>
      </x:c>
      <x:c r="G11" s="183" t="n">
        <x:f>IF(COUNTIF(C64:AF64,"&lt;0")*COUNTIF(C64:AF64,"&gt;0")=0,0,IRR(C64:AF64))</x:f>
        <x:v>0.1000334313323855</x:v>
      </x:c>
      <x:c r="H11" s="128"/>
      <x:c r="I11" s="128"/>
      <x:c r="J11" s="128"/>
      <x:c r="K11" s="128"/>
      <x:c r="L11" s="128"/>
      <x:c r="M11" s="128"/>
      <x:c r="N11" s="128"/>
      <x:c r="O11" s="128"/>
      <x:c r="P11" s="128"/>
      <x:c r="Q11" s="128"/>
      <x:c r="R11" s="128"/>
      <x:c r="S11" s="128"/>
      <x:c r="T11" s="128"/>
      <x:c r="U11" s="128"/>
      <x:c r="V11" s="128"/>
      <x:c r="W11" s="128"/>
      <x:c r="X11" s="128"/>
      <x:c r="Y11" s="128"/>
      <x:c r="Z11" s="128"/>
      <x:c r="AA11" s="128"/>
      <x:c r="AB11" s="128"/>
      <x:c r="AC11" s="128"/>
      <x:c r="AD11" s="128"/>
      <x:c r="AE11" s="128"/>
      <x:c r="AF11" s="128"/>
    </x:row>
    <x:row r="12">
      <x:c r="A12" s="128"/>
      <x:c r="B12" s="128"/>
      <x:c r="C12" s="128"/>
      <x:c r="D12" s="128"/>
      <x:c r="E12" s="128"/>
      <x:c r="F12" s="128"/>
      <x:c r="G12" s="128"/>
      <x:c r="H12" s="128"/>
      <x:c r="I12" s="128"/>
      <x:c r="J12" s="128"/>
      <x:c r="K12" s="128"/>
      <x:c r="L12" s="128"/>
      <x:c r="M12" s="128"/>
      <x:c r="N12" s="128"/>
      <x:c r="O12" s="128"/>
      <x:c r="P12" s="128"/>
      <x:c r="Q12" s="128"/>
      <x:c r="R12" s="128"/>
      <x:c r="S12" s="128"/>
      <x:c r="T12" s="128"/>
      <x:c r="U12" s="128"/>
      <x:c r="V12" s="128"/>
      <x:c r="W12" s="128"/>
      <x:c r="X12" s="128"/>
      <x:c r="Y12" s="128"/>
      <x:c r="Z12" s="128"/>
      <x:c r="AA12" s="128"/>
      <x:c r="AB12" s="128"/>
      <x:c r="AC12" s="128"/>
      <x:c r="AD12" s="128"/>
      <x:c r="AE12" s="128"/>
      <x:c r="AF12" s="128"/>
    </x:row>
    <x:row r="13">
      <x:c r="A13" s="128"/>
      <x:c r="B13" s="128"/>
      <x:c r="C13" s="128"/>
      <x:c r="D13" s="128"/>
      <x:c r="E13" s="128"/>
      <x:c r="F13" s="128"/>
      <x:c r="G13" s="128"/>
      <x:c r="H13" s="128"/>
      <x:c r="I13" s="128"/>
      <x:c r="J13" s="128"/>
      <x:c r="K13" s="128"/>
      <x:c r="L13" s="128"/>
      <x:c r="M13" s="128"/>
      <x:c r="N13" s="128"/>
      <x:c r="O13" s="128"/>
      <x:c r="P13" s="128"/>
      <x:c r="Q13" s="128"/>
      <x:c r="R13" s="128"/>
      <x:c r="S13" s="128"/>
      <x:c r="T13" s="128"/>
      <x:c r="U13" s="128"/>
      <x:c r="V13" s="128"/>
      <x:c r="W13" s="128"/>
      <x:c r="X13" s="128"/>
      <x:c r="Y13" s="128"/>
      <x:c r="Z13" s="128"/>
      <x:c r="AA13" s="128"/>
      <x:c r="AB13" s="128"/>
      <x:c r="AC13" s="128"/>
      <x:c r="AD13" s="128"/>
      <x:c r="AE13" s="128"/>
      <x:c r="AF13" s="128"/>
    </x:row>
    <x:row r="14">
      <x:c r="A14" s="140" t="str">
        <x:v>2. ĐỘ NHẠY EQUITY IRR</x:v>
      </x:c>
      <x:c r="B14" s="140"/>
      <x:c r="C14" s="140"/>
      <x:c r="D14" s="140"/>
      <x:c r="E14" s="140"/>
      <x:c r="F14" s="140"/>
      <x:c r="G14" s="140"/>
      <x:c r="H14" s="128"/>
      <x:c r="I14" s="128"/>
      <x:c r="J14" s="128"/>
      <x:c r="K14" s="128"/>
      <x:c r="L14" s="128"/>
      <x:c r="M14" s="128"/>
      <x:c r="N14" s="128"/>
      <x:c r="O14" s="128"/>
      <x:c r="P14" s="128"/>
      <x:c r="Q14" s="128"/>
      <x:c r="R14" s="128"/>
      <x:c r="S14" s="128"/>
      <x:c r="T14" s="128"/>
      <x:c r="U14" s="128"/>
      <x:c r="V14" s="128"/>
      <x:c r="W14" s="128"/>
      <x:c r="X14" s="128"/>
      <x:c r="Y14" s="128"/>
      <x:c r="Z14" s="128"/>
      <x:c r="AA14" s="128"/>
      <x:c r="AB14" s="128"/>
      <x:c r="AC14" s="128"/>
      <x:c r="AD14" s="128"/>
      <x:c r="AE14" s="128"/>
      <x:c r="AF14" s="128"/>
    </x:row>
    <x:row r="15">
      <x:c r="A15" s="185" t="str">
        <x:v>Mã</x:v>
      </x:c>
      <x:c r="B15" s="185" t="str">
        <x:v>Biến số</x:v>
      </x:c>
      <x:c r="C15" s="185" t="str">
        <x:v>-10%</x:v>
      </x:c>
      <x:c r="D15" s="185" t="str">
        <x:v>-5%</x:v>
      </x:c>
      <x:c r="E15" s="185" t="str">
        <x:v>Cơ sở</x:v>
      </x:c>
      <x:c r="F15" s="185" t="str">
        <x:v>+5%</x:v>
      </x:c>
      <x:c r="G15" s="185" t="str">
        <x:v>+10%</x:v>
      </x:c>
      <x:c r="H15" s="128"/>
      <x:c r="I15" s="128"/>
      <x:c r="J15" s="128"/>
      <x:c r="K15" s="128"/>
      <x:c r="L15" s="128"/>
      <x:c r="M15" s="128"/>
      <x:c r="N15" s="128"/>
      <x:c r="O15" s="128"/>
      <x:c r="P15" s="128"/>
      <x:c r="Q15" s="128"/>
      <x:c r="R15" s="128"/>
      <x:c r="S15" s="128"/>
      <x:c r="T15" s="128"/>
      <x:c r="U15" s="128"/>
      <x:c r="V15" s="128"/>
      <x:c r="W15" s="128"/>
      <x:c r="X15" s="128"/>
      <x:c r="Y15" s="128"/>
      <x:c r="Z15" s="128"/>
      <x:c r="AA15" s="128"/>
      <x:c r="AB15" s="128"/>
      <x:c r="AC15" s="128"/>
      <x:c r="AD15" s="128"/>
      <x:c r="AE15" s="128"/>
      <x:c r="AF15" s="128"/>
    </x:row>
    <x:row r="16">
      <x:c r="A16" s="128" t="str">
        <x:v>SEN-01</x:v>
      </x:c>
      <x:c r="B16" s="128" t="str">
        <x:v>Sản lượng điện</x:v>
      </x:c>
      <x:c r="C16" s="183" t="n">
        <x:f>IF(COUNTIF(C70:AF70,"&lt;0")*COUNTIF(C70:AF70,"&gt;0")=0,0,IRR(C70:AF70))</x:f>
        <x:v>0.06217715345123813</x:v>
      </x:c>
      <x:c r="D16" s="183" t="n">
        <x:f>IF(COUNTIF(C71:AF71,"&lt;0")*COUNTIF(C71:AF71,"&gt;0")=0,0,IRR(C71:AF71))</x:f>
        <x:v>0.07664308412616601</x:v>
      </x:c>
      <x:c r="E16" s="183" t="n">
        <x:f>IF(COUNTIF(C72:AF72,"&lt;0")*COUNTIF(C72:AF72,"&gt;0")=0,0,IRR(C72:AF72))</x:f>
        <x:v>0.09099776668955893</x:v>
      </x:c>
      <x:c r="F16" s="183" t="n">
        <x:f>IF(COUNTIF(C73:AF73,"&lt;0")*COUNTIF(C73:AF73,"&gt;0")=0,0,IRR(C73:AF73))</x:f>
        <x:v>0.10527314812925224</x:v>
      </x:c>
      <x:c r="G16" s="183" t="n">
        <x:f>IF(COUNTIF(C74:AF74,"&lt;0")*COUNTIF(C74:AF74,"&gt;0")=0,0,IRR(C74:AF74))</x:f>
        <x:v>0.11949321417132609</x:v>
      </x:c>
      <x:c r="H16" s="128"/>
      <x:c r="I16" s="128"/>
      <x:c r="J16" s="128"/>
      <x:c r="K16" s="128"/>
      <x:c r="L16" s="128"/>
      <x:c r="M16" s="128"/>
      <x:c r="N16" s="128"/>
      <x:c r="O16" s="128"/>
      <x:c r="P16" s="128"/>
      <x:c r="Q16" s="128"/>
      <x:c r="R16" s="128"/>
      <x:c r="S16" s="128"/>
      <x:c r="T16" s="128"/>
      <x:c r="U16" s="128"/>
      <x:c r="V16" s="128"/>
      <x:c r="W16" s="128"/>
      <x:c r="X16" s="128"/>
      <x:c r="Y16" s="128"/>
      <x:c r="Z16" s="128"/>
      <x:c r="AA16" s="128"/>
      <x:c r="AB16" s="128"/>
      <x:c r="AC16" s="128"/>
      <x:c r="AD16" s="128"/>
      <x:c r="AE16" s="128"/>
      <x:c r="AF16" s="128"/>
    </x:row>
    <x:row r="17">
      <x:c r="A17" s="128" t="str">
        <x:v>SEN-02</x:v>
      </x:c>
      <x:c r="B17" s="128" t="str">
        <x:v>Giá bán điện</x:v>
      </x:c>
      <x:c r="C17" s="183" t="n">
        <x:f>IF(COUNTIF(C75:AF75,"&lt;0")*COUNTIF(C75:AF75,"&gt;0")=0,0,IRR(C75:AF75))</x:f>
        <x:v>0.06217715345123813</x:v>
      </x:c>
      <x:c r="D17" s="183" t="n">
        <x:f>IF(COUNTIF(C76:AF76,"&lt;0")*COUNTIF(C76:AF76,"&gt;0")=0,0,IRR(C76:AF76))</x:f>
        <x:v>0.07664308412616601</x:v>
      </x:c>
      <x:c r="E17" s="183" t="n">
        <x:f>IF(COUNTIF(C77:AF77,"&lt;0")*COUNTIF(C77:AF77,"&gt;0")=0,0,IRR(C77:AF77))</x:f>
        <x:v>0.09099776668955893</x:v>
      </x:c>
      <x:c r="F17" s="183" t="n">
        <x:f>IF(COUNTIF(C78:AF78,"&lt;0")*COUNTIF(C78:AF78,"&gt;0")=0,0,IRR(C78:AF78))</x:f>
        <x:v>0.10527314812925224</x:v>
      </x:c>
      <x:c r="G17" s="183" t="n">
        <x:f>IF(COUNTIF(C79:AF79,"&lt;0")*COUNTIF(C79:AF79,"&gt;0")=0,0,IRR(C79:AF79))</x:f>
        <x:v>0.11949321417132609</x:v>
      </x:c>
      <x:c r="H17" s="128"/>
      <x:c r="I17" s="128"/>
      <x:c r="J17" s="128"/>
      <x:c r="K17" s="128"/>
      <x:c r="L17" s="128"/>
      <x:c r="M17" s="128"/>
      <x:c r="N17" s="128"/>
      <x:c r="O17" s="128"/>
      <x:c r="P17" s="128"/>
      <x:c r="Q17" s="128"/>
      <x:c r="R17" s="128"/>
      <x:c r="S17" s="128"/>
      <x:c r="T17" s="128"/>
      <x:c r="U17" s="128"/>
      <x:c r="V17" s="128"/>
      <x:c r="W17" s="128"/>
      <x:c r="X17" s="128"/>
      <x:c r="Y17" s="128"/>
      <x:c r="Z17" s="128"/>
      <x:c r="AA17" s="128"/>
      <x:c r="AB17" s="128"/>
      <x:c r="AC17" s="128"/>
      <x:c r="AD17" s="128"/>
      <x:c r="AE17" s="128"/>
      <x:c r="AF17" s="128"/>
    </x:row>
    <x:row r="18">
      <x:c r="A18" s="128" t="str">
        <x:v>SEN-03</x:v>
      </x:c>
      <x:c r="B18" s="128" t="str">
        <x:v>Tổng vốn đầu tư</x:v>
      </x:c>
      <x:c r="C18" s="183" t="n">
        <x:f>IF(COUNTIF(C80:AF80,"&lt;0")*COUNTIF(C80:AF80,"&gt;0")=0,0,IRR(C80:AF80))</x:f>
        <x:v>0.0984223187458286</x:v>
      </x:c>
      <x:c r="D18" s="183" t="n">
        <x:f>IF(COUNTIF(C81:AF81,"&lt;0")*COUNTIF(C81:AF81,"&gt;0")=0,0,IRR(C81:AF81))</x:f>
        <x:v>0.09461115126438392</x:v>
      </x:c>
      <x:c r="E18" s="183" t="n">
        <x:f>IF(COUNTIF(C82:AF82,"&lt;0")*COUNTIF(C82:AF82,"&gt;0")=0,0,IRR(C82:AF82))</x:f>
        <x:v>0.09099776668955893</x:v>
      </x:c>
      <x:c r="F18" s="183" t="n">
        <x:f>IF(COUNTIF(C83:AF83,"&lt;0")*COUNTIF(C83:AF83,"&gt;0")=0,0,IRR(C83:AF83))</x:f>
        <x:v>0.08756382129001206</x:v>
      </x:c>
      <x:c r="G18" s="183" t="n">
        <x:f>IF(COUNTIF(C84:AF84,"&lt;0")*COUNTIF(C84:AF84,"&gt;0")=0,0,IRR(C84:AF84))</x:f>
        <x:v>0.0842933510839552</x:v>
      </x:c>
      <x:c r="H18" s="128"/>
      <x:c r="I18" s="128"/>
      <x:c r="J18" s="128"/>
      <x:c r="K18" s="128"/>
      <x:c r="L18" s="128"/>
      <x:c r="M18" s="128"/>
      <x:c r="N18" s="128"/>
      <x:c r="O18" s="128"/>
      <x:c r="P18" s="128"/>
      <x:c r="Q18" s="128"/>
      <x:c r="R18" s="128"/>
      <x:c r="S18" s="128"/>
      <x:c r="T18" s="128"/>
      <x:c r="U18" s="128"/>
      <x:c r="V18" s="128"/>
      <x:c r="W18" s="128"/>
      <x:c r="X18" s="128"/>
      <x:c r="Y18" s="128"/>
      <x:c r="Z18" s="128"/>
      <x:c r="AA18" s="128"/>
      <x:c r="AB18" s="128"/>
      <x:c r="AC18" s="128"/>
      <x:c r="AD18" s="128"/>
      <x:c r="AE18" s="128"/>
      <x:c r="AF18" s="128"/>
    </x:row>
    <x:row r="19">
      <x:c r="A19" s="128" t="str">
        <x:v>SEN-04</x:v>
      </x:c>
      <x:c r="B19" s="128" t="str">
        <x:v>Chi phí O&amp;M</x:v>
      </x:c>
      <x:c r="C19" s="183" t="n">
        <x:f>IF(COUNTIF(C85:AF85,"&lt;0")*COUNTIF(C85:AF85,"&gt;0")=0,0,IRR(C85:AF85))</x:f>
        <x:v>0.09560963889120139</x:v>
      </x:c>
      <x:c r="D19" s="183" t="n">
        <x:f>IF(COUNTIF(C86:AF86,"&lt;0")*COUNTIF(C86:AF86,"&gt;0")=0,0,IRR(C86:AF86))</x:f>
        <x:v>0.09330898418856182</x:v>
      </x:c>
      <x:c r="E19" s="183" t="n">
        <x:f>IF(COUNTIF(C87:AF87,"&lt;0")*COUNTIF(C87:AF87,"&gt;0")=0,0,IRR(C87:AF87))</x:f>
        <x:v>0.09099776668955893</x:v>
      </x:c>
      <x:c r="F19" s="183" t="n">
        <x:f>IF(COUNTIF(C88:AF88,"&lt;0")*COUNTIF(C88:AF88,"&gt;0")=0,0,IRR(C88:AF88))</x:f>
        <x:v>0.08867565224581594</x:v>
      </x:c>
      <x:c r="G19" s="183" t="n">
        <x:f>IF(COUNTIF(C89:AF89,"&lt;0")*COUNTIF(C89:AF89,"&gt;0")=0,0,IRR(C89:AF89))</x:f>
        <x:v>0.08634229225087042</x:v>
      </x:c>
      <x:c r="H19" s="128"/>
      <x:c r="I19" s="128"/>
      <x:c r="J19" s="128"/>
      <x:c r="K19" s="128"/>
      <x:c r="L19" s="128"/>
      <x:c r="M19" s="128"/>
      <x:c r="N19" s="128"/>
      <x:c r="O19" s="128"/>
      <x:c r="P19" s="128"/>
      <x:c r="Q19" s="128"/>
      <x:c r="R19" s="128"/>
      <x:c r="S19" s="128"/>
      <x:c r="T19" s="128"/>
      <x:c r="U19" s="128"/>
      <x:c r="V19" s="128"/>
      <x:c r="W19" s="128"/>
      <x:c r="X19" s="128"/>
      <x:c r="Y19" s="128"/>
      <x:c r="Z19" s="128"/>
      <x:c r="AA19" s="128"/>
      <x:c r="AB19" s="128"/>
      <x:c r="AC19" s="128"/>
      <x:c r="AD19" s="128"/>
      <x:c r="AE19" s="128"/>
      <x:c r="AF19" s="128"/>
    </x:row>
    <x:row r="20">
      <x:c r="A20" s="128" t="str">
        <x:v>SEN-05</x:v>
      </x:c>
      <x:c r="B20" s="128" t="str">
        <x:v>Lãi suất vay</x:v>
      </x:c>
      <x:c r="C20" s="183" t="n">
        <x:f>IF(COUNTIF(C90:AF90,"&lt;0")*COUNTIF(C90:AF90,"&gt;0")=0,0,IRR(C90:AF90))</x:f>
        <x:v>0.09942615561012688</x:v>
      </x:c>
      <x:c r="D20" s="183" t="n">
        <x:f>IF(COUNTIF(C91:AF91,"&lt;0")*COUNTIF(C91:AF91,"&gt;0")=0,0,IRR(C91:AF91))</x:f>
        <x:v>0.0951487194097706</x:v>
      </x:c>
      <x:c r="E20" s="183" t="n">
        <x:f>IF(COUNTIF(C92:AF92,"&lt;0")*COUNTIF(C92:AF92,"&gt;0")=0,0,IRR(C92:AF92))</x:f>
        <x:v>0.09099776668955893</x:v>
      </x:c>
      <x:c r="F20" s="183" t="n">
        <x:f>IF(COUNTIF(C93:AF93,"&lt;0")*COUNTIF(C93:AF93,"&gt;0")=0,0,IRR(C93:AF93))</x:f>
        <x:v>0.08696841031670174</x:v>
      </x:c>
      <x:c r="G20" s="183" t="n">
        <x:f>IF(COUNTIF(C94:AF94,"&lt;0")*COUNTIF(C94:AF94,"&gt;0")=0,0,IRR(C94:AF94))</x:f>
        <x:v>0.08305590900880544</x:v>
      </x:c>
      <x:c r="H20" s="128"/>
      <x:c r="I20" s="128"/>
      <x:c r="J20" s="128"/>
      <x:c r="K20" s="128"/>
      <x:c r="L20" s="128"/>
      <x:c r="M20" s="128"/>
      <x:c r="N20" s="128"/>
      <x:c r="O20" s="128"/>
      <x:c r="P20" s="128"/>
      <x:c r="Q20" s="128"/>
      <x:c r="R20" s="128"/>
      <x:c r="S20" s="128"/>
      <x:c r="T20" s="128"/>
      <x:c r="U20" s="128"/>
      <x:c r="V20" s="128"/>
      <x:c r="W20" s="128"/>
      <x:c r="X20" s="128"/>
      <x:c r="Y20" s="128"/>
      <x:c r="Z20" s="128"/>
      <x:c r="AA20" s="128"/>
      <x:c r="AB20" s="128"/>
      <x:c r="AC20" s="128"/>
      <x:c r="AD20" s="128"/>
      <x:c r="AE20" s="128"/>
      <x:c r="AF20" s="128"/>
    </x:row>
    <x:row r="21">
      <x:c r="A21" s="128"/>
      <x:c r="B21" s="128"/>
      <x:c r="C21" s="128"/>
      <x:c r="D21" s="128"/>
      <x:c r="E21" s="128"/>
      <x:c r="F21" s="128"/>
      <x:c r="G21" s="128"/>
      <x:c r="H21" s="128"/>
      <x:c r="I21" s="128"/>
      <x:c r="J21" s="128"/>
      <x:c r="K21" s="128"/>
      <x:c r="L21" s="128"/>
      <x:c r="M21" s="128"/>
      <x:c r="N21" s="128"/>
      <x:c r="O21" s="128"/>
      <x:c r="P21" s="128"/>
      <x:c r="Q21" s="128"/>
      <x:c r="R21" s="128"/>
      <x:c r="S21" s="128"/>
      <x:c r="T21" s="128"/>
      <x:c r="U21" s="128"/>
      <x:c r="V21" s="128"/>
      <x:c r="W21" s="128"/>
      <x:c r="X21" s="128"/>
      <x:c r="Y21" s="128"/>
      <x:c r="Z21" s="128"/>
      <x:c r="AA21" s="128"/>
      <x:c r="AB21" s="128"/>
      <x:c r="AC21" s="128"/>
      <x:c r="AD21" s="128"/>
      <x:c r="AE21" s="128"/>
      <x:c r="AF21" s="128"/>
    </x:row>
    <x:row r="22">
      <x:c r="A22" s="128"/>
      <x:c r="B22" s="128"/>
      <x:c r="C22" s="128"/>
      <x:c r="D22" s="128"/>
      <x:c r="E22" s="128"/>
      <x:c r="F22" s="128"/>
      <x:c r="G22" s="128"/>
      <x:c r="H22" s="128"/>
      <x:c r="I22" s="128"/>
      <x:c r="J22" s="128"/>
      <x:c r="K22" s="128"/>
      <x:c r="L22" s="128"/>
      <x:c r="M22" s="128"/>
      <x:c r="N22" s="128"/>
      <x:c r="O22" s="128"/>
      <x:c r="P22" s="128"/>
      <x:c r="Q22" s="128"/>
      <x:c r="R22" s="128"/>
      <x:c r="S22" s="128"/>
      <x:c r="T22" s="128"/>
      <x:c r="U22" s="128"/>
      <x:c r="V22" s="128"/>
      <x:c r="W22" s="128"/>
      <x:c r="X22" s="128"/>
      <x:c r="Y22" s="128"/>
      <x:c r="Z22" s="128"/>
      <x:c r="AA22" s="128"/>
      <x:c r="AB22" s="128"/>
      <x:c r="AC22" s="128"/>
      <x:c r="AD22" s="128"/>
      <x:c r="AE22" s="128"/>
      <x:c r="AF22" s="128"/>
    </x:row>
    <x:row r="23">
      <x:c r="A23" s="187" t="str">
        <x:v>Phương pháp: sản lượng, giá điện và O&amp;M điều chỉnh EBITDA sau thuế; CAPEX điều chỉnh chi đầu tư, VAT, khấu hao và phần vốn vay tương ứng; lãi suất chỉ ảnh hưởng dòng tiền vốn chủ sở hữu. Đây là phân tích một biến, không thay thế kịch bản tổng hợp.</x:v>
      </x:c>
      <x:c r="B23" s="187"/>
      <x:c r="C23" s="187"/>
      <x:c r="D23" s="187"/>
      <x:c r="E23" s="187"/>
      <x:c r="F23" s="187"/>
      <x:c r="G23" s="187"/>
      <x:c r="H23" s="128"/>
      <x:c r="I23" s="128"/>
      <x:c r="J23" s="128"/>
      <x:c r="K23" s="128"/>
      <x:c r="L23" s="128"/>
      <x:c r="M23" s="128"/>
      <x:c r="N23" s="128"/>
      <x:c r="O23" s="128"/>
      <x:c r="P23" s="128"/>
      <x:c r="Q23" s="128"/>
      <x:c r="R23" s="128"/>
      <x:c r="S23" s="128"/>
      <x:c r="T23" s="128"/>
      <x:c r="U23" s="128"/>
      <x:c r="V23" s="128"/>
      <x:c r="W23" s="128"/>
      <x:c r="X23" s="128"/>
      <x:c r="Y23" s="128"/>
      <x:c r="Z23" s="128"/>
      <x:c r="AA23" s="128"/>
      <x:c r="AB23" s="128"/>
      <x:c r="AC23" s="128"/>
      <x:c r="AD23" s="128"/>
      <x:c r="AE23" s="128"/>
      <x:c r="AF23" s="128"/>
    </x:row>
    <x:row r="24">
      <x:c r="A24" s="187"/>
      <x:c r="B24" s="187"/>
      <x:c r="C24" s="187"/>
      <x:c r="D24" s="187"/>
      <x:c r="E24" s="187"/>
      <x:c r="F24" s="187"/>
      <x:c r="G24" s="187"/>
      <x:c r="H24" s="128"/>
      <x:c r="I24" s="128"/>
      <x:c r="J24" s="128"/>
      <x:c r="K24" s="128"/>
      <x:c r="L24" s="128"/>
      <x:c r="M24" s="128"/>
      <x:c r="N24" s="128"/>
      <x:c r="O24" s="128"/>
      <x:c r="P24" s="128"/>
      <x:c r="Q24" s="128"/>
      <x:c r="R24" s="128"/>
      <x:c r="S24" s="128"/>
      <x:c r="T24" s="128"/>
      <x:c r="U24" s="128"/>
      <x:c r="V24" s="128"/>
      <x:c r="W24" s="128"/>
      <x:c r="X24" s="128"/>
      <x:c r="Y24" s="128"/>
      <x:c r="Z24" s="128"/>
      <x:c r="AA24" s="128"/>
      <x:c r="AB24" s="128"/>
      <x:c r="AC24" s="128"/>
      <x:c r="AD24" s="128"/>
      <x:c r="AE24" s="128"/>
      <x:c r="AF24" s="128"/>
    </x:row>
    <x:row r="25">
      <x:c r="A25" s="187"/>
      <x:c r="B25" s="187"/>
      <x:c r="C25" s="187"/>
      <x:c r="D25" s="187"/>
      <x:c r="E25" s="187"/>
      <x:c r="F25" s="187"/>
      <x:c r="G25" s="187"/>
      <x:c r="H25" s="128"/>
      <x:c r="I25" s="128"/>
      <x:c r="J25" s="128"/>
      <x:c r="K25" s="128"/>
      <x:c r="L25" s="128"/>
      <x:c r="M25" s="128"/>
      <x:c r="N25" s="128"/>
      <x:c r="O25" s="128"/>
      <x:c r="P25" s="128"/>
      <x:c r="Q25" s="128"/>
      <x:c r="R25" s="128"/>
      <x:c r="S25" s="128"/>
      <x:c r="T25" s="128"/>
      <x:c r="U25" s="128"/>
      <x:c r="V25" s="128"/>
      <x:c r="W25" s="128"/>
      <x:c r="X25" s="128"/>
      <x:c r="Y25" s="128"/>
      <x:c r="Z25" s="128"/>
      <x:c r="AA25" s="128"/>
      <x:c r="AB25" s="128"/>
      <x:c r="AC25" s="128"/>
      <x:c r="AD25" s="128"/>
      <x:c r="AE25" s="128"/>
      <x:c r="AF25" s="128"/>
    </x:row>
    <x:row r="26">
      <x:c r="A26" s="128"/>
      <x:c r="B26" s="128"/>
      <x:c r="C26" s="128"/>
      <x:c r="D26" s="128"/>
      <x:c r="E26" s="128"/>
      <x:c r="F26" s="128"/>
      <x:c r="G26" s="128"/>
      <x:c r="H26" s="128"/>
      <x:c r="I26" s="128"/>
      <x:c r="J26" s="128"/>
      <x:c r="K26" s="128"/>
      <x:c r="L26" s="128"/>
      <x:c r="M26" s="128"/>
      <x:c r="N26" s="128"/>
      <x:c r="O26" s="128"/>
      <x:c r="P26" s="128"/>
      <x:c r="Q26" s="128"/>
      <x:c r="R26" s="128"/>
      <x:c r="S26" s="128"/>
      <x:c r="T26" s="128"/>
      <x:c r="U26" s="128"/>
      <x:c r="V26" s="128"/>
      <x:c r="W26" s="128"/>
      <x:c r="X26" s="128"/>
      <x:c r="Y26" s="128"/>
      <x:c r="Z26" s="128"/>
      <x:c r="AA26" s="128"/>
      <x:c r="AB26" s="128"/>
      <x:c r="AC26" s="128"/>
      <x:c r="AD26" s="128"/>
      <x:c r="AE26" s="128"/>
      <x:c r="AF26" s="128"/>
    </x:row>
    <x:row r="27">
      <x:c r="A27" s="128"/>
      <x:c r="B27" s="128"/>
      <x:c r="C27" s="128"/>
      <x:c r="D27" s="128"/>
      <x:c r="E27" s="128"/>
      <x:c r="F27" s="128"/>
      <x:c r="G27" s="128"/>
      <x:c r="H27" s="128"/>
      <x:c r="I27" s="128"/>
      <x:c r="J27" s="128"/>
      <x:c r="K27" s="128"/>
      <x:c r="L27" s="128"/>
      <x:c r="M27" s="128"/>
      <x:c r="N27" s="128"/>
      <x:c r="O27" s="128"/>
      <x:c r="P27" s="128"/>
      <x:c r="Q27" s="128"/>
      <x:c r="R27" s="128"/>
      <x:c r="S27" s="128"/>
      <x:c r="T27" s="128"/>
      <x:c r="U27" s="128"/>
      <x:c r="V27" s="128"/>
      <x:c r="W27" s="128"/>
      <x:c r="X27" s="128"/>
      <x:c r="Y27" s="128"/>
      <x:c r="Z27" s="128"/>
      <x:c r="AA27" s="128"/>
      <x:c r="AB27" s="128"/>
      <x:c r="AC27" s="128"/>
      <x:c r="AD27" s="128"/>
      <x:c r="AE27" s="128"/>
      <x:c r="AF27" s="128"/>
    </x:row>
    <x:row r="28">
      <x:c r="A28" s="140" t="str">
        <x:v>KHỐI TÍNH TOÁN HỖ TRỢ – phục vụ kiểm toán công thức độ nhạy</x:v>
      </x:c>
      <x:c r="B28" s="140"/>
      <x:c r="C28" s="140"/>
      <x:c r="D28" s="140"/>
      <x:c r="E28" s="140"/>
      <x:c r="F28" s="140"/>
      <x:c r="G28" s="140"/>
      <x:c r="H28" s="140"/>
      <x:c r="I28" s="140"/>
      <x:c r="J28" s="140"/>
      <x:c r="K28" s="140"/>
      <x:c r="L28" s="140"/>
      <x:c r="M28" s="140"/>
      <x:c r="N28" s="140"/>
      <x:c r="O28" s="140"/>
      <x:c r="P28" s="140"/>
      <x:c r="Q28" s="140"/>
      <x:c r="R28" s="140"/>
      <x:c r="S28" s="140"/>
      <x:c r="T28" s="140"/>
      <x:c r="U28" s="140"/>
      <x:c r="V28" s="140"/>
      <x:c r="W28" s="140"/>
      <x:c r="X28" s="140"/>
      <x:c r="Y28" s="140"/>
      <x:c r="Z28" s="140"/>
      <x:c r="AA28" s="140"/>
      <x:c r="AB28" s="140"/>
      <x:c r="AC28" s="140"/>
      <x:c r="AD28" s="140"/>
      <x:c r="AE28" s="140"/>
      <x:c r="AF28" s="140"/>
    </x:row>
    <x:row r="29">
      <x:c r="A29" s="128"/>
      <x:c r="B29" s="128"/>
      <x:c r="C29" s="128"/>
      <x:c r="D29" s="128"/>
      <x:c r="E29" s="128"/>
      <x:c r="F29" s="128"/>
      <x:c r="G29" s="128"/>
      <x:c r="H29" s="128"/>
      <x:c r="I29" s="128"/>
      <x:c r="J29" s="128"/>
      <x:c r="K29" s="128"/>
      <x:c r="L29" s="128"/>
      <x:c r="M29" s="128"/>
      <x:c r="N29" s="128"/>
      <x:c r="O29" s="128"/>
      <x:c r="P29" s="128"/>
      <x:c r="Q29" s="128"/>
      <x:c r="R29" s="128"/>
      <x:c r="S29" s="128"/>
      <x:c r="T29" s="128"/>
      <x:c r="U29" s="128"/>
      <x:c r="V29" s="128"/>
      <x:c r="W29" s="128"/>
      <x:c r="X29" s="128"/>
      <x:c r="Y29" s="128"/>
      <x:c r="Z29" s="128"/>
      <x:c r="AA29" s="128"/>
      <x:c r="AB29" s="128"/>
      <x:c r="AC29" s="128"/>
      <x:c r="AD29" s="128"/>
      <x:c r="AE29" s="128"/>
      <x:c r="AF29" s="128"/>
    </x:row>
    <x:row r="30">
      <x:c r="A30" s="128"/>
      <x:c r="B30" s="128"/>
      <x:c r="C30" s="128"/>
      <x:c r="D30" s="128"/>
      <x:c r="E30" s="128"/>
      <x:c r="F30" s="128"/>
      <x:c r="G30" s="128"/>
      <x:c r="H30" s="128"/>
      <x:c r="I30" s="128"/>
      <x:c r="J30" s="128"/>
      <x:c r="K30" s="128"/>
      <x:c r="L30" s="128"/>
      <x:c r="M30" s="128"/>
      <x:c r="N30" s="128"/>
      <x:c r="O30" s="128"/>
      <x:c r="P30" s="128"/>
      <x:c r="Q30" s="128"/>
      <x:c r="R30" s="128"/>
      <x:c r="S30" s="128"/>
      <x:c r="T30" s="128"/>
      <x:c r="U30" s="128"/>
      <x:c r="V30" s="128"/>
      <x:c r="W30" s="128"/>
      <x:c r="X30" s="128"/>
      <x:c r="Y30" s="128"/>
      <x:c r="Z30" s="128"/>
      <x:c r="AA30" s="128"/>
      <x:c r="AB30" s="128"/>
      <x:c r="AC30" s="128"/>
      <x:c r="AD30" s="128"/>
      <x:c r="AE30" s="128"/>
      <x:c r="AF30" s="128"/>
    </x:row>
    <x:row r="31">
      <x:c r="A31" s="128"/>
      <x:c r="B31" s="128"/>
      <x:c r="C31" s="128"/>
      <x:c r="D31" s="128"/>
      <x:c r="E31" s="128"/>
      <x:c r="F31" s="128"/>
      <x:c r="G31" s="128"/>
      <x:c r="H31" s="128"/>
      <x:c r="I31" s="128"/>
      <x:c r="J31" s="128"/>
      <x:c r="K31" s="128"/>
      <x:c r="L31" s="128"/>
      <x:c r="M31" s="128"/>
      <x:c r="N31" s="128"/>
      <x:c r="O31" s="128"/>
      <x:c r="P31" s="128"/>
      <x:c r="Q31" s="128"/>
      <x:c r="R31" s="128"/>
      <x:c r="S31" s="128"/>
      <x:c r="T31" s="128"/>
      <x:c r="U31" s="128"/>
      <x:c r="V31" s="128"/>
      <x:c r="W31" s="128"/>
      <x:c r="X31" s="128"/>
      <x:c r="Y31" s="128"/>
      <x:c r="Z31" s="128"/>
      <x:c r="AA31" s="128"/>
      <x:c r="AB31" s="128"/>
      <x:c r="AC31" s="128"/>
      <x:c r="AD31" s="128"/>
      <x:c r="AE31" s="128"/>
      <x:c r="AF31" s="128"/>
    </x:row>
    <x:row r="32">
      <x:c r="A32" s="128"/>
      <x:c r="B32" s="128"/>
      <x:c r="C32" s="128"/>
      <x:c r="D32" s="128"/>
      <x:c r="E32" s="128"/>
      <x:c r="F32" s="128"/>
      <x:c r="G32" s="128"/>
      <x:c r="H32" s="128"/>
      <x:c r="I32" s="128"/>
      <x:c r="J32" s="128"/>
      <x:c r="K32" s="128"/>
      <x:c r="L32" s="128"/>
      <x:c r="M32" s="128"/>
      <x:c r="N32" s="128"/>
      <x:c r="O32" s="128"/>
      <x:c r="P32" s="128"/>
      <x:c r="Q32" s="128"/>
      <x:c r="R32" s="128"/>
      <x:c r="S32" s="128"/>
      <x:c r="T32" s="128"/>
      <x:c r="U32" s="128"/>
      <x:c r="V32" s="128"/>
      <x:c r="W32" s="128"/>
      <x:c r="X32" s="128"/>
      <x:c r="Y32" s="128"/>
      <x:c r="Z32" s="128"/>
      <x:c r="AA32" s="128"/>
      <x:c r="AB32" s="128"/>
      <x:c r="AC32" s="128"/>
      <x:c r="AD32" s="128"/>
      <x:c r="AE32" s="128"/>
      <x:c r="AF32" s="128"/>
    </x:row>
    <x:row r="33">
      <x:c r="A33" s="128"/>
      <x:c r="B33" s="128"/>
      <x:c r="C33" s="128"/>
      <x:c r="D33" s="128"/>
      <x:c r="E33" s="128"/>
      <x:c r="F33" s="128"/>
      <x:c r="G33" s="128"/>
      <x:c r="H33" s="128"/>
      <x:c r="I33" s="128"/>
      <x:c r="J33" s="128"/>
      <x:c r="K33" s="128"/>
      <x:c r="L33" s="128"/>
      <x:c r="M33" s="128"/>
      <x:c r="N33" s="128"/>
      <x:c r="O33" s="128"/>
      <x:c r="P33" s="128"/>
      <x:c r="Q33" s="128"/>
      <x:c r="R33" s="128"/>
      <x:c r="S33" s="128"/>
      <x:c r="T33" s="128"/>
      <x:c r="U33" s="128"/>
      <x:c r="V33" s="128"/>
      <x:c r="W33" s="128"/>
      <x:c r="X33" s="128"/>
      <x:c r="Y33" s="128"/>
      <x:c r="Z33" s="128"/>
      <x:c r="AA33" s="128"/>
      <x:c r="AB33" s="128"/>
      <x:c r="AC33" s="128"/>
      <x:c r="AD33" s="128"/>
      <x:c r="AE33" s="128"/>
      <x:c r="AF33" s="128"/>
    </x:row>
    <x:row r="34">
      <x:c r="A34" s="128"/>
      <x:c r="B34" s="128"/>
      <x:c r="C34" s="128"/>
      <x:c r="D34" s="128"/>
      <x:c r="E34" s="128"/>
      <x:c r="F34" s="128"/>
      <x:c r="G34" s="128"/>
      <x:c r="H34" s="128"/>
      <x:c r="I34" s="128"/>
      <x:c r="J34" s="128"/>
      <x:c r="K34" s="128"/>
      <x:c r="L34" s="128"/>
      <x:c r="M34" s="128"/>
      <x:c r="N34" s="128"/>
      <x:c r="O34" s="128"/>
      <x:c r="P34" s="128"/>
      <x:c r="Q34" s="128"/>
      <x:c r="R34" s="128"/>
      <x:c r="S34" s="128"/>
      <x:c r="T34" s="128"/>
      <x:c r="U34" s="128"/>
      <x:c r="V34" s="128"/>
      <x:c r="W34" s="128"/>
      <x:c r="X34" s="128"/>
      <x:c r="Y34" s="128"/>
      <x:c r="Z34" s="128"/>
      <x:c r="AA34" s="128"/>
      <x:c r="AB34" s="128"/>
      <x:c r="AC34" s="128"/>
      <x:c r="AD34" s="128"/>
      <x:c r="AE34" s="128"/>
      <x:c r="AF34" s="128"/>
    </x:row>
    <x:row r="35">
      <x:c r="A35" s="128"/>
      <x:c r="B35" s="128"/>
      <x:c r="C35" s="128"/>
      <x:c r="D35" s="128"/>
      <x:c r="E35" s="128"/>
      <x:c r="F35" s="128"/>
      <x:c r="G35" s="128"/>
      <x:c r="H35" s="128"/>
      <x:c r="I35" s="128"/>
      <x:c r="J35" s="128"/>
      <x:c r="K35" s="128"/>
      <x:c r="L35" s="128"/>
      <x:c r="M35" s="128"/>
      <x:c r="N35" s="128"/>
      <x:c r="O35" s="128"/>
      <x:c r="P35" s="128"/>
      <x:c r="Q35" s="128"/>
      <x:c r="R35" s="128"/>
      <x:c r="S35" s="128"/>
      <x:c r="T35" s="128"/>
      <x:c r="U35" s="128"/>
      <x:c r="V35" s="128"/>
      <x:c r="W35" s="128"/>
      <x:c r="X35" s="128"/>
      <x:c r="Y35" s="128"/>
      <x:c r="Z35" s="128"/>
      <x:c r="AA35" s="128"/>
      <x:c r="AB35" s="128"/>
      <x:c r="AC35" s="128"/>
      <x:c r="AD35" s="128"/>
      <x:c r="AE35" s="128"/>
      <x:c r="AF35" s="128"/>
    </x:row>
    <x:row r="36">
      <x:c r="A36" s="128"/>
      <x:c r="B36" s="128"/>
      <x:c r="C36" s="128"/>
      <x:c r="D36" s="128"/>
      <x:c r="E36" s="128"/>
      <x:c r="F36" s="128"/>
      <x:c r="G36" s="128"/>
      <x:c r="H36" s="128"/>
      <x:c r="I36" s="128"/>
      <x:c r="J36" s="128"/>
      <x:c r="K36" s="128"/>
      <x:c r="L36" s="128"/>
      <x:c r="M36" s="128"/>
      <x:c r="N36" s="128"/>
      <x:c r="O36" s="128"/>
      <x:c r="P36" s="128"/>
      <x:c r="Q36" s="128"/>
      <x:c r="R36" s="128"/>
      <x:c r="S36" s="128"/>
      <x:c r="T36" s="128"/>
      <x:c r="U36" s="128"/>
      <x:c r="V36" s="128"/>
      <x:c r="W36" s="128"/>
      <x:c r="X36" s="128"/>
      <x:c r="Y36" s="128"/>
      <x:c r="Z36" s="128"/>
      <x:c r="AA36" s="128"/>
      <x:c r="AB36" s="128"/>
      <x:c r="AC36" s="128"/>
      <x:c r="AD36" s="128"/>
      <x:c r="AE36" s="128"/>
      <x:c r="AF36" s="128"/>
    </x:row>
    <x:row r="37">
      <x:c r="A37" s="128"/>
      <x:c r="B37" s="128"/>
      <x:c r="C37" s="128"/>
      <x:c r="D37" s="128"/>
      <x:c r="E37" s="128"/>
      <x:c r="F37" s="128"/>
      <x:c r="G37" s="128"/>
      <x:c r="H37" s="128"/>
      <x:c r="I37" s="128"/>
      <x:c r="J37" s="128"/>
      <x:c r="K37" s="128"/>
      <x:c r="L37" s="128"/>
      <x:c r="M37" s="128"/>
      <x:c r="N37" s="128"/>
      <x:c r="O37" s="128"/>
      <x:c r="P37" s="128"/>
      <x:c r="Q37" s="128"/>
      <x:c r="R37" s="128"/>
      <x:c r="S37" s="128"/>
      <x:c r="T37" s="128"/>
      <x:c r="U37" s="128"/>
      <x:c r="V37" s="128"/>
      <x:c r="W37" s="128"/>
      <x:c r="X37" s="128"/>
      <x:c r="Y37" s="128"/>
      <x:c r="Z37" s="128"/>
      <x:c r="AA37" s="128"/>
      <x:c r="AB37" s="128"/>
      <x:c r="AC37" s="128"/>
      <x:c r="AD37" s="128"/>
      <x:c r="AE37" s="128"/>
      <x:c r="AF37" s="128"/>
    </x:row>
    <x:row r="38">
      <x:c r="A38" s="128"/>
      <x:c r="B38" s="128"/>
      <x:c r="C38" s="128"/>
      <x:c r="D38" s="128"/>
      <x:c r="E38" s="128"/>
      <x:c r="F38" s="128"/>
      <x:c r="G38" s="128"/>
      <x:c r="H38" s="128"/>
      <x:c r="I38" s="128"/>
      <x:c r="J38" s="128"/>
      <x:c r="K38" s="128"/>
      <x:c r="L38" s="128"/>
      <x:c r="M38" s="128"/>
      <x:c r="N38" s="128"/>
      <x:c r="O38" s="128"/>
      <x:c r="P38" s="128"/>
      <x:c r="Q38" s="128"/>
      <x:c r="R38" s="128"/>
      <x:c r="S38" s="128"/>
      <x:c r="T38" s="128"/>
      <x:c r="U38" s="128"/>
      <x:c r="V38" s="128"/>
      <x:c r="W38" s="128"/>
      <x:c r="X38" s="128"/>
      <x:c r="Y38" s="128"/>
      <x:c r="Z38" s="128"/>
      <x:c r="AA38" s="128"/>
      <x:c r="AB38" s="128"/>
      <x:c r="AC38" s="128"/>
      <x:c r="AD38" s="128"/>
      <x:c r="AE38" s="128"/>
      <x:c r="AF38" s="128"/>
    </x:row>
    <x:row r="39">
      <x:c r="A39" s="128"/>
      <x:c r="B39" s="128"/>
      <x:c r="C39" s="128"/>
      <x:c r="D39" s="128"/>
      <x:c r="E39" s="128"/>
      <x:c r="F39" s="128"/>
      <x:c r="G39" s="128"/>
      <x:c r="H39" s="128"/>
      <x:c r="I39" s="128"/>
      <x:c r="J39" s="128"/>
      <x:c r="K39" s="128"/>
      <x:c r="L39" s="128"/>
      <x:c r="M39" s="128"/>
      <x:c r="N39" s="128"/>
      <x:c r="O39" s="128"/>
      <x:c r="P39" s="128"/>
      <x:c r="Q39" s="128"/>
      <x:c r="R39" s="128"/>
      <x:c r="S39" s="128"/>
      <x:c r="T39" s="128"/>
      <x:c r="U39" s="128"/>
      <x:c r="V39" s="128"/>
      <x:c r="W39" s="128"/>
      <x:c r="X39" s="128"/>
      <x:c r="Y39" s="128"/>
      <x:c r="Z39" s="128"/>
      <x:c r="AA39" s="128"/>
      <x:c r="AB39" s="128"/>
      <x:c r="AC39" s="128"/>
      <x:c r="AD39" s="128"/>
      <x:c r="AE39" s="128"/>
      <x:c r="AF39" s="128"/>
    </x:row>
    <x:row r="40">
      <x:c r="A40" s="128" t="str">
        <x:v>SEN-01-1</x:v>
      </x:c>
      <x:c r="B40" s="128" t="str">
        <x:v>Project CF × 90%</x:v>
      </x:c>
      <x:c r="C40" s="188" t="n">
        <x:f>'Project_CF'!C24+('Energy_Revenue'!C14*-0.09999999999999998)*(1-'Dep_Tax'!C24)</x:f>
        <x:v>-2455.2</x:v>
      </x:c>
      <x:c r="D40" s="188" t="n">
        <x:f>'Project_CF'!D24+('Energy_Revenue'!D14*-0.09999999999999998)*(1-'Dep_Tax'!D24)</x:f>
        <x:v>-3459.6000000000004</x:v>
      </x:c>
      <x:c r="E40" s="188" t="n">
        <x:f>'Project_CF'!E24+('Energy_Revenue'!E14*-0.09999999999999998)*(1-'Dep_Tax'!E24)</x:f>
        <x:v>992.6752463999999</x:v>
      </x:c>
      <x:c r="F40" s="188" t="n">
        <x:f>'Project_CF'!F24+('Energy_Revenue'!F14*-0.09999999999999998)*(1-'Dep_Tax'!F24)</x:f>
        <x:v>652.9882959072</x:v>
      </x:c>
      <x:c r="G40" s="188" t="n">
        <x:f>'Project_CF'!G24+('Energy_Revenue'!G14*-0.09999999999999998)*(1-'Dep_Tax'!G24)</x:f>
        <x:v>648.0039833153858</x:v>
      </x:c>
      <x:c r="H40" s="188" t="n">
        <x:f>'Project_CF'!H24+('Energy_Revenue'!H14*-0.09999999999999998)*(1-'Dep_Tax'!H24)</x:f>
        <x:v>642.9192892687549</x:v>
      </x:c>
      <x:c r="I40" s="188" t="n">
        <x:f>'Project_CF'!I24+('Energy_Revenue'!I14*-0.09999999999999998)*(1-'Dep_Tax'!I24)</x:f>
        <x:v>620.6733988264265</x:v>
      </x:c>
      <x:c r="J40" s="188" t="n">
        <x:f>'Project_CF'!J24+('Energy_Revenue'!J14*-0.09999999999999998)*(1-'Dep_Tax'!J24)</x:f>
        <x:v>615.6432635196153</x:v>
      </x:c>
      <x:c r="K40" s="188" t="n">
        <x:f>'Project_CF'!K24+('Energy_Revenue'!K14*-0.09999999999999998)*(1-'Dep_Tax'!K24)</x:f>
        <x:v>610.508635097143</x:v>
      </x:c>
      <x:c r="L40" s="188" t="n">
        <x:f>'Project_CF'!L24+('Energy_Revenue'!L14*-0.09999999999999998)*(1-'Dep_Tax'!L24)</x:f>
        <x:v>605.2662859436524</x:v>
      </x:c>
      <x:c r="M40" s="188" t="n">
        <x:f>'Project_CF'!M24+('Energy_Revenue'!M14*-0.09999999999999998)*(1-'Dep_Tax'!M24)</x:f>
        <x:v>599.91289180097</x:v>
      </x:c>
      <x:c r="N40" s="188" t="n">
        <x:f>'Project_CF'!N24+('Energy_Revenue'!N14*-0.09999999999999998)*(1-'Dep_Tax'!N24)</x:f>
        <x:v>594.4450288684494</x:v>
      </x:c>
      <x:c r="O40" s="188" t="n">
        <x:f>'Project_CF'!O24+('Energy_Revenue'!O14*-0.09999999999999998)*(1-'Dep_Tax'!O24)</x:f>
        <x:v>588.8591708163259</x:v>
      </x:c>
      <x:c r="P40" s="188" t="n">
        <x:f>'Project_CF'!P24+('Energy_Revenue'!P14*-0.09999999999999998)*(1-'Dep_Tax'!P24)</x:f>
        <x:v>583.1516857094751</x:v>
      </x:c>
      <x:c r="Q40" s="188" t="n">
        <x:f>'Project_CF'!Q24+('Energy_Revenue'!Q14*-0.09999999999999998)*(1-'Dep_Tax'!Q24)</x:f>
        <x:v>577.3188328388817</x:v>
      </x:c>
      <x:c r="R40" s="188" t="n">
        <x:f>'Project_CF'!R24+('Energy_Revenue'!R14*-0.09999999999999998)*(1-'Dep_Tax'!R24)</x:f>
        <x:v>556.8946668549986</x:v>
      </x:c>
      <x:c r="S40" s="188" t="n">
        <x:f>'Project_CF'!S24+('Energy_Revenue'!S14*-0.09999999999999998)*(1-'Dep_Tax'!S24)</x:f>
        <x:v>551.120208083558</x:v>
      </x:c>
      <x:c r="T40" s="188" t="n">
        <x:f>'Project_CF'!T24+('Energy_Revenue'!T14*-0.09999999999999998)*(1-'Dep_Tax'!T24)</x:f>
        <x:v>517.58917660847</x:v>
      </x:c>
      <x:c r="U40" s="188" t="n">
        <x:f>'Project_CF'!U24+('Energy_Revenue'!U14*-0.09999999999999998)*(1-'Dep_Tax'!U24)</x:f>
        <x:v>512.2215784647213</x:v>
      </x:c>
      <x:c r="V40" s="188" t="n">
        <x:f>'Project_CF'!V24+('Energy_Revenue'!V14*-0.09999999999999998)*(1-'Dep_Tax'!V24)</x:f>
        <x:v>506.7311839995442</x:v>
      </x:c>
      <x:c r="W40" s="188" t="n">
        <x:f>'Project_CF'!W24+('Energy_Revenue'!W14*-0.09999999999999998)*(1-'Dep_Tax'!W24)</x:f>
        <x:v>501.11423286005</x:v>
      </x:c>
      <x:c r="X40" s="188" t="n">
        <x:f>'Project_CF'!X24+('Energy_Revenue'!X14*-0.09999999999999998)*(1-'Dep_Tax'!X24)</x:f>
        <x:v>495.36685203569</x:v>
      </x:c>
      <x:c r="Y40" s="188" t="n">
        <x:f>'Project_CF'!Y24+('Energy_Revenue'!Y14*-0.09999999999999998)*(1-'Dep_Tax'!Y24)</x:f>
        <x:v>0</x:v>
      </x:c>
      <x:c r="Z40" s="188" t="n">
        <x:f>'Project_CF'!Z24+('Energy_Revenue'!Z14*-0.09999999999999998)*(1-'Dep_Tax'!Z24)</x:f>
        <x:v>0</x:v>
      </x:c>
      <x:c r="AA40" s="188" t="n">
        <x:f>'Project_CF'!AA24+('Energy_Revenue'!AA14*-0.09999999999999998)*(1-'Dep_Tax'!AA24)</x:f>
        <x:v>0</x:v>
      </x:c>
      <x:c r="AB40" s="188" t="n">
        <x:f>'Project_CF'!AB24+('Energy_Revenue'!AB14*-0.09999999999999998)*(1-'Dep_Tax'!AB24)</x:f>
        <x:v>0</x:v>
      </x:c>
      <x:c r="AC40" s="188" t="n">
        <x:f>'Project_CF'!AC24+('Energy_Revenue'!AC14*-0.09999999999999998)*(1-'Dep_Tax'!AC24)</x:f>
        <x:v>0</x:v>
      </x:c>
      <x:c r="AD40" s="188" t="n">
        <x:f>'Project_CF'!AD24+('Energy_Revenue'!AD14*-0.09999999999999998)*(1-'Dep_Tax'!AD24)</x:f>
        <x:v>0</x:v>
      </x:c>
      <x:c r="AE40" s="188" t="n">
        <x:f>'Project_CF'!AE24+('Energy_Revenue'!AE14*-0.09999999999999998)*(1-'Dep_Tax'!AE24)</x:f>
        <x:v>0</x:v>
      </x:c>
      <x:c r="AF40" s="188" t="n">
        <x:f>'Project_CF'!AF24+('Energy_Revenue'!AF14*-0.09999999999999998)*(1-'Dep_Tax'!AF24)</x:f>
        <x:v>0</x:v>
      </x:c>
    </x:row>
    <x:row r="41">
      <x:c r="A41" s="128" t="str">
        <x:v>SEN-01-2</x:v>
      </x:c>
      <x:c r="B41" s="128" t="str">
        <x:v>Project CF × 95%</x:v>
      </x:c>
      <x:c r="C41" s="188" t="n">
        <x:f>'Project_CF'!C24+('Energy_Revenue'!C14*-0.050000000000000044)*(1-'Dep_Tax'!C24)</x:f>
        <x:v>-2455.2</x:v>
      </x:c>
      <x:c r="D41" s="188" t="n">
        <x:f>'Project_CF'!D24+('Energy_Revenue'!D14*-0.050000000000000044)*(1-'Dep_Tax'!D24)</x:f>
        <x:v>-3459.6000000000004</x:v>
      </x:c>
      <x:c r="E41" s="188" t="n">
        <x:f>'Project_CF'!E24+('Energy_Revenue'!E14*-0.050000000000000044)*(1-'Dep_Tax'!E24)</x:f>
        <x:v>1035.4238712</x:v>
      </x:c>
      <x:c r="F41" s="188" t="n">
        <x:f>'Project_CF'!F24+('Energy_Revenue'!F14*-0.050000000000000044)*(1-'Dep_Tax'!F24)</x:f>
        <x:v>695.6514234575999</x:v>
      </x:c>
      <x:c r="G41" s="188" t="n">
        <x:f>'Project_CF'!G24+('Energy_Revenue'!G14*-0.050000000000000044)*(1-'Dep_Tax'!G24)</x:f>
        <x:v>690.581784610685</x:v>
      </x:c>
      <x:c r="H41" s="188" t="n">
        <x:f>'Project_CF'!H24+('Energy_Revenue'!H14*-0.050000000000000044)*(1-'Dep_Tax'!H24)</x:f>
        <x:v>685.4119349614635</x:v>
      </x:c>
      <x:c r="I41" s="188" t="n">
        <x:f>'Project_CF'!I24+('Energy_Revenue'!I14*-0.050000000000000044)*(1-'Dep_Tax'!I24)</x:f>
        <x:v>660.9606762076835</x:v>
      </x:c>
      <x:c r="J41" s="188" t="n">
        <x:f>'Project_CF'!J24+('Energy_Revenue'!J14*-0.050000000000000044)*(1-'Dep_Tax'!J24)</x:f>
        <x:v>655.8499663461098</x:v>
      </x:c>
      <x:c r="K41" s="188" t="n">
        <x:f>'Project_CF'!K24+('Energy_Revenue'!K14*-0.050000000000000044)*(1-'Dep_Tax'!K24)</x:f>
        <x:v>650.6349245179846</x:v>
      </x:c>
      <x:c r="L41" s="188" t="n">
        <x:f>'Project_CF'!L24+('Energy_Revenue'!L14*-0.050000000000000044)*(1-'Dep_Tax'!L24)</x:f>
        <x:v>645.3123227856521</x:v>
      </x:c>
      <x:c r="M41" s="188" t="n">
        <x:f>'Project_CF'!M24+('Energy_Revenue'!M14*-0.050000000000000044)*(1-'Dep_Tax'!M24)</x:f>
        <x:v>639.8788365692857</x:v>
      </x:c>
      <x:c r="N41" s="188" t="n">
        <x:f>'Project_CF'!N24+('Energy_Revenue'!N14*-0.050000000000000044)*(1-'Dep_Tax'!N24)</x:f>
        <x:v>634.3310417472285</x:v>
      </x:c>
      <x:c r="O41" s="188" t="n">
        <x:f>'Project_CF'!O24+('Energy_Revenue'!O14*-0.050000000000000044)*(1-'Dep_Tax'!O24)</x:f>
        <x:v>628.6654116693475</x:v>
      </x:c>
      <x:c r="P41" s="188" t="n">
        <x:f>'Project_CF'!P24+('Energy_Revenue'!P14*-0.050000000000000044)*(1-'Dep_Tax'!P24)</x:f>
        <x:v>622.8783140807907</x:v>
      </x:c>
      <x:c r="Q41" s="188" t="n">
        <x:f>'Project_CF'!Q24+('Energy_Revenue'!Q14*-0.050000000000000044)*(1-'Dep_Tax'!Q24)</x:f>
        <x:v>616.9660079534547</x:v>
      </x:c>
      <x:c r="R41" s="188" t="n">
        <x:f>'Project_CF'!R24+('Energy_Revenue'!R14*-0.050000000000000044)*(1-'Dep_Tax'!R24)</x:f>
        <x:v>594.3800275791137</x:v>
      </x:c>
      <x:c r="S41" s="188" t="n">
        <x:f>'Project_CF'!S24+('Energy_Revenue'!S14*-0.050000000000000044)*(1-'Dep_Tax'!S24)</x:f>
        <x:v>588.530598086225</x:v>
      </x:c>
      <x:c r="T41" s="188" t="n">
        <x:f>'Project_CF'!T24+('Energy_Revenue'!T14*-0.050000000000000044)*(1-'Dep_Tax'!T24)</x:f>
        <x:v>550.7763492508359</x:v>
      </x:c>
      <x:c r="U41" s="188" t="n">
        <x:f>'Project_CF'!U24+('Energy_Revenue'!U14*-0.050000000000000044)*(1-'Dep_Tax'!U24)</x:f>
        <x:v>545.3423767618025</x:v>
      </x:c>
      <x:c r="V41" s="188" t="n">
        <x:f>'Project_CF'!V24+('Energy_Revenue'!V14*-0.050000000000000044)*(1-'Dep_Tax'!V24)</x:f>
        <x:v>539.7857407000312</x:v>
      </x:c>
      <x:c r="W41" s="188" t="n">
        <x:f>'Project_CF'!W24+('Energy_Revenue'!W14*-0.050000000000000044)*(1-'Dep_Tax'!W24)</x:f>
        <x:v>534.102680447136</x:v>
      </x:c>
      <x:c r="X41" s="188" t="n">
        <x:f>'Project_CF'!X24+('Energy_Revenue'!X14*-0.050000000000000044)*(1-'Dep_Tax'!X24)</x:f>
        <x:v>528.2893227276018</x:v>
      </x:c>
      <x:c r="Y41" s="188" t="n">
        <x:f>'Project_CF'!Y24+('Energy_Revenue'!Y14*-0.050000000000000044)*(1-'Dep_Tax'!Y24)</x:f>
        <x:v>0</x:v>
      </x:c>
      <x:c r="Z41" s="188" t="n">
        <x:f>'Project_CF'!Z24+('Energy_Revenue'!Z14*-0.050000000000000044)*(1-'Dep_Tax'!Z24)</x:f>
        <x:v>0</x:v>
      </x:c>
      <x:c r="AA41" s="188" t="n">
        <x:f>'Project_CF'!AA24+('Energy_Revenue'!AA14*-0.050000000000000044)*(1-'Dep_Tax'!AA24)</x:f>
        <x:v>0</x:v>
      </x:c>
      <x:c r="AB41" s="188" t="n">
        <x:f>'Project_CF'!AB24+('Energy_Revenue'!AB14*-0.050000000000000044)*(1-'Dep_Tax'!AB24)</x:f>
        <x:v>0</x:v>
      </x:c>
      <x:c r="AC41" s="188" t="n">
        <x:f>'Project_CF'!AC24+('Energy_Revenue'!AC14*-0.050000000000000044)*(1-'Dep_Tax'!AC24)</x:f>
        <x:v>0</x:v>
      </x:c>
      <x:c r="AD41" s="188" t="n">
        <x:f>'Project_CF'!AD24+('Energy_Revenue'!AD14*-0.050000000000000044)*(1-'Dep_Tax'!AD24)</x:f>
        <x:v>0</x:v>
      </x:c>
      <x:c r="AE41" s="188" t="n">
        <x:f>'Project_CF'!AE24+('Energy_Revenue'!AE14*-0.050000000000000044)*(1-'Dep_Tax'!AE24)</x:f>
        <x:v>0</x:v>
      </x:c>
      <x:c r="AF41" s="188" t="n">
        <x:f>'Project_CF'!AF24+('Energy_Revenue'!AF14*-0.050000000000000044)*(1-'Dep_Tax'!AF24)</x:f>
        <x:v>0</x:v>
      </x:c>
    </x:row>
    <x:row r="42">
      <x:c r="A42" s="128" t="str">
        <x:v>SEN-01-3</x:v>
      </x:c>
      <x:c r="B42" s="128" t="str">
        <x:v>Project CF × 100%</x:v>
      </x:c>
      <x:c r="C42" s="188" t="n">
        <x:f>'Project_CF'!C24+('Energy_Revenue'!C14*0)*(1-'Dep_Tax'!C24)</x:f>
        <x:v>-2455.2</x:v>
      </x:c>
      <x:c r="D42" s="188" t="n">
        <x:f>'Project_CF'!D24+('Energy_Revenue'!D14*0)*(1-'Dep_Tax'!D24)</x:f>
        <x:v>-3459.6000000000004</x:v>
      </x:c>
      <x:c r="E42" s="188" t="n">
        <x:f>'Project_CF'!E24+('Energy_Revenue'!E14*0)*(1-'Dep_Tax'!E24)</x:f>
        <x:v>1078.172496</x:v>
      </x:c>
      <x:c r="F42" s="188" t="n">
        <x:f>'Project_CF'!F24+('Energy_Revenue'!F14*0)*(1-'Dep_Tax'!F24)</x:f>
        <x:v>738.314551008</x:v>
      </x:c>
      <x:c r="G42" s="188" t="n">
        <x:f>'Project_CF'!G24+('Energy_Revenue'!G14*0)*(1-'Dep_Tax'!G24)</x:f>
        <x:v>733.1595859059842</x:v>
      </x:c>
      <x:c r="H42" s="188" t="n">
        <x:f>'Project_CF'!H24+('Energy_Revenue'!H14*0)*(1-'Dep_Tax'!H24)</x:f>
        <x:v>727.9045806541722</x:v>
      </x:c>
      <x:c r="I42" s="188" t="n">
        <x:f>'Project_CF'!I24+('Energy_Revenue'!I14*0)*(1-'Dep_Tax'!I24)</x:f>
        <x:v>701.2479535889405</x:v>
      </x:c>
      <x:c r="J42" s="188" t="n">
        <x:f>'Project_CF'!J24+('Energy_Revenue'!J14*0)*(1-'Dep_Tax'!J24)</x:f>
        <x:v>696.0566691726043</x:v>
      </x:c>
      <x:c r="K42" s="188" t="n">
        <x:f>'Project_CF'!K24+('Energy_Revenue'!K14*0)*(1-'Dep_Tax'!K24)</x:f>
        <x:v>690.7612139388261</x:v>
      </x:c>
      <x:c r="L42" s="188" t="n">
        <x:f>'Project_CF'!L24+('Energy_Revenue'!L14*0)*(1-'Dep_Tax'!L24)</x:f>
        <x:v>685.358359627652</x:v>
      </x:c>
      <x:c r="M42" s="188" t="n">
        <x:f>'Project_CF'!M24+('Energy_Revenue'!M14*0)*(1-'Dep_Tax'!M24)</x:f>
        <x:v>679.8447813376016</x:v>
      </x:c>
      <x:c r="N42" s="188" t="n">
        <x:f>'Project_CF'!N24+('Energy_Revenue'!N14*0)*(1-'Dep_Tax'!N24)</x:f>
        <x:v>674.2170546260078</x:v>
      </x:c>
      <x:c r="O42" s="188" t="n">
        <x:f>'Project_CF'!O24+('Energy_Revenue'!O14*0)*(1-'Dep_Tax'!O24)</x:f>
        <x:v>668.4716525223691</x:v>
      </x:c>
      <x:c r="P42" s="188" t="n">
        <x:f>'Project_CF'!P24+('Energy_Revenue'!P14*0)*(1-'Dep_Tax'!P24)</x:f>
        <x:v>662.6049424521063</x:v>
      </x:c>
      <x:c r="Q42" s="188" t="n">
        <x:f>'Project_CF'!Q24+('Energy_Revenue'!Q14*0)*(1-'Dep_Tax'!Q24)</x:f>
        <x:v>656.6131830680276</x:v>
      </x:c>
      <x:c r="R42" s="188" t="n">
        <x:f>'Project_CF'!R24+('Energy_Revenue'!R14*0)*(1-'Dep_Tax'!R24)</x:f>
        <x:v>631.865388303229</x:v>
      </x:c>
      <x:c r="S42" s="188" t="n">
        <x:f>'Project_CF'!S24+('Energy_Revenue'!S14*0)*(1-'Dep_Tax'!S24)</x:f>
        <x:v>625.940988088892</x:v>
      </x:c>
      <x:c r="T42" s="188" t="n">
        <x:f>'Project_CF'!T24+('Energy_Revenue'!T14*0)*(1-'Dep_Tax'!T24)</x:f>
        <x:v>583.9635218932018</x:v>
      </x:c>
      <x:c r="U42" s="188" t="n">
        <x:f>'Project_CF'!U24+('Energy_Revenue'!U14*0)*(1-'Dep_Tax'!U24)</x:f>
        <x:v>578.4631750588837</x:v>
      </x:c>
      <x:c r="V42" s="188" t="n">
        <x:f>'Project_CF'!V24+('Energy_Revenue'!V14*0)*(1-'Dep_Tax'!V24)</x:f>
        <x:v>572.8402974005182</x:v>
      </x:c>
      <x:c r="W42" s="188" t="n">
        <x:f>'Project_CF'!W24+('Energy_Revenue'!W14*0)*(1-'Dep_Tax'!W24)</x:f>
        <x:v>567.091128034222</x:v>
      </x:c>
      <x:c r="X42" s="188" t="n">
        <x:f>'Project_CF'!X24+('Energy_Revenue'!X14*0)*(1-'Dep_Tax'!X24)</x:f>
        <x:v>561.2117934195137</x:v>
      </x:c>
      <x:c r="Y42" s="188" t="n">
        <x:f>'Project_CF'!Y24+('Energy_Revenue'!Y14*0)*(1-'Dep_Tax'!Y24)</x:f>
        <x:v>0</x:v>
      </x:c>
      <x:c r="Z42" s="188" t="n">
        <x:f>'Project_CF'!Z24+('Energy_Revenue'!Z14*0)*(1-'Dep_Tax'!Z24)</x:f>
        <x:v>0</x:v>
      </x:c>
      <x:c r="AA42" s="188" t="n">
        <x:f>'Project_CF'!AA24+('Energy_Revenue'!AA14*0)*(1-'Dep_Tax'!AA24)</x:f>
        <x:v>0</x:v>
      </x:c>
      <x:c r="AB42" s="188" t="n">
        <x:f>'Project_CF'!AB24+('Energy_Revenue'!AB14*0)*(1-'Dep_Tax'!AB24)</x:f>
        <x:v>0</x:v>
      </x:c>
      <x:c r="AC42" s="188" t="n">
        <x:f>'Project_CF'!AC24+('Energy_Revenue'!AC14*0)*(1-'Dep_Tax'!AC24)</x:f>
        <x:v>0</x:v>
      </x:c>
      <x:c r="AD42" s="188" t="n">
        <x:f>'Project_CF'!AD24+('Energy_Revenue'!AD14*0)*(1-'Dep_Tax'!AD24)</x:f>
        <x:v>0</x:v>
      </x:c>
      <x:c r="AE42" s="188" t="n">
        <x:f>'Project_CF'!AE24+('Energy_Revenue'!AE14*0)*(1-'Dep_Tax'!AE24)</x:f>
        <x:v>0</x:v>
      </x:c>
      <x:c r="AF42" s="188" t="n">
        <x:f>'Project_CF'!AF24+('Energy_Revenue'!AF14*0)*(1-'Dep_Tax'!AF24)</x:f>
        <x:v>0</x:v>
      </x:c>
    </x:row>
    <x:row r="43">
      <x:c r="A43" s="128" t="str">
        <x:v>SEN-01-4</x:v>
      </x:c>
      <x:c r="B43" s="128" t="str">
        <x:v>Project CF × 105%</x:v>
      </x:c>
      <x:c r="C43" s="188" t="n">
        <x:f>'Project_CF'!C24+('Energy_Revenue'!C14*0.050000000000000044)*(1-'Dep_Tax'!C24)</x:f>
        <x:v>-2455.2</x:v>
      </x:c>
      <x:c r="D43" s="188" t="n">
        <x:f>'Project_CF'!D24+('Energy_Revenue'!D14*0.050000000000000044)*(1-'Dep_Tax'!D24)</x:f>
        <x:v>-3459.6000000000004</x:v>
      </x:c>
      <x:c r="E43" s="188" t="n">
        <x:f>'Project_CF'!E24+('Energy_Revenue'!E14*0.050000000000000044)*(1-'Dep_Tax'!E24)</x:f>
        <x:v>1120.9211208</x:v>
      </x:c>
      <x:c r="F43" s="188" t="n">
        <x:f>'Project_CF'!F24+('Energy_Revenue'!F14*0.050000000000000044)*(1-'Dep_Tax'!F24)</x:f>
        <x:v>780.9776785584</x:v>
      </x:c>
      <x:c r="G43" s="188" t="n">
        <x:f>'Project_CF'!G24+('Energy_Revenue'!G14*0.050000000000000044)*(1-'Dep_Tax'!G24)</x:f>
        <x:v>775.7373872012834</x:v>
      </x:c>
      <x:c r="H43" s="188" t="n">
        <x:f>'Project_CF'!H24+('Energy_Revenue'!H14*0.050000000000000044)*(1-'Dep_Tax'!H24)</x:f>
        <x:v>770.3972263468808</x:v>
      </x:c>
      <x:c r="I43" s="188" t="n">
        <x:f>'Project_CF'!I24+('Energy_Revenue'!I14*0.050000000000000044)*(1-'Dep_Tax'!I24)</x:f>
        <x:v>741.5352309701975</x:v>
      </x:c>
      <x:c r="J43" s="188" t="n">
        <x:f>'Project_CF'!J24+('Energy_Revenue'!J14*0.050000000000000044)*(1-'Dep_Tax'!J24)</x:f>
        <x:v>736.2633719990988</x:v>
      </x:c>
      <x:c r="K43" s="188" t="n">
        <x:f>'Project_CF'!K24+('Energy_Revenue'!K14*0.050000000000000044)*(1-'Dep_Tax'!K24)</x:f>
        <x:v>730.8875033596677</x:v>
      </x:c>
      <x:c r="L43" s="188" t="n">
        <x:f>'Project_CF'!L24+('Energy_Revenue'!L14*0.050000000000000044)*(1-'Dep_Tax'!L24)</x:f>
        <x:v>725.4043964696519</x:v>
      </x:c>
      <x:c r="M43" s="188" t="n">
        <x:f>'Project_CF'!M24+('Energy_Revenue'!M14*0.050000000000000044)*(1-'Dep_Tax'!M24)</x:f>
        <x:v>719.8107261059175</x:v>
      </x:c>
      <x:c r="N43" s="188" t="n">
        <x:f>'Project_CF'!N24+('Energy_Revenue'!N14*0.050000000000000044)*(1-'Dep_Tax'!N24)</x:f>
        <x:v>714.1030675047871</x:v>
      </x:c>
      <x:c r="O43" s="188" t="n">
        <x:f>'Project_CF'!O24+('Energy_Revenue'!O14*0.050000000000000044)*(1-'Dep_Tax'!O24)</x:f>
        <x:v>708.2778933753908</x:v>
      </x:c>
      <x:c r="P43" s="188" t="n">
        <x:f>'Project_CF'!P24+('Energy_Revenue'!P14*0.050000000000000044)*(1-'Dep_Tax'!P24)</x:f>
        <x:v>702.331570823422</x:v>
      </x:c>
      <x:c r="Q43" s="188" t="n">
        <x:f>'Project_CF'!Q24+('Energy_Revenue'!Q14*0.050000000000000044)*(1-'Dep_Tax'!Q24)</x:f>
        <x:v>696.2603581826006</x:v>
      </x:c>
      <x:c r="R43" s="188" t="n">
        <x:f>'Project_CF'!R24+('Energy_Revenue'!R14*0.050000000000000044)*(1-'Dep_Tax'!R24)</x:f>
        <x:v>669.3507490273442</x:v>
      </x:c>
      <x:c r="S43" s="188" t="n">
        <x:f>'Project_CF'!S24+('Energy_Revenue'!S14*0.050000000000000044)*(1-'Dep_Tax'!S24)</x:f>
        <x:v>663.351378091559</x:v>
      </x:c>
      <x:c r="T43" s="188" t="n">
        <x:f>'Project_CF'!T24+('Energy_Revenue'!T14*0.050000000000000044)*(1-'Dep_Tax'!T24)</x:f>
        <x:v>617.1506945355677</x:v>
      </x:c>
      <x:c r="U43" s="188" t="n">
        <x:f>'Project_CF'!U24+('Energy_Revenue'!U14*0.050000000000000044)*(1-'Dep_Tax'!U24)</x:f>
        <x:v>611.583973355965</x:v>
      </x:c>
      <x:c r="V43" s="188" t="n">
        <x:f>'Project_CF'!V24+('Energy_Revenue'!V14*0.050000000000000044)*(1-'Dep_Tax'!V24)</x:f>
        <x:v>605.8948541010053</x:v>
      </x:c>
      <x:c r="W43" s="188" t="n">
        <x:f>'Project_CF'!W24+('Energy_Revenue'!W14*0.050000000000000044)*(1-'Dep_Tax'!W24)</x:f>
        <x:v>600.0795756213081</x:v>
      </x:c>
      <x:c r="X43" s="188" t="n">
        <x:f>'Project_CF'!X24+('Energy_Revenue'!X14*0.050000000000000044)*(1-'Dep_Tax'!X24)</x:f>
        <x:v>594.1342641114256</x:v>
      </x:c>
      <x:c r="Y43" s="188" t="n">
        <x:f>'Project_CF'!Y24+('Energy_Revenue'!Y14*0.050000000000000044)*(1-'Dep_Tax'!Y24)</x:f>
        <x:v>0</x:v>
      </x:c>
      <x:c r="Z43" s="188" t="n">
        <x:f>'Project_CF'!Z24+('Energy_Revenue'!Z14*0.050000000000000044)*(1-'Dep_Tax'!Z24)</x:f>
        <x:v>0</x:v>
      </x:c>
      <x:c r="AA43" s="188" t="n">
        <x:f>'Project_CF'!AA24+('Energy_Revenue'!AA14*0.050000000000000044)*(1-'Dep_Tax'!AA24)</x:f>
        <x:v>0</x:v>
      </x:c>
      <x:c r="AB43" s="188" t="n">
        <x:f>'Project_CF'!AB24+('Energy_Revenue'!AB14*0.050000000000000044)*(1-'Dep_Tax'!AB24)</x:f>
        <x:v>0</x:v>
      </x:c>
      <x:c r="AC43" s="188" t="n">
        <x:f>'Project_CF'!AC24+('Energy_Revenue'!AC14*0.050000000000000044)*(1-'Dep_Tax'!AC24)</x:f>
        <x:v>0</x:v>
      </x:c>
      <x:c r="AD43" s="188" t="n">
        <x:f>'Project_CF'!AD24+('Energy_Revenue'!AD14*0.050000000000000044)*(1-'Dep_Tax'!AD24)</x:f>
        <x:v>0</x:v>
      </x:c>
      <x:c r="AE43" s="188" t="n">
        <x:f>'Project_CF'!AE24+('Energy_Revenue'!AE14*0.050000000000000044)*(1-'Dep_Tax'!AE24)</x:f>
        <x:v>0</x:v>
      </x:c>
      <x:c r="AF43" s="188" t="n">
        <x:f>'Project_CF'!AF24+('Energy_Revenue'!AF14*0.050000000000000044)*(1-'Dep_Tax'!AF24)</x:f>
        <x:v>0</x:v>
      </x:c>
    </x:row>
    <x:row r="44">
      <x:c r="A44" s="128" t="str">
        <x:v>SEN-01-5</x:v>
      </x:c>
      <x:c r="B44" s="128" t="str">
        <x:v>Project CF × 110%</x:v>
      </x:c>
      <x:c r="C44" s="188" t="n">
        <x:f>'Project_CF'!C24+('Energy_Revenue'!C14*0.10000000000000009)*(1-'Dep_Tax'!C24)</x:f>
        <x:v>-2455.2</x:v>
      </x:c>
      <x:c r="D44" s="188" t="n">
        <x:f>'Project_CF'!D24+('Energy_Revenue'!D14*0.10000000000000009)*(1-'Dep_Tax'!D24)</x:f>
        <x:v>-3459.6000000000004</x:v>
      </x:c>
      <x:c r="E44" s="188" t="n">
        <x:f>'Project_CF'!E24+('Energy_Revenue'!E14*0.10000000000000009)*(1-'Dep_Tax'!E24)</x:f>
        <x:v>1163.6697456</x:v>
      </x:c>
      <x:c r="F44" s="188" t="n">
        <x:f>'Project_CF'!F24+('Energy_Revenue'!F14*0.10000000000000009)*(1-'Dep_Tax'!F24)</x:f>
        <x:v>823.6408061088</x:v>
      </x:c>
      <x:c r="G44" s="188" t="n">
        <x:f>'Project_CF'!G24+('Energy_Revenue'!G14*0.10000000000000009)*(1-'Dep_Tax'!G24)</x:f>
        <x:v>818.3151884965827</x:v>
      </x:c>
      <x:c r="H44" s="188" t="n">
        <x:f>'Project_CF'!H24+('Energy_Revenue'!H14*0.10000000000000009)*(1-'Dep_Tax'!H24)</x:f>
        <x:v>812.8898720395895</x:v>
      </x:c>
      <x:c r="I44" s="188" t="n">
        <x:f>'Project_CF'!I24+('Energy_Revenue'!I14*0.10000000000000009)*(1-'Dep_Tax'!I24)</x:f>
        <x:v>781.8225083514546</x:v>
      </x:c>
      <x:c r="J44" s="188" t="n">
        <x:f>'Project_CF'!J24+('Energy_Revenue'!J14*0.10000000000000009)*(1-'Dep_Tax'!J24)</x:f>
        <x:v>776.4700748255934</x:v>
      </x:c>
      <x:c r="K44" s="188" t="n">
        <x:f>'Project_CF'!K24+('Energy_Revenue'!K14*0.10000000000000009)*(1-'Dep_Tax'!K24)</x:f>
        <x:v>771.0137927805092</x:v>
      </x:c>
      <x:c r="L44" s="188" t="n">
        <x:f>'Project_CF'!L24+('Energy_Revenue'!L14*0.10000000000000009)*(1-'Dep_Tax'!L24)</x:f>
        <x:v>765.4504333116518</x:v>
      </x:c>
      <x:c r="M44" s="188" t="n">
        <x:f>'Project_CF'!M24+('Energy_Revenue'!M14*0.10000000000000009)*(1-'Dep_Tax'!M24)</x:f>
        <x:v>759.7766708742333</x:v>
      </x:c>
      <x:c r="N44" s="188" t="n">
        <x:f>'Project_CF'!N24+('Energy_Revenue'!N14*0.10000000000000009)*(1-'Dep_Tax'!N24)</x:f>
        <x:v>753.9890803835663</x:v>
      </x:c>
      <x:c r="O44" s="188" t="n">
        <x:f>'Project_CF'!O24+('Energy_Revenue'!O14*0.10000000000000009)*(1-'Dep_Tax'!O24)</x:f>
        <x:v>748.0841342284125</x:v>
      </x:c>
      <x:c r="P44" s="188" t="n">
        <x:f>'Project_CF'!P24+('Energy_Revenue'!P14*0.10000000000000009)*(1-'Dep_Tax'!P24)</x:f>
        <x:v>742.0581991947377</x:v>
      </x:c>
      <x:c r="Q44" s="188" t="n">
        <x:f>'Project_CF'!Q24+('Energy_Revenue'!Q14*0.10000000000000009)*(1-'Dep_Tax'!Q24)</x:f>
        <x:v>735.9075332971737</x:v>
      </x:c>
      <x:c r="R44" s="188" t="n">
        <x:f>'Project_CF'!R24+('Energy_Revenue'!R14*0.10000000000000009)*(1-'Dep_Tax'!R24)</x:f>
        <x:v>706.8361097514595</x:v>
      </x:c>
      <x:c r="S44" s="188" t="n">
        <x:f>'Project_CF'!S24+('Energy_Revenue'!S14*0.10000000000000009)*(1-'Dep_Tax'!S24)</x:f>
        <x:v>700.761768094226</x:v>
      </x:c>
      <x:c r="T44" s="188" t="n">
        <x:f>'Project_CF'!T24+('Energy_Revenue'!T14*0.10000000000000009)*(1-'Dep_Tax'!T24)</x:f>
        <x:v>650.3378671779337</x:v>
      </x:c>
      <x:c r="U44" s="188" t="n">
        <x:f>'Project_CF'!U24+('Energy_Revenue'!U14*0.10000000000000009)*(1-'Dep_Tax'!U24)</x:f>
        <x:v>644.7047716530461</x:v>
      </x:c>
      <x:c r="V44" s="188" t="n">
        <x:f>'Project_CF'!V24+('Energy_Revenue'!V14*0.10000000000000009)*(1-'Dep_Tax'!V24)</x:f>
        <x:v>638.9494108014924</x:v>
      </x:c>
      <x:c r="W44" s="188" t="n">
        <x:f>'Project_CF'!W24+('Energy_Revenue'!W14*0.10000000000000009)*(1-'Dep_Tax'!W24)</x:f>
        <x:v>633.0680232083942</x:v>
      </x:c>
      <x:c r="X44" s="188" t="n">
        <x:f>'Project_CF'!X24+('Energy_Revenue'!X14*0.10000000000000009)*(1-'Dep_Tax'!X24)</x:f>
        <x:v>627.0567348033375</x:v>
      </x:c>
      <x:c r="Y44" s="188" t="n">
        <x:f>'Project_CF'!Y24+('Energy_Revenue'!Y14*0.10000000000000009)*(1-'Dep_Tax'!Y24)</x:f>
        <x:v>0</x:v>
      </x:c>
      <x:c r="Z44" s="188" t="n">
        <x:f>'Project_CF'!Z24+('Energy_Revenue'!Z14*0.10000000000000009)*(1-'Dep_Tax'!Z24)</x:f>
        <x:v>0</x:v>
      </x:c>
      <x:c r="AA44" s="188" t="n">
        <x:f>'Project_CF'!AA24+('Energy_Revenue'!AA14*0.10000000000000009)*(1-'Dep_Tax'!AA24)</x:f>
        <x:v>0</x:v>
      </x:c>
      <x:c r="AB44" s="188" t="n">
        <x:f>'Project_CF'!AB24+('Energy_Revenue'!AB14*0.10000000000000009)*(1-'Dep_Tax'!AB24)</x:f>
        <x:v>0</x:v>
      </x:c>
      <x:c r="AC44" s="188" t="n">
        <x:f>'Project_CF'!AC24+('Energy_Revenue'!AC14*0.10000000000000009)*(1-'Dep_Tax'!AC24)</x:f>
        <x:v>0</x:v>
      </x:c>
      <x:c r="AD44" s="188" t="n">
        <x:f>'Project_CF'!AD24+('Energy_Revenue'!AD14*0.10000000000000009)*(1-'Dep_Tax'!AD24)</x:f>
        <x:v>0</x:v>
      </x:c>
      <x:c r="AE44" s="188" t="n">
        <x:f>'Project_CF'!AE24+('Energy_Revenue'!AE14*0.10000000000000009)*(1-'Dep_Tax'!AE24)</x:f>
        <x:v>0</x:v>
      </x:c>
      <x:c r="AF44" s="188" t="n">
        <x:f>'Project_CF'!AF24+('Energy_Revenue'!AF14*0.10000000000000009)*(1-'Dep_Tax'!AF24)</x:f>
        <x:v>0</x:v>
      </x:c>
    </x:row>
    <x:row r="45">
      <x:c r="A45" s="128" t="str">
        <x:v>SEN-02-1</x:v>
      </x:c>
      <x:c r="B45" s="128" t="str">
        <x:v>Project CF × 90%</x:v>
      </x:c>
      <x:c r="C45" s="188" t="n">
        <x:f>'Project_CF'!C24+('Energy_Revenue'!C14*-0.09999999999999998)*(1-'Dep_Tax'!C24)</x:f>
        <x:v>-2455.2</x:v>
      </x:c>
      <x:c r="D45" s="188" t="n">
        <x:f>'Project_CF'!D24+('Energy_Revenue'!D14*-0.09999999999999998)*(1-'Dep_Tax'!D24)</x:f>
        <x:v>-3459.6000000000004</x:v>
      </x:c>
      <x:c r="E45" s="188" t="n">
        <x:f>'Project_CF'!E24+('Energy_Revenue'!E14*-0.09999999999999998)*(1-'Dep_Tax'!E24)</x:f>
        <x:v>992.6752463999999</x:v>
      </x:c>
      <x:c r="F45" s="188" t="n">
        <x:f>'Project_CF'!F24+('Energy_Revenue'!F14*-0.09999999999999998)*(1-'Dep_Tax'!F24)</x:f>
        <x:v>652.9882959072</x:v>
      </x:c>
      <x:c r="G45" s="188" t="n">
        <x:f>'Project_CF'!G24+('Energy_Revenue'!G14*-0.09999999999999998)*(1-'Dep_Tax'!G24)</x:f>
        <x:v>648.0039833153858</x:v>
      </x:c>
      <x:c r="H45" s="188" t="n">
        <x:f>'Project_CF'!H24+('Energy_Revenue'!H14*-0.09999999999999998)*(1-'Dep_Tax'!H24)</x:f>
        <x:v>642.9192892687549</x:v>
      </x:c>
      <x:c r="I45" s="188" t="n">
        <x:f>'Project_CF'!I24+('Energy_Revenue'!I14*-0.09999999999999998)*(1-'Dep_Tax'!I24)</x:f>
        <x:v>620.6733988264265</x:v>
      </x:c>
      <x:c r="J45" s="188" t="n">
        <x:f>'Project_CF'!J24+('Energy_Revenue'!J14*-0.09999999999999998)*(1-'Dep_Tax'!J24)</x:f>
        <x:v>615.6432635196153</x:v>
      </x:c>
      <x:c r="K45" s="188" t="n">
        <x:f>'Project_CF'!K24+('Energy_Revenue'!K14*-0.09999999999999998)*(1-'Dep_Tax'!K24)</x:f>
        <x:v>610.508635097143</x:v>
      </x:c>
      <x:c r="L45" s="188" t="n">
        <x:f>'Project_CF'!L24+('Energy_Revenue'!L14*-0.09999999999999998)*(1-'Dep_Tax'!L24)</x:f>
        <x:v>605.2662859436524</x:v>
      </x:c>
      <x:c r="M45" s="188" t="n">
        <x:f>'Project_CF'!M24+('Energy_Revenue'!M14*-0.09999999999999998)*(1-'Dep_Tax'!M24)</x:f>
        <x:v>599.91289180097</x:v>
      </x:c>
      <x:c r="N45" s="188" t="n">
        <x:f>'Project_CF'!N24+('Energy_Revenue'!N14*-0.09999999999999998)*(1-'Dep_Tax'!N24)</x:f>
        <x:v>594.4450288684494</x:v>
      </x:c>
      <x:c r="O45" s="188" t="n">
        <x:f>'Project_CF'!O24+('Energy_Revenue'!O14*-0.09999999999999998)*(1-'Dep_Tax'!O24)</x:f>
        <x:v>588.8591708163259</x:v>
      </x:c>
      <x:c r="P45" s="188" t="n">
        <x:f>'Project_CF'!P24+('Energy_Revenue'!P14*-0.09999999999999998)*(1-'Dep_Tax'!P24)</x:f>
        <x:v>583.1516857094751</x:v>
      </x:c>
      <x:c r="Q45" s="188" t="n">
        <x:f>'Project_CF'!Q24+('Energy_Revenue'!Q14*-0.09999999999999998)*(1-'Dep_Tax'!Q24)</x:f>
        <x:v>577.3188328388817</x:v>
      </x:c>
      <x:c r="R45" s="188" t="n">
        <x:f>'Project_CF'!R24+('Energy_Revenue'!R14*-0.09999999999999998)*(1-'Dep_Tax'!R24)</x:f>
        <x:v>556.8946668549986</x:v>
      </x:c>
      <x:c r="S45" s="188" t="n">
        <x:f>'Project_CF'!S24+('Energy_Revenue'!S14*-0.09999999999999998)*(1-'Dep_Tax'!S24)</x:f>
        <x:v>551.120208083558</x:v>
      </x:c>
      <x:c r="T45" s="188" t="n">
        <x:f>'Project_CF'!T24+('Energy_Revenue'!T14*-0.09999999999999998)*(1-'Dep_Tax'!T24)</x:f>
        <x:v>517.58917660847</x:v>
      </x:c>
      <x:c r="U45" s="188" t="n">
        <x:f>'Project_CF'!U24+('Energy_Revenue'!U14*-0.09999999999999998)*(1-'Dep_Tax'!U24)</x:f>
        <x:v>512.2215784647213</x:v>
      </x:c>
      <x:c r="V45" s="188" t="n">
        <x:f>'Project_CF'!V24+('Energy_Revenue'!V14*-0.09999999999999998)*(1-'Dep_Tax'!V24)</x:f>
        <x:v>506.7311839995442</x:v>
      </x:c>
      <x:c r="W45" s="188" t="n">
        <x:f>'Project_CF'!W24+('Energy_Revenue'!W14*-0.09999999999999998)*(1-'Dep_Tax'!W24)</x:f>
        <x:v>501.11423286005</x:v>
      </x:c>
      <x:c r="X45" s="188" t="n">
        <x:f>'Project_CF'!X24+('Energy_Revenue'!X14*-0.09999999999999998)*(1-'Dep_Tax'!X24)</x:f>
        <x:v>495.36685203569</x:v>
      </x:c>
      <x:c r="Y45" s="188" t="n">
        <x:f>'Project_CF'!Y24+('Energy_Revenue'!Y14*-0.09999999999999998)*(1-'Dep_Tax'!Y24)</x:f>
        <x:v>0</x:v>
      </x:c>
      <x:c r="Z45" s="188" t="n">
        <x:f>'Project_CF'!Z24+('Energy_Revenue'!Z14*-0.09999999999999998)*(1-'Dep_Tax'!Z24)</x:f>
        <x:v>0</x:v>
      </x:c>
      <x:c r="AA45" s="188" t="n">
        <x:f>'Project_CF'!AA24+('Energy_Revenue'!AA14*-0.09999999999999998)*(1-'Dep_Tax'!AA24)</x:f>
        <x:v>0</x:v>
      </x:c>
      <x:c r="AB45" s="188" t="n">
        <x:f>'Project_CF'!AB24+('Energy_Revenue'!AB14*-0.09999999999999998)*(1-'Dep_Tax'!AB24)</x:f>
        <x:v>0</x:v>
      </x:c>
      <x:c r="AC45" s="188" t="n">
        <x:f>'Project_CF'!AC24+('Energy_Revenue'!AC14*-0.09999999999999998)*(1-'Dep_Tax'!AC24)</x:f>
        <x:v>0</x:v>
      </x:c>
      <x:c r="AD45" s="188" t="n">
        <x:f>'Project_CF'!AD24+('Energy_Revenue'!AD14*-0.09999999999999998)*(1-'Dep_Tax'!AD24)</x:f>
        <x:v>0</x:v>
      </x:c>
      <x:c r="AE45" s="188" t="n">
        <x:f>'Project_CF'!AE24+('Energy_Revenue'!AE14*-0.09999999999999998)*(1-'Dep_Tax'!AE24)</x:f>
        <x:v>0</x:v>
      </x:c>
      <x:c r="AF45" s="188" t="n">
        <x:f>'Project_CF'!AF24+('Energy_Revenue'!AF14*-0.09999999999999998)*(1-'Dep_Tax'!AF24)</x:f>
        <x:v>0</x:v>
      </x:c>
    </x:row>
    <x:row r="46">
      <x:c r="A46" s="128" t="str">
        <x:v>SEN-02-2</x:v>
      </x:c>
      <x:c r="B46" s="128" t="str">
        <x:v>Project CF × 95%</x:v>
      </x:c>
      <x:c r="C46" s="188" t="n">
        <x:f>'Project_CF'!C24+('Energy_Revenue'!C14*-0.050000000000000044)*(1-'Dep_Tax'!C24)</x:f>
        <x:v>-2455.2</x:v>
      </x:c>
      <x:c r="D46" s="188" t="n">
        <x:f>'Project_CF'!D24+('Energy_Revenue'!D14*-0.050000000000000044)*(1-'Dep_Tax'!D24)</x:f>
        <x:v>-3459.6000000000004</x:v>
      </x:c>
      <x:c r="E46" s="188" t="n">
        <x:f>'Project_CF'!E24+('Energy_Revenue'!E14*-0.050000000000000044)*(1-'Dep_Tax'!E24)</x:f>
        <x:v>1035.4238712</x:v>
      </x:c>
      <x:c r="F46" s="188" t="n">
        <x:f>'Project_CF'!F24+('Energy_Revenue'!F14*-0.050000000000000044)*(1-'Dep_Tax'!F24)</x:f>
        <x:v>695.6514234575999</x:v>
      </x:c>
      <x:c r="G46" s="188" t="n">
        <x:f>'Project_CF'!G24+('Energy_Revenue'!G14*-0.050000000000000044)*(1-'Dep_Tax'!G24)</x:f>
        <x:v>690.581784610685</x:v>
      </x:c>
      <x:c r="H46" s="188" t="n">
        <x:f>'Project_CF'!H24+('Energy_Revenue'!H14*-0.050000000000000044)*(1-'Dep_Tax'!H24)</x:f>
        <x:v>685.4119349614635</x:v>
      </x:c>
      <x:c r="I46" s="188" t="n">
        <x:f>'Project_CF'!I24+('Energy_Revenue'!I14*-0.050000000000000044)*(1-'Dep_Tax'!I24)</x:f>
        <x:v>660.9606762076835</x:v>
      </x:c>
      <x:c r="J46" s="188" t="n">
        <x:f>'Project_CF'!J24+('Energy_Revenue'!J14*-0.050000000000000044)*(1-'Dep_Tax'!J24)</x:f>
        <x:v>655.8499663461098</x:v>
      </x:c>
      <x:c r="K46" s="188" t="n">
        <x:f>'Project_CF'!K24+('Energy_Revenue'!K14*-0.050000000000000044)*(1-'Dep_Tax'!K24)</x:f>
        <x:v>650.6349245179846</x:v>
      </x:c>
      <x:c r="L46" s="188" t="n">
        <x:f>'Project_CF'!L24+('Energy_Revenue'!L14*-0.050000000000000044)*(1-'Dep_Tax'!L24)</x:f>
        <x:v>645.3123227856521</x:v>
      </x:c>
      <x:c r="M46" s="188" t="n">
        <x:f>'Project_CF'!M24+('Energy_Revenue'!M14*-0.050000000000000044)*(1-'Dep_Tax'!M24)</x:f>
        <x:v>639.8788365692857</x:v>
      </x:c>
      <x:c r="N46" s="188" t="n">
        <x:f>'Project_CF'!N24+('Energy_Revenue'!N14*-0.050000000000000044)*(1-'Dep_Tax'!N24)</x:f>
        <x:v>634.3310417472285</x:v>
      </x:c>
      <x:c r="O46" s="188" t="n">
        <x:f>'Project_CF'!O24+('Energy_Revenue'!O14*-0.050000000000000044)*(1-'Dep_Tax'!O24)</x:f>
        <x:v>628.6654116693475</x:v>
      </x:c>
      <x:c r="P46" s="188" t="n">
        <x:f>'Project_CF'!P24+('Energy_Revenue'!P14*-0.050000000000000044)*(1-'Dep_Tax'!P24)</x:f>
        <x:v>622.8783140807907</x:v>
      </x:c>
      <x:c r="Q46" s="188" t="n">
        <x:f>'Project_CF'!Q24+('Energy_Revenue'!Q14*-0.050000000000000044)*(1-'Dep_Tax'!Q24)</x:f>
        <x:v>616.9660079534547</x:v>
      </x:c>
      <x:c r="R46" s="188" t="n">
        <x:f>'Project_CF'!R24+('Energy_Revenue'!R14*-0.050000000000000044)*(1-'Dep_Tax'!R24)</x:f>
        <x:v>594.3800275791137</x:v>
      </x:c>
      <x:c r="S46" s="188" t="n">
        <x:f>'Project_CF'!S24+('Energy_Revenue'!S14*-0.050000000000000044)*(1-'Dep_Tax'!S24)</x:f>
        <x:v>588.530598086225</x:v>
      </x:c>
      <x:c r="T46" s="188" t="n">
        <x:f>'Project_CF'!T24+('Energy_Revenue'!T14*-0.050000000000000044)*(1-'Dep_Tax'!T24)</x:f>
        <x:v>550.7763492508359</x:v>
      </x:c>
      <x:c r="U46" s="188" t="n">
        <x:f>'Project_CF'!U24+('Energy_Revenue'!U14*-0.050000000000000044)*(1-'Dep_Tax'!U24)</x:f>
        <x:v>545.3423767618025</x:v>
      </x:c>
      <x:c r="V46" s="188" t="n">
        <x:f>'Project_CF'!V24+('Energy_Revenue'!V14*-0.050000000000000044)*(1-'Dep_Tax'!V24)</x:f>
        <x:v>539.7857407000312</x:v>
      </x:c>
      <x:c r="W46" s="188" t="n">
        <x:f>'Project_CF'!W24+('Energy_Revenue'!W14*-0.050000000000000044)*(1-'Dep_Tax'!W24)</x:f>
        <x:v>534.102680447136</x:v>
      </x:c>
      <x:c r="X46" s="188" t="n">
        <x:f>'Project_CF'!X24+('Energy_Revenue'!X14*-0.050000000000000044)*(1-'Dep_Tax'!X24)</x:f>
        <x:v>528.2893227276018</x:v>
      </x:c>
      <x:c r="Y46" s="188" t="n">
        <x:f>'Project_CF'!Y24+('Energy_Revenue'!Y14*-0.050000000000000044)*(1-'Dep_Tax'!Y24)</x:f>
        <x:v>0</x:v>
      </x:c>
      <x:c r="Z46" s="188" t="n">
        <x:f>'Project_CF'!Z24+('Energy_Revenue'!Z14*-0.050000000000000044)*(1-'Dep_Tax'!Z24)</x:f>
        <x:v>0</x:v>
      </x:c>
      <x:c r="AA46" s="188" t="n">
        <x:f>'Project_CF'!AA24+('Energy_Revenue'!AA14*-0.050000000000000044)*(1-'Dep_Tax'!AA24)</x:f>
        <x:v>0</x:v>
      </x:c>
      <x:c r="AB46" s="188" t="n">
        <x:f>'Project_CF'!AB24+('Energy_Revenue'!AB14*-0.050000000000000044)*(1-'Dep_Tax'!AB24)</x:f>
        <x:v>0</x:v>
      </x:c>
      <x:c r="AC46" s="188" t="n">
        <x:f>'Project_CF'!AC24+('Energy_Revenue'!AC14*-0.050000000000000044)*(1-'Dep_Tax'!AC24)</x:f>
        <x:v>0</x:v>
      </x:c>
      <x:c r="AD46" s="188" t="n">
        <x:f>'Project_CF'!AD24+('Energy_Revenue'!AD14*-0.050000000000000044)*(1-'Dep_Tax'!AD24)</x:f>
        <x:v>0</x:v>
      </x:c>
      <x:c r="AE46" s="188" t="n">
        <x:f>'Project_CF'!AE24+('Energy_Revenue'!AE14*-0.050000000000000044)*(1-'Dep_Tax'!AE24)</x:f>
        <x:v>0</x:v>
      </x:c>
      <x:c r="AF46" s="188" t="n">
        <x:f>'Project_CF'!AF24+('Energy_Revenue'!AF14*-0.050000000000000044)*(1-'Dep_Tax'!AF24)</x:f>
        <x:v>0</x:v>
      </x:c>
    </x:row>
    <x:row r="47">
      <x:c r="A47" s="128" t="str">
        <x:v>SEN-02-3</x:v>
      </x:c>
      <x:c r="B47" s="128" t="str">
        <x:v>Project CF × 100%</x:v>
      </x:c>
      <x:c r="C47" s="188" t="n">
        <x:f>'Project_CF'!C24+('Energy_Revenue'!C14*0)*(1-'Dep_Tax'!C24)</x:f>
        <x:v>-2455.2</x:v>
      </x:c>
      <x:c r="D47" s="188" t="n">
        <x:f>'Project_CF'!D24+('Energy_Revenue'!D14*0)*(1-'Dep_Tax'!D24)</x:f>
        <x:v>-3459.6000000000004</x:v>
      </x:c>
      <x:c r="E47" s="188" t="n">
        <x:f>'Project_CF'!E24+('Energy_Revenue'!E14*0)*(1-'Dep_Tax'!E24)</x:f>
        <x:v>1078.172496</x:v>
      </x:c>
      <x:c r="F47" s="188" t="n">
        <x:f>'Project_CF'!F24+('Energy_Revenue'!F14*0)*(1-'Dep_Tax'!F24)</x:f>
        <x:v>738.314551008</x:v>
      </x:c>
      <x:c r="G47" s="188" t="n">
        <x:f>'Project_CF'!G24+('Energy_Revenue'!G14*0)*(1-'Dep_Tax'!G24)</x:f>
        <x:v>733.1595859059842</x:v>
      </x:c>
      <x:c r="H47" s="188" t="n">
        <x:f>'Project_CF'!H24+('Energy_Revenue'!H14*0)*(1-'Dep_Tax'!H24)</x:f>
        <x:v>727.9045806541722</x:v>
      </x:c>
      <x:c r="I47" s="188" t="n">
        <x:f>'Project_CF'!I24+('Energy_Revenue'!I14*0)*(1-'Dep_Tax'!I24)</x:f>
        <x:v>701.2479535889405</x:v>
      </x:c>
      <x:c r="J47" s="188" t="n">
        <x:f>'Project_CF'!J24+('Energy_Revenue'!J14*0)*(1-'Dep_Tax'!J24)</x:f>
        <x:v>696.0566691726043</x:v>
      </x:c>
      <x:c r="K47" s="188" t="n">
        <x:f>'Project_CF'!K24+('Energy_Revenue'!K14*0)*(1-'Dep_Tax'!K24)</x:f>
        <x:v>690.7612139388261</x:v>
      </x:c>
      <x:c r="L47" s="188" t="n">
        <x:f>'Project_CF'!L24+('Energy_Revenue'!L14*0)*(1-'Dep_Tax'!L24)</x:f>
        <x:v>685.358359627652</x:v>
      </x:c>
      <x:c r="M47" s="188" t="n">
        <x:f>'Project_CF'!M24+('Energy_Revenue'!M14*0)*(1-'Dep_Tax'!M24)</x:f>
        <x:v>679.8447813376016</x:v>
      </x:c>
      <x:c r="N47" s="188" t="n">
        <x:f>'Project_CF'!N24+('Energy_Revenue'!N14*0)*(1-'Dep_Tax'!N24)</x:f>
        <x:v>674.2170546260078</x:v>
      </x:c>
      <x:c r="O47" s="188" t="n">
        <x:f>'Project_CF'!O24+('Energy_Revenue'!O14*0)*(1-'Dep_Tax'!O24)</x:f>
        <x:v>668.4716525223691</x:v>
      </x:c>
      <x:c r="P47" s="188" t="n">
        <x:f>'Project_CF'!P24+('Energy_Revenue'!P14*0)*(1-'Dep_Tax'!P24)</x:f>
        <x:v>662.6049424521063</x:v>
      </x:c>
      <x:c r="Q47" s="188" t="n">
        <x:f>'Project_CF'!Q24+('Energy_Revenue'!Q14*0)*(1-'Dep_Tax'!Q24)</x:f>
        <x:v>656.6131830680276</x:v>
      </x:c>
      <x:c r="R47" s="188" t="n">
        <x:f>'Project_CF'!R24+('Energy_Revenue'!R14*0)*(1-'Dep_Tax'!R24)</x:f>
        <x:v>631.865388303229</x:v>
      </x:c>
      <x:c r="S47" s="188" t="n">
        <x:f>'Project_CF'!S24+('Energy_Revenue'!S14*0)*(1-'Dep_Tax'!S24)</x:f>
        <x:v>625.940988088892</x:v>
      </x:c>
      <x:c r="T47" s="188" t="n">
        <x:f>'Project_CF'!T24+('Energy_Revenue'!T14*0)*(1-'Dep_Tax'!T24)</x:f>
        <x:v>583.9635218932018</x:v>
      </x:c>
      <x:c r="U47" s="188" t="n">
        <x:f>'Project_CF'!U24+('Energy_Revenue'!U14*0)*(1-'Dep_Tax'!U24)</x:f>
        <x:v>578.4631750588837</x:v>
      </x:c>
      <x:c r="V47" s="188" t="n">
        <x:f>'Project_CF'!V24+('Energy_Revenue'!V14*0)*(1-'Dep_Tax'!V24)</x:f>
        <x:v>572.8402974005182</x:v>
      </x:c>
      <x:c r="W47" s="188" t="n">
        <x:f>'Project_CF'!W24+('Energy_Revenue'!W14*0)*(1-'Dep_Tax'!W24)</x:f>
        <x:v>567.091128034222</x:v>
      </x:c>
      <x:c r="X47" s="188" t="n">
        <x:f>'Project_CF'!X24+('Energy_Revenue'!X14*0)*(1-'Dep_Tax'!X24)</x:f>
        <x:v>561.2117934195137</x:v>
      </x:c>
      <x:c r="Y47" s="188" t="n">
        <x:f>'Project_CF'!Y24+('Energy_Revenue'!Y14*0)*(1-'Dep_Tax'!Y24)</x:f>
        <x:v>0</x:v>
      </x:c>
      <x:c r="Z47" s="188" t="n">
        <x:f>'Project_CF'!Z24+('Energy_Revenue'!Z14*0)*(1-'Dep_Tax'!Z24)</x:f>
        <x:v>0</x:v>
      </x:c>
      <x:c r="AA47" s="188" t="n">
        <x:f>'Project_CF'!AA24+('Energy_Revenue'!AA14*0)*(1-'Dep_Tax'!AA24)</x:f>
        <x:v>0</x:v>
      </x:c>
      <x:c r="AB47" s="188" t="n">
        <x:f>'Project_CF'!AB24+('Energy_Revenue'!AB14*0)*(1-'Dep_Tax'!AB24)</x:f>
        <x:v>0</x:v>
      </x:c>
      <x:c r="AC47" s="188" t="n">
        <x:f>'Project_CF'!AC24+('Energy_Revenue'!AC14*0)*(1-'Dep_Tax'!AC24)</x:f>
        <x:v>0</x:v>
      </x:c>
      <x:c r="AD47" s="188" t="n">
        <x:f>'Project_CF'!AD24+('Energy_Revenue'!AD14*0)*(1-'Dep_Tax'!AD24)</x:f>
        <x:v>0</x:v>
      </x:c>
      <x:c r="AE47" s="188" t="n">
        <x:f>'Project_CF'!AE24+('Energy_Revenue'!AE14*0)*(1-'Dep_Tax'!AE24)</x:f>
        <x:v>0</x:v>
      </x:c>
      <x:c r="AF47" s="188" t="n">
        <x:f>'Project_CF'!AF24+('Energy_Revenue'!AF14*0)*(1-'Dep_Tax'!AF24)</x:f>
        <x:v>0</x:v>
      </x:c>
    </x:row>
    <x:row r="48">
      <x:c r="A48" s="128" t="str">
        <x:v>SEN-02-4</x:v>
      </x:c>
      <x:c r="B48" s="128" t="str">
        <x:v>Project CF × 105%</x:v>
      </x:c>
      <x:c r="C48" s="188" t="n">
        <x:f>'Project_CF'!C24+('Energy_Revenue'!C14*0.050000000000000044)*(1-'Dep_Tax'!C24)</x:f>
        <x:v>-2455.2</x:v>
      </x:c>
      <x:c r="D48" s="188" t="n">
        <x:f>'Project_CF'!D24+('Energy_Revenue'!D14*0.050000000000000044)*(1-'Dep_Tax'!D24)</x:f>
        <x:v>-3459.6000000000004</x:v>
      </x:c>
      <x:c r="E48" s="188" t="n">
        <x:f>'Project_CF'!E24+('Energy_Revenue'!E14*0.050000000000000044)*(1-'Dep_Tax'!E24)</x:f>
        <x:v>1120.9211208</x:v>
      </x:c>
      <x:c r="F48" s="188" t="n">
        <x:f>'Project_CF'!F24+('Energy_Revenue'!F14*0.050000000000000044)*(1-'Dep_Tax'!F24)</x:f>
        <x:v>780.9776785584</x:v>
      </x:c>
      <x:c r="G48" s="188" t="n">
        <x:f>'Project_CF'!G24+('Energy_Revenue'!G14*0.050000000000000044)*(1-'Dep_Tax'!G24)</x:f>
        <x:v>775.7373872012834</x:v>
      </x:c>
      <x:c r="H48" s="188" t="n">
        <x:f>'Project_CF'!H24+('Energy_Revenue'!H14*0.050000000000000044)*(1-'Dep_Tax'!H24)</x:f>
        <x:v>770.3972263468808</x:v>
      </x:c>
      <x:c r="I48" s="188" t="n">
        <x:f>'Project_CF'!I24+('Energy_Revenue'!I14*0.050000000000000044)*(1-'Dep_Tax'!I24)</x:f>
        <x:v>741.5352309701975</x:v>
      </x:c>
      <x:c r="J48" s="188" t="n">
        <x:f>'Project_CF'!J24+('Energy_Revenue'!J14*0.050000000000000044)*(1-'Dep_Tax'!J24)</x:f>
        <x:v>736.2633719990988</x:v>
      </x:c>
      <x:c r="K48" s="188" t="n">
        <x:f>'Project_CF'!K24+('Energy_Revenue'!K14*0.050000000000000044)*(1-'Dep_Tax'!K24)</x:f>
        <x:v>730.8875033596677</x:v>
      </x:c>
      <x:c r="L48" s="188" t="n">
        <x:f>'Project_CF'!L24+('Energy_Revenue'!L14*0.050000000000000044)*(1-'Dep_Tax'!L24)</x:f>
        <x:v>725.4043964696519</x:v>
      </x:c>
      <x:c r="M48" s="188" t="n">
        <x:f>'Project_CF'!M24+('Energy_Revenue'!M14*0.050000000000000044)*(1-'Dep_Tax'!M24)</x:f>
        <x:v>719.8107261059175</x:v>
      </x:c>
      <x:c r="N48" s="188" t="n">
        <x:f>'Project_CF'!N24+('Energy_Revenue'!N14*0.050000000000000044)*(1-'Dep_Tax'!N24)</x:f>
        <x:v>714.1030675047871</x:v>
      </x:c>
      <x:c r="O48" s="188" t="n">
        <x:f>'Project_CF'!O24+('Energy_Revenue'!O14*0.050000000000000044)*(1-'Dep_Tax'!O24)</x:f>
        <x:v>708.2778933753908</x:v>
      </x:c>
      <x:c r="P48" s="188" t="n">
        <x:f>'Project_CF'!P24+('Energy_Revenue'!P14*0.050000000000000044)*(1-'Dep_Tax'!P24)</x:f>
        <x:v>702.331570823422</x:v>
      </x:c>
      <x:c r="Q48" s="188" t="n">
        <x:f>'Project_CF'!Q24+('Energy_Revenue'!Q14*0.050000000000000044)*(1-'Dep_Tax'!Q24)</x:f>
        <x:v>696.2603581826006</x:v>
      </x:c>
      <x:c r="R48" s="188" t="n">
        <x:f>'Project_CF'!R24+('Energy_Revenue'!R14*0.050000000000000044)*(1-'Dep_Tax'!R24)</x:f>
        <x:v>669.3507490273442</x:v>
      </x:c>
      <x:c r="S48" s="188" t="n">
        <x:f>'Project_CF'!S24+('Energy_Revenue'!S14*0.050000000000000044)*(1-'Dep_Tax'!S24)</x:f>
        <x:v>663.351378091559</x:v>
      </x:c>
      <x:c r="T48" s="188" t="n">
        <x:f>'Project_CF'!T24+('Energy_Revenue'!T14*0.050000000000000044)*(1-'Dep_Tax'!T24)</x:f>
        <x:v>617.1506945355677</x:v>
      </x:c>
      <x:c r="U48" s="188" t="n">
        <x:f>'Project_CF'!U24+('Energy_Revenue'!U14*0.050000000000000044)*(1-'Dep_Tax'!U24)</x:f>
        <x:v>611.583973355965</x:v>
      </x:c>
      <x:c r="V48" s="188" t="n">
        <x:f>'Project_CF'!V24+('Energy_Revenue'!V14*0.050000000000000044)*(1-'Dep_Tax'!V24)</x:f>
        <x:v>605.8948541010053</x:v>
      </x:c>
      <x:c r="W48" s="188" t="n">
        <x:f>'Project_CF'!W24+('Energy_Revenue'!W14*0.050000000000000044)*(1-'Dep_Tax'!W24)</x:f>
        <x:v>600.0795756213081</x:v>
      </x:c>
      <x:c r="X48" s="188" t="n">
        <x:f>'Project_CF'!X24+('Energy_Revenue'!X14*0.050000000000000044)*(1-'Dep_Tax'!X24)</x:f>
        <x:v>594.1342641114256</x:v>
      </x:c>
      <x:c r="Y48" s="188" t="n">
        <x:f>'Project_CF'!Y24+('Energy_Revenue'!Y14*0.050000000000000044)*(1-'Dep_Tax'!Y24)</x:f>
        <x:v>0</x:v>
      </x:c>
      <x:c r="Z48" s="188" t="n">
        <x:f>'Project_CF'!Z24+('Energy_Revenue'!Z14*0.050000000000000044)*(1-'Dep_Tax'!Z24)</x:f>
        <x:v>0</x:v>
      </x:c>
      <x:c r="AA48" s="188" t="n">
        <x:f>'Project_CF'!AA24+('Energy_Revenue'!AA14*0.050000000000000044)*(1-'Dep_Tax'!AA24)</x:f>
        <x:v>0</x:v>
      </x:c>
      <x:c r="AB48" s="188" t="n">
        <x:f>'Project_CF'!AB24+('Energy_Revenue'!AB14*0.050000000000000044)*(1-'Dep_Tax'!AB24)</x:f>
        <x:v>0</x:v>
      </x:c>
      <x:c r="AC48" s="188" t="n">
        <x:f>'Project_CF'!AC24+('Energy_Revenue'!AC14*0.050000000000000044)*(1-'Dep_Tax'!AC24)</x:f>
        <x:v>0</x:v>
      </x:c>
      <x:c r="AD48" s="188" t="n">
        <x:f>'Project_CF'!AD24+('Energy_Revenue'!AD14*0.050000000000000044)*(1-'Dep_Tax'!AD24)</x:f>
        <x:v>0</x:v>
      </x:c>
      <x:c r="AE48" s="188" t="n">
        <x:f>'Project_CF'!AE24+('Energy_Revenue'!AE14*0.050000000000000044)*(1-'Dep_Tax'!AE24)</x:f>
        <x:v>0</x:v>
      </x:c>
      <x:c r="AF48" s="188" t="n">
        <x:f>'Project_CF'!AF24+('Energy_Revenue'!AF14*0.050000000000000044)*(1-'Dep_Tax'!AF24)</x:f>
        <x:v>0</x:v>
      </x:c>
    </x:row>
    <x:row r="49">
      <x:c r="A49" s="128" t="str">
        <x:v>SEN-02-5</x:v>
      </x:c>
      <x:c r="B49" s="128" t="str">
        <x:v>Project CF × 110%</x:v>
      </x:c>
      <x:c r="C49" s="188" t="n">
        <x:f>'Project_CF'!C24+('Energy_Revenue'!C14*0.10000000000000009)*(1-'Dep_Tax'!C24)</x:f>
        <x:v>-2455.2</x:v>
      </x:c>
      <x:c r="D49" s="188" t="n">
        <x:f>'Project_CF'!D24+('Energy_Revenue'!D14*0.10000000000000009)*(1-'Dep_Tax'!D24)</x:f>
        <x:v>-3459.6000000000004</x:v>
      </x:c>
      <x:c r="E49" s="188" t="n">
        <x:f>'Project_CF'!E24+('Energy_Revenue'!E14*0.10000000000000009)*(1-'Dep_Tax'!E24)</x:f>
        <x:v>1163.6697456</x:v>
      </x:c>
      <x:c r="F49" s="188" t="n">
        <x:f>'Project_CF'!F24+('Energy_Revenue'!F14*0.10000000000000009)*(1-'Dep_Tax'!F24)</x:f>
        <x:v>823.6408061088</x:v>
      </x:c>
      <x:c r="G49" s="188" t="n">
        <x:f>'Project_CF'!G24+('Energy_Revenue'!G14*0.10000000000000009)*(1-'Dep_Tax'!G24)</x:f>
        <x:v>818.3151884965827</x:v>
      </x:c>
      <x:c r="H49" s="188" t="n">
        <x:f>'Project_CF'!H24+('Energy_Revenue'!H14*0.10000000000000009)*(1-'Dep_Tax'!H24)</x:f>
        <x:v>812.8898720395895</x:v>
      </x:c>
      <x:c r="I49" s="188" t="n">
        <x:f>'Project_CF'!I24+('Energy_Revenue'!I14*0.10000000000000009)*(1-'Dep_Tax'!I24)</x:f>
        <x:v>781.8225083514546</x:v>
      </x:c>
      <x:c r="J49" s="188" t="n">
        <x:f>'Project_CF'!J24+('Energy_Revenue'!J14*0.10000000000000009)*(1-'Dep_Tax'!J24)</x:f>
        <x:v>776.4700748255934</x:v>
      </x:c>
      <x:c r="K49" s="188" t="n">
        <x:f>'Project_CF'!K24+('Energy_Revenue'!K14*0.10000000000000009)*(1-'Dep_Tax'!K24)</x:f>
        <x:v>771.0137927805092</x:v>
      </x:c>
      <x:c r="L49" s="188" t="n">
        <x:f>'Project_CF'!L24+('Energy_Revenue'!L14*0.10000000000000009)*(1-'Dep_Tax'!L24)</x:f>
        <x:v>765.4504333116518</x:v>
      </x:c>
      <x:c r="M49" s="188" t="n">
        <x:f>'Project_CF'!M24+('Energy_Revenue'!M14*0.10000000000000009)*(1-'Dep_Tax'!M24)</x:f>
        <x:v>759.7766708742333</x:v>
      </x:c>
      <x:c r="N49" s="188" t="n">
        <x:f>'Project_CF'!N24+('Energy_Revenue'!N14*0.10000000000000009)*(1-'Dep_Tax'!N24)</x:f>
        <x:v>753.9890803835663</x:v>
      </x:c>
      <x:c r="O49" s="188" t="n">
        <x:f>'Project_CF'!O24+('Energy_Revenue'!O14*0.10000000000000009)*(1-'Dep_Tax'!O24)</x:f>
        <x:v>748.0841342284125</x:v>
      </x:c>
      <x:c r="P49" s="188" t="n">
        <x:f>'Project_CF'!P24+('Energy_Revenue'!P14*0.10000000000000009)*(1-'Dep_Tax'!P24)</x:f>
        <x:v>742.0581991947377</x:v>
      </x:c>
      <x:c r="Q49" s="188" t="n">
        <x:f>'Project_CF'!Q24+('Energy_Revenue'!Q14*0.10000000000000009)*(1-'Dep_Tax'!Q24)</x:f>
        <x:v>735.9075332971737</x:v>
      </x:c>
      <x:c r="R49" s="188" t="n">
        <x:f>'Project_CF'!R24+('Energy_Revenue'!R14*0.10000000000000009)*(1-'Dep_Tax'!R24)</x:f>
        <x:v>706.8361097514595</x:v>
      </x:c>
      <x:c r="S49" s="188" t="n">
        <x:f>'Project_CF'!S24+('Energy_Revenue'!S14*0.10000000000000009)*(1-'Dep_Tax'!S24)</x:f>
        <x:v>700.761768094226</x:v>
      </x:c>
      <x:c r="T49" s="188" t="n">
        <x:f>'Project_CF'!T24+('Energy_Revenue'!T14*0.10000000000000009)*(1-'Dep_Tax'!T24)</x:f>
        <x:v>650.3378671779337</x:v>
      </x:c>
      <x:c r="U49" s="188" t="n">
        <x:f>'Project_CF'!U24+('Energy_Revenue'!U14*0.10000000000000009)*(1-'Dep_Tax'!U24)</x:f>
        <x:v>644.7047716530461</x:v>
      </x:c>
      <x:c r="V49" s="188" t="n">
        <x:f>'Project_CF'!V24+('Energy_Revenue'!V14*0.10000000000000009)*(1-'Dep_Tax'!V24)</x:f>
        <x:v>638.9494108014924</x:v>
      </x:c>
      <x:c r="W49" s="188" t="n">
        <x:f>'Project_CF'!W24+('Energy_Revenue'!W14*0.10000000000000009)*(1-'Dep_Tax'!W24)</x:f>
        <x:v>633.0680232083942</x:v>
      </x:c>
      <x:c r="X49" s="188" t="n">
        <x:f>'Project_CF'!X24+('Energy_Revenue'!X14*0.10000000000000009)*(1-'Dep_Tax'!X24)</x:f>
        <x:v>627.0567348033375</x:v>
      </x:c>
      <x:c r="Y49" s="188" t="n">
        <x:f>'Project_CF'!Y24+('Energy_Revenue'!Y14*0.10000000000000009)*(1-'Dep_Tax'!Y24)</x:f>
        <x:v>0</x:v>
      </x:c>
      <x:c r="Z49" s="188" t="n">
        <x:f>'Project_CF'!Z24+('Energy_Revenue'!Z14*0.10000000000000009)*(1-'Dep_Tax'!Z24)</x:f>
        <x:v>0</x:v>
      </x:c>
      <x:c r="AA49" s="188" t="n">
        <x:f>'Project_CF'!AA24+('Energy_Revenue'!AA14*0.10000000000000009)*(1-'Dep_Tax'!AA24)</x:f>
        <x:v>0</x:v>
      </x:c>
      <x:c r="AB49" s="188" t="n">
        <x:f>'Project_CF'!AB24+('Energy_Revenue'!AB14*0.10000000000000009)*(1-'Dep_Tax'!AB24)</x:f>
        <x:v>0</x:v>
      </x:c>
      <x:c r="AC49" s="188" t="n">
        <x:f>'Project_CF'!AC24+('Energy_Revenue'!AC14*0.10000000000000009)*(1-'Dep_Tax'!AC24)</x:f>
        <x:v>0</x:v>
      </x:c>
      <x:c r="AD49" s="188" t="n">
        <x:f>'Project_CF'!AD24+('Energy_Revenue'!AD14*0.10000000000000009)*(1-'Dep_Tax'!AD24)</x:f>
        <x:v>0</x:v>
      </x:c>
      <x:c r="AE49" s="188" t="n">
        <x:f>'Project_CF'!AE24+('Energy_Revenue'!AE14*0.10000000000000009)*(1-'Dep_Tax'!AE24)</x:f>
        <x:v>0</x:v>
      </x:c>
      <x:c r="AF49" s="188" t="n">
        <x:f>'Project_CF'!AF24+('Energy_Revenue'!AF14*0.10000000000000009)*(1-'Dep_Tax'!AF24)</x:f>
        <x:v>0</x:v>
      </x:c>
    </x:row>
    <x:row r="50">
      <x:c r="A50" s="128" t="str">
        <x:v>SEN-03-1</x:v>
      </x:c>
      <x:c r="B50" s="128" t="str">
        <x:v>Project CF × 90%</x:v>
      </x:c>
      <x:c r="C50" s="188" t="n">
        <x:f>'Project_CF'!C24-('CAPEX'!C15-'CAPEX'!C17)*-0.09999999999999998+'Dep_Tax'!C12*-0.09999999999999998*'Dep_Tax'!C24</x:f>
        <x:v>-2209.68</x:v>
      </x:c>
      <x:c r="D50" s="188" t="n">
        <x:f>'Project_CF'!D24-('CAPEX'!D15-'CAPEX'!D17)*-0.09999999999999998+'Dep_Tax'!D12*-0.09999999999999998*'Dep_Tax'!D24</x:f>
        <x:v>-3113.6400000000003</x:v>
      </x:c>
      <x:c r="E50" s="188" t="n">
        <x:f>'Project_CF'!E24-('CAPEX'!E15-'CAPEX'!E17)*-0.09999999999999998+'Dep_Tax'!E12*-0.09999999999999998*'Dep_Tax'!E24</x:f>
        <x:v>1044.692496</x:v>
      </x:c>
      <x:c r="F50" s="188" t="n">
        <x:f>'Project_CF'!F24-('CAPEX'!F15-'CAPEX'!F17)*-0.09999999999999998+'Dep_Tax'!F12*-0.09999999999999998*'Dep_Tax'!F24</x:f>
        <x:v>738.314551008</x:v>
      </x:c>
      <x:c r="G50" s="188" t="n">
        <x:f>'Project_CF'!G24-('CAPEX'!G15-'CAPEX'!G17)*-0.09999999999999998+'Dep_Tax'!G12*-0.09999999999999998*'Dep_Tax'!G24</x:f>
        <x:v>733.1595859059842</x:v>
      </x:c>
      <x:c r="H50" s="188" t="n">
        <x:f>'Project_CF'!H24-('CAPEX'!H15-'CAPEX'!H17)*-0.09999999999999998+'Dep_Tax'!H12*-0.09999999999999998*'Dep_Tax'!H24</x:f>
        <x:v>727.9045806541722</x:v>
      </x:c>
      <x:c r="I50" s="188" t="n">
        <x:f>'Project_CF'!I24-('CAPEX'!I15-'CAPEX'!I17)*-0.09999999999999998+'Dep_Tax'!I12*-0.09999999999999998*'Dep_Tax'!I24</x:f>
        <x:v>699.7650685889405</x:v>
      </x:c>
      <x:c r="J50" s="188" t="n">
        <x:f>'Project_CF'!J24-('CAPEX'!J15-'CAPEX'!J17)*-0.09999999999999998+'Dep_Tax'!J12*-0.09999999999999998*'Dep_Tax'!J24</x:f>
        <x:v>694.5737841726043</x:v>
      </x:c>
      <x:c r="K50" s="188" t="n">
        <x:f>'Project_CF'!K24-('CAPEX'!K15-'CAPEX'!K17)*-0.09999999999999998+'Dep_Tax'!K12*-0.09999999999999998*'Dep_Tax'!K24</x:f>
        <x:v>689.2783289388261</x:v>
      </x:c>
      <x:c r="L50" s="188" t="n">
        <x:f>'Project_CF'!L24-('CAPEX'!L15-'CAPEX'!L17)*-0.09999999999999998+'Dep_Tax'!L12*-0.09999999999999998*'Dep_Tax'!L24</x:f>
        <x:v>683.875474627652</x:v>
      </x:c>
      <x:c r="M50" s="188" t="n">
        <x:f>'Project_CF'!M24-('CAPEX'!M15-'CAPEX'!M17)*-0.09999999999999998+'Dep_Tax'!M12*-0.09999999999999998*'Dep_Tax'!M24</x:f>
        <x:v>678.3618963376016</x:v>
      </x:c>
      <x:c r="N50" s="188" t="n">
        <x:f>'Project_CF'!N24-('CAPEX'!N15-'CAPEX'!N17)*-0.09999999999999998+'Dep_Tax'!N12*-0.09999999999999998*'Dep_Tax'!N24</x:f>
        <x:v>672.7341696260078</x:v>
      </x:c>
      <x:c r="O50" s="188" t="n">
        <x:f>'Project_CF'!O24-('CAPEX'!O15-'CAPEX'!O17)*-0.09999999999999998+'Dep_Tax'!O12*-0.09999999999999998*'Dep_Tax'!O24</x:f>
        <x:v>666.9887675223691</x:v>
      </x:c>
      <x:c r="P50" s="188" t="n">
        <x:f>'Project_CF'!P24-('CAPEX'!P15-'CAPEX'!P17)*-0.09999999999999998+'Dep_Tax'!P12*-0.09999999999999998*'Dep_Tax'!P24</x:f>
        <x:v>661.1220574521063</x:v>
      </x:c>
      <x:c r="Q50" s="188" t="n">
        <x:f>'Project_CF'!Q24-('CAPEX'!Q15-'CAPEX'!Q17)*-0.09999999999999998+'Dep_Tax'!Q12*-0.09999999999999998*'Dep_Tax'!Q24</x:f>
        <x:v>655.1302980680276</x:v>
      </x:c>
      <x:c r="R50" s="188" t="n">
        <x:f>'Project_CF'!R24-('CAPEX'!R15-'CAPEX'!R17)*-0.09999999999999998+'Dep_Tax'!R12*-0.09999999999999998*'Dep_Tax'!R24</x:f>
        <x:v>628.899618303229</x:v>
      </x:c>
      <x:c r="S50" s="188" t="n">
        <x:f>'Project_CF'!S24-('CAPEX'!S15-'CAPEX'!S17)*-0.09999999999999998+'Dep_Tax'!S12*-0.09999999999999998*'Dep_Tax'!S24</x:f>
        <x:v>622.975218088892</x:v>
      </x:c>
      <x:c r="T50" s="188" t="n">
        <x:f>'Project_CF'!T24-('CAPEX'!T15-'CAPEX'!T17)*-0.09999999999999998+'Dep_Tax'!T12*-0.09999999999999998*'Dep_Tax'!T24</x:f>
        <x:v>578.0319818932018</x:v>
      </x:c>
      <x:c r="U50" s="188" t="n">
        <x:f>'Project_CF'!U24-('CAPEX'!U15-'CAPEX'!U17)*-0.09999999999999998+'Dep_Tax'!U12*-0.09999999999999998*'Dep_Tax'!U24</x:f>
        <x:v>572.5316350588837</x:v>
      </x:c>
      <x:c r="V50" s="188" t="n">
        <x:f>'Project_CF'!V24-('CAPEX'!V15-'CAPEX'!V17)*-0.09999999999999998+'Dep_Tax'!V12*-0.09999999999999998*'Dep_Tax'!V24</x:f>
        <x:v>566.9087574005182</x:v>
      </x:c>
      <x:c r="W50" s="188" t="n">
        <x:f>'Project_CF'!W24-('CAPEX'!W15-'CAPEX'!W17)*-0.09999999999999998+'Dep_Tax'!W12*-0.09999999999999998*'Dep_Tax'!W24</x:f>
        <x:v>561.159588034222</x:v>
      </x:c>
      <x:c r="X50" s="188" t="n">
        <x:f>'Project_CF'!X24-('CAPEX'!X15-'CAPEX'!X17)*-0.09999999999999998+'Dep_Tax'!X12*-0.09999999999999998*'Dep_Tax'!X24</x:f>
        <x:v>555.2802534195137</x:v>
      </x:c>
      <x:c r="Y50" s="188" t="n">
        <x:f>'Project_CF'!Y24-('CAPEX'!Y15-'CAPEX'!Y17)*-0.09999999999999998+'Dep_Tax'!Y12*-0.09999999999999998*'Dep_Tax'!Y24</x:f>
        <x:v>0</x:v>
      </x:c>
      <x:c r="Z50" s="188" t="n">
        <x:f>'Project_CF'!Z24-('CAPEX'!Z15-'CAPEX'!Z17)*-0.09999999999999998+'Dep_Tax'!Z12*-0.09999999999999998*'Dep_Tax'!Z24</x:f>
        <x:v>0</x:v>
      </x:c>
      <x:c r="AA50" s="188" t="n">
        <x:f>'Project_CF'!AA24-('CAPEX'!AA15-'CAPEX'!AA17)*-0.09999999999999998+'Dep_Tax'!AA12*-0.09999999999999998*'Dep_Tax'!AA24</x:f>
        <x:v>0</x:v>
      </x:c>
      <x:c r="AB50" s="188" t="n">
        <x:f>'Project_CF'!AB24-('CAPEX'!AB15-'CAPEX'!AB17)*-0.09999999999999998+'Dep_Tax'!AB12*-0.09999999999999998*'Dep_Tax'!AB24</x:f>
        <x:v>0</x:v>
      </x:c>
      <x:c r="AC50" s="188" t="n">
        <x:f>'Project_CF'!AC24-('CAPEX'!AC15-'CAPEX'!AC17)*-0.09999999999999998+'Dep_Tax'!AC12*-0.09999999999999998*'Dep_Tax'!AC24</x:f>
        <x:v>0</x:v>
      </x:c>
      <x:c r="AD50" s="188" t="n">
        <x:f>'Project_CF'!AD24-('CAPEX'!AD15-'CAPEX'!AD17)*-0.09999999999999998+'Dep_Tax'!AD12*-0.09999999999999998*'Dep_Tax'!AD24</x:f>
        <x:v>0</x:v>
      </x:c>
      <x:c r="AE50" s="188" t="n">
        <x:f>'Project_CF'!AE24-('CAPEX'!AE15-'CAPEX'!AE17)*-0.09999999999999998+'Dep_Tax'!AE12*-0.09999999999999998*'Dep_Tax'!AE24</x:f>
        <x:v>0</x:v>
      </x:c>
      <x:c r="AF50" s="188" t="n">
        <x:f>'Project_CF'!AF24-('CAPEX'!AF15-'CAPEX'!AF17)*-0.09999999999999998+'Dep_Tax'!AF12*-0.09999999999999998*'Dep_Tax'!AF24</x:f>
        <x:v>0</x:v>
      </x:c>
    </x:row>
    <x:row r="51">
      <x:c r="A51" s="128" t="str">
        <x:v>SEN-03-2</x:v>
      </x:c>
      <x:c r="B51" s="128" t="str">
        <x:v>Project CF × 95%</x:v>
      </x:c>
      <x:c r="C51" s="188" t="n">
        <x:f>'Project_CF'!C24-('CAPEX'!C15-'CAPEX'!C17)*-0.050000000000000044+'Dep_Tax'!C12*-0.050000000000000044*'Dep_Tax'!C24</x:f>
        <x:v>-2332.4399999999996</x:v>
      </x:c>
      <x:c r="D51" s="188" t="n">
        <x:f>'Project_CF'!D24-('CAPEX'!D15-'CAPEX'!D17)*-0.050000000000000044+'Dep_Tax'!D12*-0.050000000000000044*'Dep_Tax'!D24</x:f>
        <x:v>-3286.6200000000003</x:v>
      </x:c>
      <x:c r="E51" s="188" t="n">
        <x:f>'Project_CF'!E24-('CAPEX'!E15-'CAPEX'!E17)*-0.050000000000000044+'Dep_Tax'!E12*-0.050000000000000044*'Dep_Tax'!E24</x:f>
        <x:v>1061.432496</x:v>
      </x:c>
      <x:c r="F51" s="188" t="n">
        <x:f>'Project_CF'!F24-('CAPEX'!F15-'CAPEX'!F17)*-0.050000000000000044+'Dep_Tax'!F12*-0.050000000000000044*'Dep_Tax'!F24</x:f>
        <x:v>738.314551008</x:v>
      </x:c>
      <x:c r="G51" s="188" t="n">
        <x:f>'Project_CF'!G24-('CAPEX'!G15-'CAPEX'!G17)*-0.050000000000000044+'Dep_Tax'!G12*-0.050000000000000044*'Dep_Tax'!G24</x:f>
        <x:v>733.1595859059842</x:v>
      </x:c>
      <x:c r="H51" s="188" t="n">
        <x:f>'Project_CF'!H24-('CAPEX'!H15-'CAPEX'!H17)*-0.050000000000000044+'Dep_Tax'!H12*-0.050000000000000044*'Dep_Tax'!H24</x:f>
        <x:v>727.9045806541722</x:v>
      </x:c>
      <x:c r="I51" s="188" t="n">
        <x:f>'Project_CF'!I24-('CAPEX'!I15-'CAPEX'!I17)*-0.050000000000000044+'Dep_Tax'!I12*-0.050000000000000044*'Dep_Tax'!I24</x:f>
        <x:v>700.5065110889406</x:v>
      </x:c>
      <x:c r="J51" s="188" t="n">
        <x:f>'Project_CF'!J24-('CAPEX'!J15-'CAPEX'!J17)*-0.050000000000000044+'Dep_Tax'!J12*-0.050000000000000044*'Dep_Tax'!J24</x:f>
        <x:v>695.3152266726044</x:v>
      </x:c>
      <x:c r="K51" s="188" t="n">
        <x:f>'Project_CF'!K24-('CAPEX'!K15-'CAPEX'!K17)*-0.050000000000000044+'Dep_Tax'!K12*-0.050000000000000044*'Dep_Tax'!K24</x:f>
        <x:v>690.0197714388262</x:v>
      </x:c>
      <x:c r="L51" s="188" t="n">
        <x:f>'Project_CF'!L24-('CAPEX'!L15-'CAPEX'!L17)*-0.050000000000000044+'Dep_Tax'!L12*-0.050000000000000044*'Dep_Tax'!L24</x:f>
        <x:v>684.6169171276521</x:v>
      </x:c>
      <x:c r="M51" s="188" t="n">
        <x:f>'Project_CF'!M24-('CAPEX'!M15-'CAPEX'!M17)*-0.050000000000000044+'Dep_Tax'!M12*-0.050000000000000044*'Dep_Tax'!M24</x:f>
        <x:v>679.1033388376017</x:v>
      </x:c>
      <x:c r="N51" s="188" t="n">
        <x:f>'Project_CF'!N24-('CAPEX'!N15-'CAPEX'!N17)*-0.050000000000000044+'Dep_Tax'!N12*-0.050000000000000044*'Dep_Tax'!N24</x:f>
        <x:v>673.4756121260078</x:v>
      </x:c>
      <x:c r="O51" s="188" t="n">
        <x:f>'Project_CF'!O24-('CAPEX'!O15-'CAPEX'!O17)*-0.050000000000000044+'Dep_Tax'!O12*-0.050000000000000044*'Dep_Tax'!O24</x:f>
        <x:v>667.7302100223692</x:v>
      </x:c>
      <x:c r="P51" s="188" t="n">
        <x:f>'Project_CF'!P24-('CAPEX'!P15-'CAPEX'!P17)*-0.050000000000000044+'Dep_Tax'!P12*-0.050000000000000044*'Dep_Tax'!P24</x:f>
        <x:v>661.8634999521064</x:v>
      </x:c>
      <x:c r="Q51" s="188" t="n">
        <x:f>'Project_CF'!Q24-('CAPEX'!Q15-'CAPEX'!Q17)*-0.050000000000000044+'Dep_Tax'!Q12*-0.050000000000000044*'Dep_Tax'!Q24</x:f>
        <x:v>655.8717405680277</x:v>
      </x:c>
      <x:c r="R51" s="188" t="n">
        <x:f>'Project_CF'!R24-('CAPEX'!R15-'CAPEX'!R17)*-0.050000000000000044+'Dep_Tax'!R12*-0.050000000000000044*'Dep_Tax'!R24</x:f>
        <x:v>630.382503303229</x:v>
      </x:c>
      <x:c r="S51" s="188" t="n">
        <x:f>'Project_CF'!S24-('CAPEX'!S15-'CAPEX'!S17)*-0.050000000000000044+'Dep_Tax'!S12*-0.050000000000000044*'Dep_Tax'!S24</x:f>
        <x:v>624.458103088892</x:v>
      </x:c>
      <x:c r="T51" s="188" t="n">
        <x:f>'Project_CF'!T24-('CAPEX'!T15-'CAPEX'!T17)*-0.050000000000000044+'Dep_Tax'!T12*-0.050000000000000044*'Dep_Tax'!T24</x:f>
        <x:v>580.9977518932018</x:v>
      </x:c>
      <x:c r="U51" s="188" t="n">
        <x:f>'Project_CF'!U24-('CAPEX'!U15-'CAPEX'!U17)*-0.050000000000000044+'Dep_Tax'!U12*-0.050000000000000044*'Dep_Tax'!U24</x:f>
        <x:v>575.4974050588837</x:v>
      </x:c>
      <x:c r="V51" s="188" t="n">
        <x:f>'Project_CF'!V24-('CAPEX'!V15-'CAPEX'!V17)*-0.050000000000000044+'Dep_Tax'!V12*-0.050000000000000044*'Dep_Tax'!V24</x:f>
        <x:v>569.8745274005182</x:v>
      </x:c>
      <x:c r="W51" s="188" t="n">
        <x:f>'Project_CF'!W24-('CAPEX'!W15-'CAPEX'!W17)*-0.050000000000000044+'Dep_Tax'!W12*-0.050000000000000044*'Dep_Tax'!W24</x:f>
        <x:v>564.125358034222</x:v>
      </x:c>
      <x:c r="X51" s="188" t="n">
        <x:f>'Project_CF'!X24-('CAPEX'!X15-'CAPEX'!X17)*-0.050000000000000044+'Dep_Tax'!X12*-0.050000000000000044*'Dep_Tax'!X24</x:f>
        <x:v>558.2460234195137</x:v>
      </x:c>
      <x:c r="Y51" s="188" t="n">
        <x:f>'Project_CF'!Y24-('CAPEX'!Y15-'CAPEX'!Y17)*-0.050000000000000044+'Dep_Tax'!Y12*-0.050000000000000044*'Dep_Tax'!Y24</x:f>
        <x:v>0</x:v>
      </x:c>
      <x:c r="Z51" s="188" t="n">
        <x:f>'Project_CF'!Z24-('CAPEX'!Z15-'CAPEX'!Z17)*-0.050000000000000044+'Dep_Tax'!Z12*-0.050000000000000044*'Dep_Tax'!Z24</x:f>
        <x:v>0</x:v>
      </x:c>
      <x:c r="AA51" s="188" t="n">
        <x:f>'Project_CF'!AA24-('CAPEX'!AA15-'CAPEX'!AA17)*-0.050000000000000044+'Dep_Tax'!AA12*-0.050000000000000044*'Dep_Tax'!AA24</x:f>
        <x:v>0</x:v>
      </x:c>
      <x:c r="AB51" s="188" t="n">
        <x:f>'Project_CF'!AB24-('CAPEX'!AB15-'CAPEX'!AB17)*-0.050000000000000044+'Dep_Tax'!AB12*-0.050000000000000044*'Dep_Tax'!AB24</x:f>
        <x:v>0</x:v>
      </x:c>
      <x:c r="AC51" s="188" t="n">
        <x:f>'Project_CF'!AC24-('CAPEX'!AC15-'CAPEX'!AC17)*-0.050000000000000044+'Dep_Tax'!AC12*-0.050000000000000044*'Dep_Tax'!AC24</x:f>
        <x:v>0</x:v>
      </x:c>
      <x:c r="AD51" s="188" t="n">
        <x:f>'Project_CF'!AD24-('CAPEX'!AD15-'CAPEX'!AD17)*-0.050000000000000044+'Dep_Tax'!AD12*-0.050000000000000044*'Dep_Tax'!AD24</x:f>
        <x:v>0</x:v>
      </x:c>
      <x:c r="AE51" s="188" t="n">
        <x:f>'Project_CF'!AE24-('CAPEX'!AE15-'CAPEX'!AE17)*-0.050000000000000044+'Dep_Tax'!AE12*-0.050000000000000044*'Dep_Tax'!AE24</x:f>
        <x:v>0</x:v>
      </x:c>
      <x:c r="AF51" s="188" t="n">
        <x:f>'Project_CF'!AF24-('CAPEX'!AF15-'CAPEX'!AF17)*-0.050000000000000044+'Dep_Tax'!AF12*-0.050000000000000044*'Dep_Tax'!AF24</x:f>
        <x:v>0</x:v>
      </x:c>
    </x:row>
    <x:row r="52">
      <x:c r="A52" s="128" t="str">
        <x:v>SEN-03-3</x:v>
      </x:c>
      <x:c r="B52" s="128" t="str">
        <x:v>Project CF × 100%</x:v>
      </x:c>
      <x:c r="C52" s="188" t="n">
        <x:f>'Project_CF'!C24-('CAPEX'!C15-'CAPEX'!C17)*0+'Dep_Tax'!C12*0*'Dep_Tax'!C24</x:f>
        <x:v>-2455.2</x:v>
      </x:c>
      <x:c r="D52" s="188" t="n">
        <x:f>'Project_CF'!D24-('CAPEX'!D15-'CAPEX'!D17)*0+'Dep_Tax'!D12*0*'Dep_Tax'!D24</x:f>
        <x:v>-3459.6000000000004</x:v>
      </x:c>
      <x:c r="E52" s="188" t="n">
        <x:f>'Project_CF'!E24-('CAPEX'!E15-'CAPEX'!E17)*0+'Dep_Tax'!E12*0*'Dep_Tax'!E24</x:f>
        <x:v>1078.172496</x:v>
      </x:c>
      <x:c r="F52" s="188" t="n">
        <x:f>'Project_CF'!F24-('CAPEX'!F15-'CAPEX'!F17)*0+'Dep_Tax'!F12*0*'Dep_Tax'!F24</x:f>
        <x:v>738.314551008</x:v>
      </x:c>
      <x:c r="G52" s="188" t="n">
        <x:f>'Project_CF'!G24-('CAPEX'!G15-'CAPEX'!G17)*0+'Dep_Tax'!G12*0*'Dep_Tax'!G24</x:f>
        <x:v>733.1595859059842</x:v>
      </x:c>
      <x:c r="H52" s="188" t="n">
        <x:f>'Project_CF'!H24-('CAPEX'!H15-'CAPEX'!H17)*0+'Dep_Tax'!H12*0*'Dep_Tax'!H24</x:f>
        <x:v>727.9045806541722</x:v>
      </x:c>
      <x:c r="I52" s="188" t="n">
        <x:f>'Project_CF'!I24-('CAPEX'!I15-'CAPEX'!I17)*0+'Dep_Tax'!I12*0*'Dep_Tax'!I24</x:f>
        <x:v>701.2479535889405</x:v>
      </x:c>
      <x:c r="J52" s="188" t="n">
        <x:f>'Project_CF'!J24-('CAPEX'!J15-'CAPEX'!J17)*0+'Dep_Tax'!J12*0*'Dep_Tax'!J24</x:f>
        <x:v>696.0566691726043</x:v>
      </x:c>
      <x:c r="K52" s="188" t="n">
        <x:f>'Project_CF'!K24-('CAPEX'!K15-'CAPEX'!K17)*0+'Dep_Tax'!K12*0*'Dep_Tax'!K24</x:f>
        <x:v>690.7612139388261</x:v>
      </x:c>
      <x:c r="L52" s="188" t="n">
        <x:f>'Project_CF'!L24-('CAPEX'!L15-'CAPEX'!L17)*0+'Dep_Tax'!L12*0*'Dep_Tax'!L24</x:f>
        <x:v>685.358359627652</x:v>
      </x:c>
      <x:c r="M52" s="188" t="n">
        <x:f>'Project_CF'!M24-('CAPEX'!M15-'CAPEX'!M17)*0+'Dep_Tax'!M12*0*'Dep_Tax'!M24</x:f>
        <x:v>679.8447813376016</x:v>
      </x:c>
      <x:c r="N52" s="188" t="n">
        <x:f>'Project_CF'!N24-('CAPEX'!N15-'CAPEX'!N17)*0+'Dep_Tax'!N12*0*'Dep_Tax'!N24</x:f>
        <x:v>674.2170546260078</x:v>
      </x:c>
      <x:c r="O52" s="188" t="n">
        <x:f>'Project_CF'!O24-('CAPEX'!O15-'CAPEX'!O17)*0+'Dep_Tax'!O12*0*'Dep_Tax'!O24</x:f>
        <x:v>668.4716525223691</x:v>
      </x:c>
      <x:c r="P52" s="188" t="n">
        <x:f>'Project_CF'!P24-('CAPEX'!P15-'CAPEX'!P17)*0+'Dep_Tax'!P12*0*'Dep_Tax'!P24</x:f>
        <x:v>662.6049424521063</x:v>
      </x:c>
      <x:c r="Q52" s="188" t="n">
        <x:f>'Project_CF'!Q24-('CAPEX'!Q15-'CAPEX'!Q17)*0+'Dep_Tax'!Q12*0*'Dep_Tax'!Q24</x:f>
        <x:v>656.6131830680276</x:v>
      </x:c>
      <x:c r="R52" s="188" t="n">
        <x:f>'Project_CF'!R24-('CAPEX'!R15-'CAPEX'!R17)*0+'Dep_Tax'!R12*0*'Dep_Tax'!R24</x:f>
        <x:v>631.865388303229</x:v>
      </x:c>
      <x:c r="S52" s="188" t="n">
        <x:f>'Project_CF'!S24-('CAPEX'!S15-'CAPEX'!S17)*0+'Dep_Tax'!S12*0*'Dep_Tax'!S24</x:f>
        <x:v>625.940988088892</x:v>
      </x:c>
      <x:c r="T52" s="188" t="n">
        <x:f>'Project_CF'!T24-('CAPEX'!T15-'CAPEX'!T17)*0+'Dep_Tax'!T12*0*'Dep_Tax'!T24</x:f>
        <x:v>583.9635218932018</x:v>
      </x:c>
      <x:c r="U52" s="188" t="n">
        <x:f>'Project_CF'!U24-('CAPEX'!U15-'CAPEX'!U17)*0+'Dep_Tax'!U12*0*'Dep_Tax'!U24</x:f>
        <x:v>578.4631750588837</x:v>
      </x:c>
      <x:c r="V52" s="188" t="n">
        <x:f>'Project_CF'!V24-('CAPEX'!V15-'CAPEX'!V17)*0+'Dep_Tax'!V12*0*'Dep_Tax'!V24</x:f>
        <x:v>572.8402974005182</x:v>
      </x:c>
      <x:c r="W52" s="188" t="n">
        <x:f>'Project_CF'!W24-('CAPEX'!W15-'CAPEX'!W17)*0+'Dep_Tax'!W12*0*'Dep_Tax'!W24</x:f>
        <x:v>567.091128034222</x:v>
      </x:c>
      <x:c r="X52" s="188" t="n">
        <x:f>'Project_CF'!X24-('CAPEX'!X15-'CAPEX'!X17)*0+'Dep_Tax'!X12*0*'Dep_Tax'!X24</x:f>
        <x:v>561.2117934195137</x:v>
      </x:c>
      <x:c r="Y52" s="188" t="n">
        <x:f>'Project_CF'!Y24-('CAPEX'!Y15-'CAPEX'!Y17)*0+'Dep_Tax'!Y12*0*'Dep_Tax'!Y24</x:f>
        <x:v>0</x:v>
      </x:c>
      <x:c r="Z52" s="188" t="n">
        <x:f>'Project_CF'!Z24-('CAPEX'!Z15-'CAPEX'!Z17)*0+'Dep_Tax'!Z12*0*'Dep_Tax'!Z24</x:f>
        <x:v>0</x:v>
      </x:c>
      <x:c r="AA52" s="188" t="n">
        <x:f>'Project_CF'!AA24-('CAPEX'!AA15-'CAPEX'!AA17)*0+'Dep_Tax'!AA12*0*'Dep_Tax'!AA24</x:f>
        <x:v>0</x:v>
      </x:c>
      <x:c r="AB52" s="188" t="n">
        <x:f>'Project_CF'!AB24-('CAPEX'!AB15-'CAPEX'!AB17)*0+'Dep_Tax'!AB12*0*'Dep_Tax'!AB24</x:f>
        <x:v>0</x:v>
      </x:c>
      <x:c r="AC52" s="188" t="n">
        <x:f>'Project_CF'!AC24-('CAPEX'!AC15-'CAPEX'!AC17)*0+'Dep_Tax'!AC12*0*'Dep_Tax'!AC24</x:f>
        <x:v>0</x:v>
      </x:c>
      <x:c r="AD52" s="188" t="n">
        <x:f>'Project_CF'!AD24-('CAPEX'!AD15-'CAPEX'!AD17)*0+'Dep_Tax'!AD12*0*'Dep_Tax'!AD24</x:f>
        <x:v>0</x:v>
      </x:c>
      <x:c r="AE52" s="188" t="n">
        <x:f>'Project_CF'!AE24-('CAPEX'!AE15-'CAPEX'!AE17)*0+'Dep_Tax'!AE12*0*'Dep_Tax'!AE24</x:f>
        <x:v>0</x:v>
      </x:c>
      <x:c r="AF52" s="188" t="n">
        <x:f>'Project_CF'!AF24-('CAPEX'!AF15-'CAPEX'!AF17)*0+'Dep_Tax'!AF12*0*'Dep_Tax'!AF24</x:f>
        <x:v>0</x:v>
      </x:c>
    </x:row>
    <x:row r="53">
      <x:c r="A53" s="128" t="str">
        <x:v>SEN-03-4</x:v>
      </x:c>
      <x:c r="B53" s="128" t="str">
        <x:v>Project CF × 105%</x:v>
      </x:c>
      <x:c r="C53" s="188" t="n">
        <x:f>'Project_CF'!C24-('CAPEX'!C15-'CAPEX'!C17)*0.050000000000000044+'Dep_Tax'!C12*0.050000000000000044*'Dep_Tax'!C24</x:f>
        <x:v>-2577.96</x:v>
      </x:c>
      <x:c r="D53" s="188" t="n">
        <x:f>'Project_CF'!D24-('CAPEX'!D15-'CAPEX'!D17)*0.050000000000000044+'Dep_Tax'!D12*0.050000000000000044*'Dep_Tax'!D24</x:f>
        <x:v>-3632.5800000000004</x:v>
      </x:c>
      <x:c r="E53" s="188" t="n">
        <x:f>'Project_CF'!E24-('CAPEX'!E15-'CAPEX'!E17)*0.050000000000000044+'Dep_Tax'!E12*0.050000000000000044*'Dep_Tax'!E24</x:f>
        <x:v>1094.912496</x:v>
      </x:c>
      <x:c r="F53" s="188" t="n">
        <x:f>'Project_CF'!F24-('CAPEX'!F15-'CAPEX'!F17)*0.050000000000000044+'Dep_Tax'!F12*0.050000000000000044*'Dep_Tax'!F24</x:f>
        <x:v>738.314551008</x:v>
      </x:c>
      <x:c r="G53" s="188" t="n">
        <x:f>'Project_CF'!G24-('CAPEX'!G15-'CAPEX'!G17)*0.050000000000000044+'Dep_Tax'!G12*0.050000000000000044*'Dep_Tax'!G24</x:f>
        <x:v>733.1595859059842</x:v>
      </x:c>
      <x:c r="H53" s="188" t="n">
        <x:f>'Project_CF'!H24-('CAPEX'!H15-'CAPEX'!H17)*0.050000000000000044+'Dep_Tax'!H12*0.050000000000000044*'Dep_Tax'!H24</x:f>
        <x:v>727.9045806541722</x:v>
      </x:c>
      <x:c r="I53" s="188" t="n">
        <x:f>'Project_CF'!I24-('CAPEX'!I15-'CAPEX'!I17)*0.050000000000000044+'Dep_Tax'!I12*0.050000000000000044*'Dep_Tax'!I24</x:f>
        <x:v>701.9893960889405</x:v>
      </x:c>
      <x:c r="J53" s="188" t="n">
        <x:f>'Project_CF'!J24-('CAPEX'!J15-'CAPEX'!J17)*0.050000000000000044+'Dep_Tax'!J12*0.050000000000000044*'Dep_Tax'!J24</x:f>
        <x:v>696.7981116726043</x:v>
      </x:c>
      <x:c r="K53" s="188" t="n">
        <x:f>'Project_CF'!K24-('CAPEX'!K15-'CAPEX'!K17)*0.050000000000000044+'Dep_Tax'!K12*0.050000000000000044*'Dep_Tax'!K24</x:f>
        <x:v>691.5026564388261</x:v>
      </x:c>
      <x:c r="L53" s="188" t="n">
        <x:f>'Project_CF'!L24-('CAPEX'!L15-'CAPEX'!L17)*0.050000000000000044+'Dep_Tax'!L12*0.050000000000000044*'Dep_Tax'!L24</x:f>
        <x:v>686.099802127652</x:v>
      </x:c>
      <x:c r="M53" s="188" t="n">
        <x:f>'Project_CF'!M24-('CAPEX'!M15-'CAPEX'!M17)*0.050000000000000044+'Dep_Tax'!M12*0.050000000000000044*'Dep_Tax'!M24</x:f>
        <x:v>680.5862238376016</x:v>
      </x:c>
      <x:c r="N53" s="188" t="n">
        <x:f>'Project_CF'!N24-('CAPEX'!N15-'CAPEX'!N17)*0.050000000000000044+'Dep_Tax'!N12*0.050000000000000044*'Dep_Tax'!N24</x:f>
        <x:v>674.9584971260077</x:v>
      </x:c>
      <x:c r="O53" s="188" t="n">
        <x:f>'Project_CF'!O24-('CAPEX'!O15-'CAPEX'!O17)*0.050000000000000044+'Dep_Tax'!O12*0.050000000000000044*'Dep_Tax'!O24</x:f>
        <x:v>669.2130950223691</x:v>
      </x:c>
      <x:c r="P53" s="188" t="n">
        <x:f>'Project_CF'!P24-('CAPEX'!P15-'CAPEX'!P17)*0.050000000000000044+'Dep_Tax'!P12*0.050000000000000044*'Dep_Tax'!P24</x:f>
        <x:v>663.3463849521063</x:v>
      </x:c>
      <x:c r="Q53" s="188" t="n">
        <x:f>'Project_CF'!Q24-('CAPEX'!Q15-'CAPEX'!Q17)*0.050000000000000044+'Dep_Tax'!Q12*0.050000000000000044*'Dep_Tax'!Q24</x:f>
        <x:v>657.3546255680276</x:v>
      </x:c>
      <x:c r="R53" s="188" t="n">
        <x:f>'Project_CF'!R24-('CAPEX'!R15-'CAPEX'!R17)*0.050000000000000044+'Dep_Tax'!R12*0.050000000000000044*'Dep_Tax'!R24</x:f>
        <x:v>633.348273303229</x:v>
      </x:c>
      <x:c r="S53" s="188" t="n">
        <x:f>'Project_CF'!S24-('CAPEX'!S15-'CAPEX'!S17)*0.050000000000000044+'Dep_Tax'!S12*0.050000000000000044*'Dep_Tax'!S24</x:f>
        <x:v>627.423873088892</x:v>
      </x:c>
      <x:c r="T53" s="188" t="n">
        <x:f>'Project_CF'!T24-('CAPEX'!T15-'CAPEX'!T17)*0.050000000000000044+'Dep_Tax'!T12*0.050000000000000044*'Dep_Tax'!T24</x:f>
        <x:v>586.9292918932018</x:v>
      </x:c>
      <x:c r="U53" s="188" t="n">
        <x:f>'Project_CF'!U24-('CAPEX'!U15-'CAPEX'!U17)*0.050000000000000044+'Dep_Tax'!U12*0.050000000000000044*'Dep_Tax'!U24</x:f>
        <x:v>581.4289450588838</x:v>
      </x:c>
      <x:c r="V53" s="188" t="n">
        <x:f>'Project_CF'!V24-('CAPEX'!V15-'CAPEX'!V17)*0.050000000000000044+'Dep_Tax'!V12*0.050000000000000044*'Dep_Tax'!V24</x:f>
        <x:v>575.8060674005183</x:v>
      </x:c>
      <x:c r="W53" s="188" t="n">
        <x:f>'Project_CF'!W24-('CAPEX'!W15-'CAPEX'!W17)*0.050000000000000044+'Dep_Tax'!W12*0.050000000000000044*'Dep_Tax'!W24</x:f>
        <x:v>570.0568980342221</x:v>
      </x:c>
      <x:c r="X53" s="188" t="n">
        <x:f>'Project_CF'!X24-('CAPEX'!X15-'CAPEX'!X17)*0.050000000000000044+'Dep_Tax'!X12*0.050000000000000044*'Dep_Tax'!X24</x:f>
        <x:v>564.1775634195137</x:v>
      </x:c>
      <x:c r="Y53" s="188" t="n">
        <x:f>'Project_CF'!Y24-('CAPEX'!Y15-'CAPEX'!Y17)*0.050000000000000044+'Dep_Tax'!Y12*0.050000000000000044*'Dep_Tax'!Y24</x:f>
        <x:v>0</x:v>
      </x:c>
      <x:c r="Z53" s="188" t="n">
        <x:f>'Project_CF'!Z24-('CAPEX'!Z15-'CAPEX'!Z17)*0.050000000000000044+'Dep_Tax'!Z12*0.050000000000000044*'Dep_Tax'!Z24</x:f>
        <x:v>0</x:v>
      </x:c>
      <x:c r="AA53" s="188" t="n">
        <x:f>'Project_CF'!AA24-('CAPEX'!AA15-'CAPEX'!AA17)*0.050000000000000044+'Dep_Tax'!AA12*0.050000000000000044*'Dep_Tax'!AA24</x:f>
        <x:v>0</x:v>
      </x:c>
      <x:c r="AB53" s="188" t="n">
        <x:f>'Project_CF'!AB24-('CAPEX'!AB15-'CAPEX'!AB17)*0.050000000000000044+'Dep_Tax'!AB12*0.050000000000000044*'Dep_Tax'!AB24</x:f>
        <x:v>0</x:v>
      </x:c>
      <x:c r="AC53" s="188" t="n">
        <x:f>'Project_CF'!AC24-('CAPEX'!AC15-'CAPEX'!AC17)*0.050000000000000044+'Dep_Tax'!AC12*0.050000000000000044*'Dep_Tax'!AC24</x:f>
        <x:v>0</x:v>
      </x:c>
      <x:c r="AD53" s="188" t="n">
        <x:f>'Project_CF'!AD24-('CAPEX'!AD15-'CAPEX'!AD17)*0.050000000000000044+'Dep_Tax'!AD12*0.050000000000000044*'Dep_Tax'!AD24</x:f>
        <x:v>0</x:v>
      </x:c>
      <x:c r="AE53" s="188" t="n">
        <x:f>'Project_CF'!AE24-('CAPEX'!AE15-'CAPEX'!AE17)*0.050000000000000044+'Dep_Tax'!AE12*0.050000000000000044*'Dep_Tax'!AE24</x:f>
        <x:v>0</x:v>
      </x:c>
      <x:c r="AF53" s="188" t="n">
        <x:f>'Project_CF'!AF24-('CAPEX'!AF15-'CAPEX'!AF17)*0.050000000000000044+'Dep_Tax'!AF12*0.050000000000000044*'Dep_Tax'!AF24</x:f>
        <x:v>0</x:v>
      </x:c>
    </x:row>
    <x:row r="54">
      <x:c r="A54" s="128" t="str">
        <x:v>SEN-03-5</x:v>
      </x:c>
      <x:c r="B54" s="128" t="str">
        <x:v>Project CF × 110%</x:v>
      </x:c>
      <x:c r="C54" s="188" t="n">
        <x:f>'Project_CF'!C24-('CAPEX'!C15-'CAPEX'!C17)*0.10000000000000009+'Dep_Tax'!C12*0.10000000000000009*'Dep_Tax'!C24</x:f>
        <x:v>-2700.7200000000003</x:v>
      </x:c>
      <x:c r="D54" s="188" t="n">
        <x:f>'Project_CF'!D24-('CAPEX'!D15-'CAPEX'!D17)*0.10000000000000009+'Dep_Tax'!D12*0.10000000000000009*'Dep_Tax'!D24</x:f>
        <x:v>-3805.560000000001</x:v>
      </x:c>
      <x:c r="E54" s="188" t="n">
        <x:f>'Project_CF'!E24-('CAPEX'!E15-'CAPEX'!E17)*0.10000000000000009+'Dep_Tax'!E12*0.10000000000000009*'Dep_Tax'!E24</x:f>
        <x:v>1111.652496</x:v>
      </x:c>
      <x:c r="F54" s="188" t="n">
        <x:f>'Project_CF'!F24-('CAPEX'!F15-'CAPEX'!F17)*0.10000000000000009+'Dep_Tax'!F12*0.10000000000000009*'Dep_Tax'!F24</x:f>
        <x:v>738.314551008</x:v>
      </x:c>
      <x:c r="G54" s="188" t="n">
        <x:f>'Project_CF'!G24-('CAPEX'!G15-'CAPEX'!G17)*0.10000000000000009+'Dep_Tax'!G12*0.10000000000000009*'Dep_Tax'!G24</x:f>
        <x:v>733.1595859059842</x:v>
      </x:c>
      <x:c r="H54" s="188" t="n">
        <x:f>'Project_CF'!H24-('CAPEX'!H15-'CAPEX'!H17)*0.10000000000000009+'Dep_Tax'!H12*0.10000000000000009*'Dep_Tax'!H24</x:f>
        <x:v>727.9045806541722</x:v>
      </x:c>
      <x:c r="I54" s="188" t="n">
        <x:f>'Project_CF'!I24-('CAPEX'!I15-'CAPEX'!I17)*0.10000000000000009+'Dep_Tax'!I12*0.10000000000000009*'Dep_Tax'!I24</x:f>
        <x:v>702.7308385889405</x:v>
      </x:c>
      <x:c r="J54" s="188" t="n">
        <x:f>'Project_CF'!J24-('CAPEX'!J15-'CAPEX'!J17)*0.10000000000000009+'Dep_Tax'!J12*0.10000000000000009*'Dep_Tax'!J24</x:f>
        <x:v>697.5395541726043</x:v>
      </x:c>
      <x:c r="K54" s="188" t="n">
        <x:f>'Project_CF'!K24-('CAPEX'!K15-'CAPEX'!K17)*0.10000000000000009+'Dep_Tax'!K12*0.10000000000000009*'Dep_Tax'!K24</x:f>
        <x:v>692.2440989388261</x:v>
      </x:c>
      <x:c r="L54" s="188" t="n">
        <x:f>'Project_CF'!L24-('CAPEX'!L15-'CAPEX'!L17)*0.10000000000000009+'Dep_Tax'!L12*0.10000000000000009*'Dep_Tax'!L24</x:f>
        <x:v>686.841244627652</x:v>
      </x:c>
      <x:c r="M54" s="188" t="n">
        <x:f>'Project_CF'!M24-('CAPEX'!M15-'CAPEX'!M17)*0.10000000000000009+'Dep_Tax'!M12*0.10000000000000009*'Dep_Tax'!M24</x:f>
        <x:v>681.3276663376016</x:v>
      </x:c>
      <x:c r="N54" s="188" t="n">
        <x:f>'Project_CF'!N24-('CAPEX'!N15-'CAPEX'!N17)*0.10000000000000009+'Dep_Tax'!N12*0.10000000000000009*'Dep_Tax'!N24</x:f>
        <x:v>675.6999396260078</x:v>
      </x:c>
      <x:c r="O54" s="188" t="n">
        <x:f>'Project_CF'!O24-('CAPEX'!O15-'CAPEX'!O17)*0.10000000000000009+'Dep_Tax'!O12*0.10000000000000009*'Dep_Tax'!O24</x:f>
        <x:v>669.9545375223692</x:v>
      </x:c>
      <x:c r="P54" s="188" t="n">
        <x:f>'Project_CF'!P24-('CAPEX'!P15-'CAPEX'!P17)*0.10000000000000009+'Dep_Tax'!P12*0.10000000000000009*'Dep_Tax'!P24</x:f>
        <x:v>664.0878274521064</x:v>
      </x:c>
      <x:c r="Q54" s="188" t="n">
        <x:f>'Project_CF'!Q24-('CAPEX'!Q15-'CAPEX'!Q17)*0.10000000000000009+'Dep_Tax'!Q12*0.10000000000000009*'Dep_Tax'!Q24</x:f>
        <x:v>658.0960680680276</x:v>
      </x:c>
      <x:c r="R54" s="188" t="n">
        <x:f>'Project_CF'!R24-('CAPEX'!R15-'CAPEX'!R17)*0.10000000000000009+'Dep_Tax'!R12*0.10000000000000009*'Dep_Tax'!R24</x:f>
        <x:v>634.831158303229</x:v>
      </x:c>
      <x:c r="S54" s="188" t="n">
        <x:f>'Project_CF'!S24-('CAPEX'!S15-'CAPEX'!S17)*0.10000000000000009+'Dep_Tax'!S12*0.10000000000000009*'Dep_Tax'!S24</x:f>
        <x:v>628.906758088892</x:v>
      </x:c>
      <x:c r="T54" s="188" t="n">
        <x:f>'Project_CF'!T24-('CAPEX'!T15-'CAPEX'!T17)*0.10000000000000009+'Dep_Tax'!T12*0.10000000000000009*'Dep_Tax'!T24</x:f>
        <x:v>589.8950618932018</x:v>
      </x:c>
      <x:c r="U54" s="188" t="n">
        <x:f>'Project_CF'!U24-('CAPEX'!U15-'CAPEX'!U17)*0.10000000000000009+'Dep_Tax'!U12*0.10000000000000009*'Dep_Tax'!U24</x:f>
        <x:v>584.3947150588838</x:v>
      </x:c>
      <x:c r="V54" s="188" t="n">
        <x:f>'Project_CF'!V24-('CAPEX'!V15-'CAPEX'!V17)*0.10000000000000009+'Dep_Tax'!V12*0.10000000000000009*'Dep_Tax'!V24</x:f>
        <x:v>578.7718374005183</x:v>
      </x:c>
      <x:c r="W54" s="188" t="n">
        <x:f>'Project_CF'!W24-('CAPEX'!W15-'CAPEX'!W17)*0.10000000000000009+'Dep_Tax'!W12*0.10000000000000009*'Dep_Tax'!W24</x:f>
        <x:v>573.0226680342221</x:v>
      </x:c>
      <x:c r="X54" s="188" t="n">
        <x:f>'Project_CF'!X24-('CAPEX'!X15-'CAPEX'!X17)*0.10000000000000009+'Dep_Tax'!X12*0.10000000000000009*'Dep_Tax'!X24</x:f>
        <x:v>567.1433334195137</x:v>
      </x:c>
      <x:c r="Y54" s="188" t="n">
        <x:f>'Project_CF'!Y24-('CAPEX'!Y15-'CAPEX'!Y17)*0.10000000000000009+'Dep_Tax'!Y12*0.10000000000000009*'Dep_Tax'!Y24</x:f>
        <x:v>0</x:v>
      </x:c>
      <x:c r="Z54" s="188" t="n">
        <x:f>'Project_CF'!Z24-('CAPEX'!Z15-'CAPEX'!Z17)*0.10000000000000009+'Dep_Tax'!Z12*0.10000000000000009*'Dep_Tax'!Z24</x:f>
        <x:v>0</x:v>
      </x:c>
      <x:c r="AA54" s="188" t="n">
        <x:f>'Project_CF'!AA24-('CAPEX'!AA15-'CAPEX'!AA17)*0.10000000000000009+'Dep_Tax'!AA12*0.10000000000000009*'Dep_Tax'!AA24</x:f>
        <x:v>0</x:v>
      </x:c>
      <x:c r="AB54" s="188" t="n">
        <x:f>'Project_CF'!AB24-('CAPEX'!AB15-'CAPEX'!AB17)*0.10000000000000009+'Dep_Tax'!AB12*0.10000000000000009*'Dep_Tax'!AB24</x:f>
        <x:v>0</x:v>
      </x:c>
      <x:c r="AC54" s="188" t="n">
        <x:f>'Project_CF'!AC24-('CAPEX'!AC15-'CAPEX'!AC17)*0.10000000000000009+'Dep_Tax'!AC12*0.10000000000000009*'Dep_Tax'!AC24</x:f>
        <x:v>0</x:v>
      </x:c>
      <x:c r="AD54" s="188" t="n">
        <x:f>'Project_CF'!AD24-('CAPEX'!AD15-'CAPEX'!AD17)*0.10000000000000009+'Dep_Tax'!AD12*0.10000000000000009*'Dep_Tax'!AD24</x:f>
        <x:v>0</x:v>
      </x:c>
      <x:c r="AE54" s="188" t="n">
        <x:f>'Project_CF'!AE24-('CAPEX'!AE15-'CAPEX'!AE17)*0.10000000000000009+'Dep_Tax'!AE12*0.10000000000000009*'Dep_Tax'!AE24</x:f>
        <x:v>0</x:v>
      </x:c>
      <x:c r="AF54" s="188" t="n">
        <x:f>'Project_CF'!AF24-('CAPEX'!AF15-'CAPEX'!AF17)*0.10000000000000009+'Dep_Tax'!AF12*0.10000000000000009*'Dep_Tax'!AF24</x:f>
        <x:v>0</x:v>
      </x:c>
    </x:row>
    <x:row r="55">
      <x:c r="A55" s="128" t="str">
        <x:v>SEN-04-1</x:v>
      </x:c>
      <x:c r="B55" s="128" t="str">
        <x:v>Project CF × 90%</x:v>
      </x:c>
      <x:c r="C55" s="188" t="n">
        <x:f>'Project_CF'!C24-('Energy_Revenue'!C19*-0.09999999999999998)*(1-'Dep_Tax'!C24)</x:f>
        <x:v>-2455.2</x:v>
      </x:c>
      <x:c r="D55" s="188" t="n">
        <x:f>'Project_CF'!D24-('Energy_Revenue'!D19*-0.09999999999999998)*(1-'Dep_Tax'!D24)</x:f>
        <x:v>-3459.6000000000004</x:v>
      </x:c>
      <x:c r="E55" s="188" t="n">
        <x:f>'Project_CF'!E24-('Energy_Revenue'!E19*-0.09999999999999998)*(1-'Dep_Tax'!E24)</x:f>
        <x:v>1089.332496</x:v>
      </x:c>
      <x:c r="F55" s="188" t="n">
        <x:f>'Project_CF'!F24-('Energy_Revenue'!F19*-0.09999999999999998)*(1-'Dep_Tax'!F24)</x:f>
        <x:v>749.8093510079999</x:v>
      </x:c>
      <x:c r="G55" s="188" t="n">
        <x:f>'Project_CF'!G24-('Energy_Revenue'!G19*-0.09999999999999998)*(1-'Dep_Tax'!G24)</x:f>
        <x:v>744.9992299059842</x:v>
      </x:c>
      <x:c r="H55" s="188" t="n">
        <x:f>'Project_CF'!H24-('Energy_Revenue'!H19*-0.09999999999999998)*(1-'Dep_Tax'!H24)</x:f>
        <x:v>740.0994139741722</x:v>
      </x:c>
      <x:c r="I55" s="188" t="n">
        <x:f>'Project_CF'!I24-('Energy_Revenue'!I19*-0.09999999999999998)*(1-'Dep_Tax'!I24)</x:f>
        <x:v>713.1805979925605</x:v>
      </x:c>
      <x:c r="J55" s="188" t="n">
        <x:f>'Project_CF'!J24-('Energy_Revenue'!J19*-0.09999999999999998)*(1-'Dep_Tax'!J24)</x:f>
        <x:v>708.3472929083329</x:v>
      </x:c>
      <x:c r="K55" s="188" t="n">
        <x:f>'Project_CF'!K24-('Energy_Revenue'!K19*-0.09999999999999998)*(1-'Dep_Tax'!K24)</x:f>
        <x:v>703.4205563866266</x:v>
      </x:c>
      <x:c r="L55" s="188" t="n">
        <x:f>'Project_CF'!L24-('Energy_Revenue'!L19*-0.09999999999999998)*(1-'Dep_Tax'!L24)</x:f>
        <x:v>698.3974823488865</x:v>
      </x:c>
      <x:c r="M55" s="188" t="n">
        <x:f>'Project_CF'!M24-('Energy_Revenue'!M19*-0.09999999999999998)*(1-'Dep_Tax'!M24)</x:f>
        <x:v>693.2750777404731</x:v>
      </x:c>
      <x:c r="N55" s="188" t="n">
        <x:f>'Project_CF'!N24-('Energy_Revenue'!N19*-0.09999999999999998)*(1-'Dep_Tax'!N24)</x:f>
        <x:v>688.0502599209655</x:v>
      </x:c>
      <x:c r="O55" s="188" t="n">
        <x:f>'Project_CF'!O24-('Energy_Revenue'!O19*-0.09999999999999998)*(1-'Dep_Tax'!O24)</x:f>
        <x:v>682.7198539761755</x:v>
      </x:c>
      <x:c r="P55" s="188" t="n">
        <x:f>'Project_CF'!P24-('Energy_Revenue'!P19*-0.09999999999999998)*(1-'Dep_Tax'!P24)</x:f>
        <x:v>677.2805899495269</x:v>
      </x:c>
      <x:c r="Q55" s="188" t="n">
        <x:f>'Project_CF'!Q24-('Energy_Revenue'!Q19*-0.09999999999999998)*(1-'Dep_Tax'!Q24)</x:f>
        <x:v>671.7290999903709</x:v>
      </x:c>
      <x:c r="R55" s="188" t="n">
        <x:f>'Project_CF'!R24-('Energy_Revenue'!R19*-0.09999999999999998)*(1-'Dep_Tax'!R24)</x:f>
        <x:v>646.6153409211365</x:v>
      </x:c>
      <x:c r="S55" s="188" t="n">
        <x:f>'Project_CF'!S24-('Energy_Revenue'!S19*-0.09999999999999998)*(1-'Dep_Tax'!S24)</x:f>
        <x:v>641.1334392853367</x:v>
      </x:c>
      <x:c r="T55" s="188" t="n">
        <x:f>'Project_CF'!T24-('Energy_Revenue'!T19*-0.09999999999999998)*(1-'Dep_Tax'!T24)</x:f>
        <x:v>597.8730549886134</x:v>
      </x:c>
      <x:c r="U55" s="188" t="n">
        <x:f>'Project_CF'!U24-('Energy_Revenue'!U19*-0.09999999999999998)*(1-'Dep_Tax'!U24)</x:f>
        <x:v>592.7899941471577</x:v>
      </x:c>
      <x:c r="V55" s="188" t="n">
        <x:f>'Project_CF'!V24-('Energy_Revenue'!V19*-0.09999999999999998)*(1-'Dep_Tax'!V24)</x:f>
        <x:v>587.5969210614404</x:v>
      </x:c>
      <x:c r="W55" s="188" t="n">
        <x:f>'Project_CF'!W24-('Energy_Revenue'!W19*-0.09999999999999998)*(1-'Dep_Tax'!W24)</x:f>
        <x:v>582.2904504049719</x:v>
      </x:c>
      <x:c r="X55" s="188" t="n">
        <x:f>'Project_CF'!X24-('Energy_Revenue'!X19*-0.09999999999999998)*(1-'Dep_Tax'!X24)</x:f>
        <x:v>576.867095461386</x:v>
      </x:c>
      <x:c r="Y55" s="188" t="n">
        <x:f>'Project_CF'!Y24-('Energy_Revenue'!Y19*-0.09999999999999998)*(1-'Dep_Tax'!Y24)</x:f>
        <x:v>0</x:v>
      </x:c>
      <x:c r="Z55" s="188" t="n">
        <x:f>'Project_CF'!Z24-('Energy_Revenue'!Z19*-0.09999999999999998)*(1-'Dep_Tax'!Z24)</x:f>
        <x:v>0</x:v>
      </x:c>
      <x:c r="AA55" s="188" t="n">
        <x:f>'Project_CF'!AA24-('Energy_Revenue'!AA19*-0.09999999999999998)*(1-'Dep_Tax'!AA24)</x:f>
        <x:v>0</x:v>
      </x:c>
      <x:c r="AB55" s="188" t="n">
        <x:f>'Project_CF'!AB24-('Energy_Revenue'!AB19*-0.09999999999999998)*(1-'Dep_Tax'!AB24)</x:f>
        <x:v>0</x:v>
      </x:c>
      <x:c r="AC55" s="188" t="n">
        <x:f>'Project_CF'!AC24-('Energy_Revenue'!AC19*-0.09999999999999998)*(1-'Dep_Tax'!AC24)</x:f>
        <x:v>0</x:v>
      </x:c>
      <x:c r="AD55" s="188" t="n">
        <x:f>'Project_CF'!AD24-('Energy_Revenue'!AD19*-0.09999999999999998)*(1-'Dep_Tax'!AD24)</x:f>
        <x:v>0</x:v>
      </x:c>
      <x:c r="AE55" s="188" t="n">
        <x:f>'Project_CF'!AE24-('Energy_Revenue'!AE19*-0.09999999999999998)*(1-'Dep_Tax'!AE24)</x:f>
        <x:v>0</x:v>
      </x:c>
      <x:c r="AF55" s="188" t="n">
        <x:f>'Project_CF'!AF24-('Energy_Revenue'!AF19*-0.09999999999999998)*(1-'Dep_Tax'!AF24)</x:f>
        <x:v>0</x:v>
      </x:c>
    </x:row>
    <x:row r="56">
      <x:c r="A56" s="128" t="str">
        <x:v>SEN-04-2</x:v>
      </x:c>
      <x:c r="B56" s="128" t="str">
        <x:v>Project CF × 95%</x:v>
      </x:c>
      <x:c r="C56" s="188" t="n">
        <x:f>'Project_CF'!C24-('Energy_Revenue'!C19*-0.050000000000000044)*(1-'Dep_Tax'!C24)</x:f>
        <x:v>-2455.2</x:v>
      </x:c>
      <x:c r="D56" s="188" t="n">
        <x:f>'Project_CF'!D24-('Energy_Revenue'!D19*-0.050000000000000044)*(1-'Dep_Tax'!D24)</x:f>
        <x:v>-3459.6000000000004</x:v>
      </x:c>
      <x:c r="E56" s="188" t="n">
        <x:f>'Project_CF'!E24-('Energy_Revenue'!E19*-0.050000000000000044)*(1-'Dep_Tax'!E24)</x:f>
        <x:v>1083.7524959999998</x:v>
      </x:c>
      <x:c r="F56" s="188" t="n">
        <x:f>'Project_CF'!F24-('Energy_Revenue'!F19*-0.050000000000000044)*(1-'Dep_Tax'!F24)</x:f>
        <x:v>744.0619510079999</x:v>
      </x:c>
      <x:c r="G56" s="188" t="n">
        <x:f>'Project_CF'!G24-('Energy_Revenue'!G19*-0.050000000000000044)*(1-'Dep_Tax'!G24)</x:f>
        <x:v>739.0794079059841</x:v>
      </x:c>
      <x:c r="H56" s="188" t="n">
        <x:f>'Project_CF'!H24-('Energy_Revenue'!H19*-0.050000000000000044)*(1-'Dep_Tax'!H24)</x:f>
        <x:v>734.0019973141722</x:v>
      </x:c>
      <x:c r="I56" s="188" t="n">
        <x:f>'Project_CF'!I24-('Energy_Revenue'!I19*-0.050000000000000044)*(1-'Dep_Tax'!I24)</x:f>
        <x:v>707.2142757907505</x:v>
      </x:c>
      <x:c r="J56" s="188" t="n">
        <x:f>'Project_CF'!J24-('Energy_Revenue'!J19*-0.050000000000000044)*(1-'Dep_Tax'!J24)</x:f>
        <x:v>702.2019810404686</x:v>
      </x:c>
      <x:c r="K56" s="188" t="n">
        <x:f>'Project_CF'!K24-('Energy_Revenue'!K19*-0.050000000000000044)*(1-'Dep_Tax'!K24)</x:f>
        <x:v>697.0908851627264</x:v>
      </x:c>
      <x:c r="L56" s="188" t="n">
        <x:f>'Project_CF'!L24-('Energy_Revenue'!L19*-0.050000000000000044)*(1-'Dep_Tax'!L24)</x:f>
        <x:v>691.8779209882692</x:v>
      </x:c>
      <x:c r="M56" s="188" t="n">
        <x:f>'Project_CF'!M24-('Energy_Revenue'!M19*-0.050000000000000044)*(1-'Dep_Tax'!M24)</x:f>
        <x:v>686.5599295390374</x:v>
      </x:c>
      <x:c r="N56" s="188" t="n">
        <x:f>'Project_CF'!N24-('Energy_Revenue'!N19*-0.050000000000000044)*(1-'Dep_Tax'!N24)</x:f>
        <x:v>681.1336572734866</x:v>
      </x:c>
      <x:c r="O56" s="188" t="n">
        <x:f>'Project_CF'!O24-('Energy_Revenue'!O19*-0.050000000000000044)*(1-'Dep_Tax'!O24)</x:f>
        <x:v>675.5957532492723</x:v>
      </x:c>
      <x:c r="P56" s="188" t="n">
        <x:f>'Project_CF'!P24-('Energy_Revenue'!P19*-0.050000000000000044)*(1-'Dep_Tax'!P24)</x:f>
        <x:v>669.9427662008167</x:v>
      </x:c>
      <x:c r="Q56" s="188" t="n">
        <x:f>'Project_CF'!Q24-('Energy_Revenue'!Q19*-0.050000000000000044)*(1-'Dep_Tax'!Q24)</x:f>
        <x:v>664.1711415291992</x:v>
      </x:c>
      <x:c r="R56" s="188" t="n">
        <x:f>'Project_CF'!R24-('Energy_Revenue'!R19*-0.050000000000000044)*(1-'Dep_Tax'!R24)</x:f>
        <x:v>639.2403646121828</x:v>
      </x:c>
      <x:c r="S56" s="188" t="n">
        <x:f>'Project_CF'!S24-('Energy_Revenue'!S19*-0.050000000000000044)*(1-'Dep_Tax'!S24)</x:f>
        <x:v>633.5372136871144</x:v>
      </x:c>
      <x:c r="T56" s="188" t="n">
        <x:f>'Project_CF'!T24-('Energy_Revenue'!T19*-0.050000000000000044)*(1-'Dep_Tax'!T24)</x:f>
        <x:v>590.9182884409076</x:v>
      </x:c>
      <x:c r="U56" s="188" t="n">
        <x:f>'Project_CF'!U24-('Energy_Revenue'!U19*-0.050000000000000044)*(1-'Dep_Tax'!U24)</x:f>
        <x:v>585.6265846030208</x:v>
      </x:c>
      <x:c r="V56" s="188" t="n">
        <x:f>'Project_CF'!V24-('Energy_Revenue'!V19*-0.050000000000000044)*(1-'Dep_Tax'!V24)</x:f>
        <x:v>580.2186092309794</x:v>
      </x:c>
      <x:c r="W56" s="188" t="n">
        <x:f>'Project_CF'!W24-('Energy_Revenue'!W19*-0.050000000000000044)*(1-'Dep_Tax'!W24)</x:f>
        <x:v>574.6907892195969</x:v>
      </x:c>
      <x:c r="X56" s="188" t="n">
        <x:f>'Project_CF'!X24-('Energy_Revenue'!X19*-0.050000000000000044)*(1-'Dep_Tax'!X24)</x:f>
        <x:v>569.0394444404499</x:v>
      </x:c>
      <x:c r="Y56" s="188" t="n">
        <x:f>'Project_CF'!Y24-('Energy_Revenue'!Y19*-0.050000000000000044)*(1-'Dep_Tax'!Y24)</x:f>
        <x:v>0</x:v>
      </x:c>
      <x:c r="Z56" s="188" t="n">
        <x:f>'Project_CF'!Z24-('Energy_Revenue'!Z19*-0.050000000000000044)*(1-'Dep_Tax'!Z24)</x:f>
        <x:v>0</x:v>
      </x:c>
      <x:c r="AA56" s="188" t="n">
        <x:f>'Project_CF'!AA24-('Energy_Revenue'!AA19*-0.050000000000000044)*(1-'Dep_Tax'!AA24)</x:f>
        <x:v>0</x:v>
      </x:c>
      <x:c r="AB56" s="188" t="n">
        <x:f>'Project_CF'!AB24-('Energy_Revenue'!AB19*-0.050000000000000044)*(1-'Dep_Tax'!AB24)</x:f>
        <x:v>0</x:v>
      </x:c>
      <x:c r="AC56" s="188" t="n">
        <x:f>'Project_CF'!AC24-('Energy_Revenue'!AC19*-0.050000000000000044)*(1-'Dep_Tax'!AC24)</x:f>
        <x:v>0</x:v>
      </x:c>
      <x:c r="AD56" s="188" t="n">
        <x:f>'Project_CF'!AD24-('Energy_Revenue'!AD19*-0.050000000000000044)*(1-'Dep_Tax'!AD24)</x:f>
        <x:v>0</x:v>
      </x:c>
      <x:c r="AE56" s="188" t="n">
        <x:f>'Project_CF'!AE24-('Energy_Revenue'!AE19*-0.050000000000000044)*(1-'Dep_Tax'!AE24)</x:f>
        <x:v>0</x:v>
      </x:c>
      <x:c r="AF56" s="188" t="n">
        <x:f>'Project_CF'!AF24-('Energy_Revenue'!AF19*-0.050000000000000044)*(1-'Dep_Tax'!AF24)</x:f>
        <x:v>0</x:v>
      </x:c>
    </x:row>
    <x:row r="57">
      <x:c r="A57" s="128" t="str">
        <x:v>SEN-04-3</x:v>
      </x:c>
      <x:c r="B57" s="128" t="str">
        <x:v>Project CF × 100%</x:v>
      </x:c>
      <x:c r="C57" s="188" t="n">
        <x:f>'Project_CF'!C24-('Energy_Revenue'!C19*0)*(1-'Dep_Tax'!C24)</x:f>
        <x:v>-2455.2</x:v>
      </x:c>
      <x:c r="D57" s="188" t="n">
        <x:f>'Project_CF'!D24-('Energy_Revenue'!D19*0)*(1-'Dep_Tax'!D24)</x:f>
        <x:v>-3459.6000000000004</x:v>
      </x:c>
      <x:c r="E57" s="188" t="n">
        <x:f>'Project_CF'!E24-('Energy_Revenue'!E19*0)*(1-'Dep_Tax'!E24)</x:f>
        <x:v>1078.172496</x:v>
      </x:c>
      <x:c r="F57" s="188" t="n">
        <x:f>'Project_CF'!F24-('Energy_Revenue'!F19*0)*(1-'Dep_Tax'!F24)</x:f>
        <x:v>738.314551008</x:v>
      </x:c>
      <x:c r="G57" s="188" t="n">
        <x:f>'Project_CF'!G24-('Energy_Revenue'!G19*0)*(1-'Dep_Tax'!G24)</x:f>
        <x:v>733.1595859059842</x:v>
      </x:c>
      <x:c r="H57" s="188" t="n">
        <x:f>'Project_CF'!H24-('Energy_Revenue'!H19*0)*(1-'Dep_Tax'!H24)</x:f>
        <x:v>727.9045806541722</x:v>
      </x:c>
      <x:c r="I57" s="188" t="n">
        <x:f>'Project_CF'!I24-('Energy_Revenue'!I19*0)*(1-'Dep_Tax'!I24)</x:f>
        <x:v>701.2479535889405</x:v>
      </x:c>
      <x:c r="J57" s="188" t="n">
        <x:f>'Project_CF'!J24-('Energy_Revenue'!J19*0)*(1-'Dep_Tax'!J24)</x:f>
        <x:v>696.0566691726043</x:v>
      </x:c>
      <x:c r="K57" s="188" t="n">
        <x:f>'Project_CF'!K24-('Energy_Revenue'!K19*0)*(1-'Dep_Tax'!K24)</x:f>
        <x:v>690.7612139388261</x:v>
      </x:c>
      <x:c r="L57" s="188" t="n">
        <x:f>'Project_CF'!L24-('Energy_Revenue'!L19*0)*(1-'Dep_Tax'!L24)</x:f>
        <x:v>685.358359627652</x:v>
      </x:c>
      <x:c r="M57" s="188" t="n">
        <x:f>'Project_CF'!M24-('Energy_Revenue'!M19*0)*(1-'Dep_Tax'!M24)</x:f>
        <x:v>679.8447813376016</x:v>
      </x:c>
      <x:c r="N57" s="188" t="n">
        <x:f>'Project_CF'!N24-('Energy_Revenue'!N19*0)*(1-'Dep_Tax'!N24)</x:f>
        <x:v>674.2170546260078</x:v>
      </x:c>
      <x:c r="O57" s="188" t="n">
        <x:f>'Project_CF'!O24-('Energy_Revenue'!O19*0)*(1-'Dep_Tax'!O24)</x:f>
        <x:v>668.4716525223691</x:v>
      </x:c>
      <x:c r="P57" s="188" t="n">
        <x:f>'Project_CF'!P24-('Energy_Revenue'!P19*0)*(1-'Dep_Tax'!P24)</x:f>
        <x:v>662.6049424521063</x:v>
      </x:c>
      <x:c r="Q57" s="188" t="n">
        <x:f>'Project_CF'!Q24-('Energy_Revenue'!Q19*0)*(1-'Dep_Tax'!Q24)</x:f>
        <x:v>656.6131830680276</x:v>
      </x:c>
      <x:c r="R57" s="188" t="n">
        <x:f>'Project_CF'!R24-('Energy_Revenue'!R19*0)*(1-'Dep_Tax'!R24)</x:f>
        <x:v>631.865388303229</x:v>
      </x:c>
      <x:c r="S57" s="188" t="n">
        <x:f>'Project_CF'!S24-('Energy_Revenue'!S19*0)*(1-'Dep_Tax'!S24)</x:f>
        <x:v>625.940988088892</x:v>
      </x:c>
      <x:c r="T57" s="188" t="n">
        <x:f>'Project_CF'!T24-('Energy_Revenue'!T19*0)*(1-'Dep_Tax'!T24)</x:f>
        <x:v>583.9635218932018</x:v>
      </x:c>
      <x:c r="U57" s="188" t="n">
        <x:f>'Project_CF'!U24-('Energy_Revenue'!U19*0)*(1-'Dep_Tax'!U24)</x:f>
        <x:v>578.4631750588837</x:v>
      </x:c>
      <x:c r="V57" s="188" t="n">
        <x:f>'Project_CF'!V24-('Energy_Revenue'!V19*0)*(1-'Dep_Tax'!V24)</x:f>
        <x:v>572.8402974005182</x:v>
      </x:c>
      <x:c r="W57" s="188" t="n">
        <x:f>'Project_CF'!W24-('Energy_Revenue'!W19*0)*(1-'Dep_Tax'!W24)</x:f>
        <x:v>567.091128034222</x:v>
      </x:c>
      <x:c r="X57" s="188" t="n">
        <x:f>'Project_CF'!X24-('Energy_Revenue'!X19*0)*(1-'Dep_Tax'!X24)</x:f>
        <x:v>561.2117934195137</x:v>
      </x:c>
      <x:c r="Y57" s="188" t="n">
        <x:f>'Project_CF'!Y24-('Energy_Revenue'!Y19*0)*(1-'Dep_Tax'!Y24)</x:f>
        <x:v>0</x:v>
      </x:c>
      <x:c r="Z57" s="188" t="n">
        <x:f>'Project_CF'!Z24-('Energy_Revenue'!Z19*0)*(1-'Dep_Tax'!Z24)</x:f>
        <x:v>0</x:v>
      </x:c>
      <x:c r="AA57" s="188" t="n">
        <x:f>'Project_CF'!AA24-('Energy_Revenue'!AA19*0)*(1-'Dep_Tax'!AA24)</x:f>
        <x:v>0</x:v>
      </x:c>
      <x:c r="AB57" s="188" t="n">
        <x:f>'Project_CF'!AB24-('Energy_Revenue'!AB19*0)*(1-'Dep_Tax'!AB24)</x:f>
        <x:v>0</x:v>
      </x:c>
      <x:c r="AC57" s="188" t="n">
        <x:f>'Project_CF'!AC24-('Energy_Revenue'!AC19*0)*(1-'Dep_Tax'!AC24)</x:f>
        <x:v>0</x:v>
      </x:c>
      <x:c r="AD57" s="188" t="n">
        <x:f>'Project_CF'!AD24-('Energy_Revenue'!AD19*0)*(1-'Dep_Tax'!AD24)</x:f>
        <x:v>0</x:v>
      </x:c>
      <x:c r="AE57" s="188" t="n">
        <x:f>'Project_CF'!AE24-('Energy_Revenue'!AE19*0)*(1-'Dep_Tax'!AE24)</x:f>
        <x:v>0</x:v>
      </x:c>
      <x:c r="AF57" s="188" t="n">
        <x:f>'Project_CF'!AF24-('Energy_Revenue'!AF19*0)*(1-'Dep_Tax'!AF24)</x:f>
        <x:v>0</x:v>
      </x:c>
    </x:row>
    <x:row r="58">
      <x:c r="A58" s="128" t="str">
        <x:v>SEN-04-4</x:v>
      </x:c>
      <x:c r="B58" s="128" t="str">
        <x:v>Project CF × 105%</x:v>
      </x:c>
      <x:c r="C58" s="188" t="n">
        <x:f>'Project_CF'!C24-('Energy_Revenue'!C19*0.050000000000000044)*(1-'Dep_Tax'!C24)</x:f>
        <x:v>-2455.2</x:v>
      </x:c>
      <x:c r="D58" s="188" t="n">
        <x:f>'Project_CF'!D24-('Energy_Revenue'!D19*0.050000000000000044)*(1-'Dep_Tax'!D24)</x:f>
        <x:v>-3459.6000000000004</x:v>
      </x:c>
      <x:c r="E58" s="188" t="n">
        <x:f>'Project_CF'!E24-('Energy_Revenue'!E19*0.050000000000000044)*(1-'Dep_Tax'!E24)</x:f>
        <x:v>1072.592496</x:v>
      </x:c>
      <x:c r="F58" s="188" t="n">
        <x:f>'Project_CF'!F24-('Energy_Revenue'!F19*0.050000000000000044)*(1-'Dep_Tax'!F24)</x:f>
        <x:v>732.567151008</x:v>
      </x:c>
      <x:c r="G58" s="188" t="n">
        <x:f>'Project_CF'!G24-('Energy_Revenue'!G19*0.050000000000000044)*(1-'Dep_Tax'!G24)</x:f>
        <x:v>727.2397639059842</x:v>
      </x:c>
      <x:c r="H58" s="188" t="n">
        <x:f>'Project_CF'!H24-('Energy_Revenue'!H19*0.050000000000000044)*(1-'Dep_Tax'!H24)</x:f>
        <x:v>721.8071639941721</x:v>
      </x:c>
      <x:c r="I58" s="188" t="n">
        <x:f>'Project_CF'!I24-('Energy_Revenue'!I19*0.050000000000000044)*(1-'Dep_Tax'!I24)</x:f>
        <x:v>695.2816313871305</x:v>
      </x:c>
      <x:c r="J58" s="188" t="n">
        <x:f>'Project_CF'!J24-('Energy_Revenue'!J19*0.050000000000000044)*(1-'Dep_Tax'!J24)</x:f>
        <x:v>689.91135730474</x:v>
      </x:c>
      <x:c r="K58" s="188" t="n">
        <x:f>'Project_CF'!K24-('Energy_Revenue'!K19*0.050000000000000044)*(1-'Dep_Tax'!K24)</x:f>
        <x:v>684.4315427149259</x:v>
      </x:c>
      <x:c r="L58" s="188" t="n">
        <x:f>'Project_CF'!L24-('Energy_Revenue'!L19*0.050000000000000044)*(1-'Dep_Tax'!L24)</x:f>
        <x:v>678.8387982670348</x:v>
      </x:c>
      <x:c r="M58" s="188" t="n">
        <x:f>'Project_CF'!M24-('Energy_Revenue'!M19*0.050000000000000044)*(1-'Dep_Tax'!M24)</x:f>
        <x:v>673.1296331361658</x:v>
      </x:c>
      <x:c r="N58" s="188" t="n">
        <x:f>'Project_CF'!N24-('Energy_Revenue'!N19*0.050000000000000044)*(1-'Dep_Tax'!N24)</x:f>
        <x:v>667.3004519785289</x:v>
      </x:c>
      <x:c r="O58" s="188" t="n">
        <x:f>'Project_CF'!O24-('Energy_Revenue'!O19*0.050000000000000044)*(1-'Dep_Tax'!O24)</x:f>
        <x:v>661.347551795466</x:v>
      </x:c>
      <x:c r="P58" s="188" t="n">
        <x:f>'Project_CF'!P24-('Energy_Revenue'!P19*0.050000000000000044)*(1-'Dep_Tax'!P24)</x:f>
        <x:v>655.267118703396</x:v>
      </x:c>
      <x:c r="Q58" s="188" t="n">
        <x:f>'Project_CF'!Q24-('Energy_Revenue'!Q19*0.050000000000000044)*(1-'Dep_Tax'!Q24)</x:f>
        <x:v>649.0552246068561</x:v>
      </x:c>
      <x:c r="R58" s="188" t="n">
        <x:f>'Project_CF'!R24-('Energy_Revenue'!R19*0.050000000000000044)*(1-'Dep_Tax'!R24)</x:f>
        <x:v>624.4904119942752</x:v>
      </x:c>
      <x:c r="S58" s="188" t="n">
        <x:f>'Project_CF'!S24-('Energy_Revenue'!S19*0.050000000000000044)*(1-'Dep_Tax'!S24)</x:f>
        <x:v>618.3447624906696</x:v>
      </x:c>
      <x:c r="T58" s="188" t="n">
        <x:f>'Project_CF'!T24-('Energy_Revenue'!T19*0.050000000000000044)*(1-'Dep_Tax'!T24)</x:f>
        <x:v>577.008755345496</x:v>
      </x:c>
      <x:c r="U58" s="188" t="n">
        <x:f>'Project_CF'!U24-('Energy_Revenue'!U19*0.050000000000000044)*(1-'Dep_Tax'!U24)</x:f>
        <x:v>571.2997655147467</x:v>
      </x:c>
      <x:c r="V58" s="188" t="n">
        <x:f>'Project_CF'!V24-('Energy_Revenue'!V19*0.050000000000000044)*(1-'Dep_Tax'!V24)</x:f>
        <x:v>565.4619855700571</x:v>
      </x:c>
      <x:c r="W58" s="188" t="n">
        <x:f>'Project_CF'!W24-('Energy_Revenue'!W19*0.050000000000000044)*(1-'Dep_Tax'!W24)</x:f>
        <x:v>559.4914668488472</x:v>
      </x:c>
      <x:c r="X58" s="188" t="n">
        <x:f>'Project_CF'!X24-('Energy_Revenue'!X19*0.050000000000000044)*(1-'Dep_Tax'!X24)</x:f>
        <x:v>553.3841423985775</x:v>
      </x:c>
      <x:c r="Y58" s="188" t="n">
        <x:f>'Project_CF'!Y24-('Energy_Revenue'!Y19*0.050000000000000044)*(1-'Dep_Tax'!Y24)</x:f>
        <x:v>0</x:v>
      </x:c>
      <x:c r="Z58" s="188" t="n">
        <x:f>'Project_CF'!Z24-('Energy_Revenue'!Z19*0.050000000000000044)*(1-'Dep_Tax'!Z24)</x:f>
        <x:v>0</x:v>
      </x:c>
      <x:c r="AA58" s="188" t="n">
        <x:f>'Project_CF'!AA24-('Energy_Revenue'!AA19*0.050000000000000044)*(1-'Dep_Tax'!AA24)</x:f>
        <x:v>0</x:v>
      </x:c>
      <x:c r="AB58" s="188" t="n">
        <x:f>'Project_CF'!AB24-('Energy_Revenue'!AB19*0.050000000000000044)*(1-'Dep_Tax'!AB24)</x:f>
        <x:v>0</x:v>
      </x:c>
      <x:c r="AC58" s="188" t="n">
        <x:f>'Project_CF'!AC24-('Energy_Revenue'!AC19*0.050000000000000044)*(1-'Dep_Tax'!AC24)</x:f>
        <x:v>0</x:v>
      </x:c>
      <x:c r="AD58" s="188" t="n">
        <x:f>'Project_CF'!AD24-('Energy_Revenue'!AD19*0.050000000000000044)*(1-'Dep_Tax'!AD24)</x:f>
        <x:v>0</x:v>
      </x:c>
      <x:c r="AE58" s="188" t="n">
        <x:f>'Project_CF'!AE24-('Energy_Revenue'!AE19*0.050000000000000044)*(1-'Dep_Tax'!AE24)</x:f>
        <x:v>0</x:v>
      </x:c>
      <x:c r="AF58" s="188" t="n">
        <x:f>'Project_CF'!AF24-('Energy_Revenue'!AF19*0.050000000000000044)*(1-'Dep_Tax'!AF24)</x:f>
        <x:v>0</x:v>
      </x:c>
    </x:row>
    <x:row r="59">
      <x:c r="A59" s="128" t="str">
        <x:v>SEN-04-5</x:v>
      </x:c>
      <x:c r="B59" s="128" t="str">
        <x:v>Project CF × 110%</x:v>
      </x:c>
      <x:c r="C59" s="188" t="n">
        <x:f>'Project_CF'!C24-('Energy_Revenue'!C19*0.10000000000000009)*(1-'Dep_Tax'!C24)</x:f>
        <x:v>-2455.2</x:v>
      </x:c>
      <x:c r="D59" s="188" t="n">
        <x:f>'Project_CF'!D24-('Energy_Revenue'!D19*0.10000000000000009)*(1-'Dep_Tax'!D24)</x:f>
        <x:v>-3459.6000000000004</x:v>
      </x:c>
      <x:c r="E59" s="188" t="n">
        <x:f>'Project_CF'!E24-('Energy_Revenue'!E19*0.10000000000000009)*(1-'Dep_Tax'!E24)</x:f>
        <x:v>1067.0124959999998</x:v>
      </x:c>
      <x:c r="F59" s="188" t="n">
        <x:f>'Project_CF'!F24-('Energy_Revenue'!F19*0.10000000000000009)*(1-'Dep_Tax'!F24)</x:f>
        <x:v>726.8197510079999</x:v>
      </x:c>
      <x:c r="G59" s="188" t="n">
        <x:f>'Project_CF'!G24-('Energy_Revenue'!G19*0.10000000000000009)*(1-'Dep_Tax'!G24)</x:f>
        <x:v>721.3199419059841</x:v>
      </x:c>
      <x:c r="H59" s="188" t="n">
        <x:f>'Project_CF'!H24-('Energy_Revenue'!H19*0.10000000000000009)*(1-'Dep_Tax'!H24)</x:f>
        <x:v>715.7097473341721</x:v>
      </x:c>
      <x:c r="I59" s="188" t="n">
        <x:f>'Project_CF'!I24-('Energy_Revenue'!I19*0.10000000000000009)*(1-'Dep_Tax'!I24)</x:f>
        <x:v>689.3153091853205</x:v>
      </x:c>
      <x:c r="J59" s="188" t="n">
        <x:f>'Project_CF'!J24-('Energy_Revenue'!J19*0.10000000000000009)*(1-'Dep_Tax'!J24)</x:f>
        <x:v>683.7660454368757</x:v>
      </x:c>
      <x:c r="K59" s="188" t="n">
        <x:f>'Project_CF'!K24-('Energy_Revenue'!K19*0.10000000000000009)*(1-'Dep_Tax'!K24)</x:f>
        <x:v>678.1018714910257</x:v>
      </x:c>
      <x:c r="L59" s="188" t="n">
        <x:f>'Project_CF'!L24-('Energy_Revenue'!L19*0.10000000000000009)*(1-'Dep_Tax'!L24)</x:f>
        <x:v>672.3192369064176</x:v>
      </x:c>
      <x:c r="M59" s="188" t="n">
        <x:f>'Project_CF'!M24-('Energy_Revenue'!M19*0.10000000000000009)*(1-'Dep_Tax'!M24)</x:f>
        <x:v>666.4144849347301</x:v>
      </x:c>
      <x:c r="N59" s="188" t="n">
        <x:f>'Project_CF'!N24-('Energy_Revenue'!N19*0.10000000000000009)*(1-'Dep_Tax'!N24)</x:f>
        <x:v>660.3838493310501</x:v>
      </x:c>
      <x:c r="O59" s="188" t="n">
        <x:f>'Project_CF'!O24-('Energy_Revenue'!O19*0.10000000000000009)*(1-'Dep_Tax'!O24)</x:f>
        <x:v>654.2234510685628</x:v>
      </x:c>
      <x:c r="P59" s="188" t="n">
        <x:f>'Project_CF'!P24-('Energy_Revenue'!P19*0.10000000000000009)*(1-'Dep_Tax'!P24)</x:f>
        <x:v>647.9292949546857</x:v>
      </x:c>
      <x:c r="Q59" s="188" t="n">
        <x:f>'Project_CF'!Q24-('Energy_Revenue'!Q19*0.10000000000000009)*(1-'Dep_Tax'!Q24)</x:f>
        <x:v>641.4972661456844</x:v>
      </x:c>
      <x:c r="R59" s="188" t="n">
        <x:f>'Project_CF'!R24-('Energy_Revenue'!R19*0.10000000000000009)*(1-'Dep_Tax'!R24)</x:f>
        <x:v>617.1154356853215</x:v>
      </x:c>
      <x:c r="S59" s="188" t="n">
        <x:f>'Project_CF'!S24-('Energy_Revenue'!S19*0.10000000000000009)*(1-'Dep_Tax'!S24)</x:f>
        <x:v>610.7485368924473</x:v>
      </x:c>
      <x:c r="T59" s="188" t="n">
        <x:f>'Project_CF'!T24-('Energy_Revenue'!T19*0.10000000000000009)*(1-'Dep_Tax'!T24)</x:f>
        <x:v>570.0539887977901</x:v>
      </x:c>
      <x:c r="U59" s="188" t="n">
        <x:f>'Project_CF'!U24-('Energy_Revenue'!U19*0.10000000000000009)*(1-'Dep_Tax'!U24)</x:f>
        <x:v>564.1363559706098</x:v>
      </x:c>
      <x:c r="V59" s="188" t="n">
        <x:f>'Project_CF'!V24-('Energy_Revenue'!V19*0.10000000000000009)*(1-'Dep_Tax'!V24)</x:f>
        <x:v>558.0836737395961</x:v>
      </x:c>
      <x:c r="W59" s="188" t="n">
        <x:f>'Project_CF'!W24-('Energy_Revenue'!W19*0.10000000000000009)*(1-'Dep_Tax'!W24)</x:f>
        <x:v>551.8918056634722</x:v>
      </x:c>
      <x:c r="X59" s="188" t="n">
        <x:f>'Project_CF'!X24-('Energy_Revenue'!X19*0.10000000000000009)*(1-'Dep_Tax'!X24)</x:f>
        <x:v>545.5564913776414</x:v>
      </x:c>
      <x:c r="Y59" s="188" t="n">
        <x:f>'Project_CF'!Y24-('Energy_Revenue'!Y19*0.10000000000000009)*(1-'Dep_Tax'!Y24)</x:f>
        <x:v>0</x:v>
      </x:c>
      <x:c r="Z59" s="188" t="n">
        <x:f>'Project_CF'!Z24-('Energy_Revenue'!Z19*0.10000000000000009)*(1-'Dep_Tax'!Z24)</x:f>
        <x:v>0</x:v>
      </x:c>
      <x:c r="AA59" s="188" t="n">
        <x:f>'Project_CF'!AA24-('Energy_Revenue'!AA19*0.10000000000000009)*(1-'Dep_Tax'!AA24)</x:f>
        <x:v>0</x:v>
      </x:c>
      <x:c r="AB59" s="188" t="n">
        <x:f>'Project_CF'!AB24-('Energy_Revenue'!AB19*0.10000000000000009)*(1-'Dep_Tax'!AB24)</x:f>
        <x:v>0</x:v>
      </x:c>
      <x:c r="AC59" s="188" t="n">
        <x:f>'Project_CF'!AC24-('Energy_Revenue'!AC19*0.10000000000000009)*(1-'Dep_Tax'!AC24)</x:f>
        <x:v>0</x:v>
      </x:c>
      <x:c r="AD59" s="188" t="n">
        <x:f>'Project_CF'!AD24-('Energy_Revenue'!AD19*0.10000000000000009)*(1-'Dep_Tax'!AD24)</x:f>
        <x:v>0</x:v>
      </x:c>
      <x:c r="AE59" s="188" t="n">
        <x:f>'Project_CF'!AE24-('Energy_Revenue'!AE19*0.10000000000000009)*(1-'Dep_Tax'!AE24)</x:f>
        <x:v>0</x:v>
      </x:c>
      <x:c r="AF59" s="188" t="n">
        <x:f>'Project_CF'!AF24-('Energy_Revenue'!AF19*0.10000000000000009)*(1-'Dep_Tax'!AF24)</x:f>
        <x:v>0</x:v>
      </x:c>
    </x:row>
    <x:row r="60">
      <x:c r="A60" s="128" t="str">
        <x:v>SEN-05-1</x:v>
      </x:c>
      <x:c r="B60" s="128" t="str">
        <x:v>Project CF × 90%</x:v>
      </x:c>
      <x:c r="C60" s="188" t="n">
        <x:f>'Project_CF'!C24</x:f>
        <x:v>-2455.2</x:v>
      </x:c>
      <x:c r="D60" s="188" t="n">
        <x:f>'Project_CF'!D24</x:f>
        <x:v>-3459.6000000000004</x:v>
      </x:c>
      <x:c r="E60" s="188" t="n">
        <x:f>'Project_CF'!E24</x:f>
        <x:v>1078.172496</x:v>
      </x:c>
      <x:c r="F60" s="188" t="n">
        <x:f>'Project_CF'!F24</x:f>
        <x:v>738.314551008</x:v>
      </x:c>
      <x:c r="G60" s="188" t="n">
        <x:f>'Project_CF'!G24</x:f>
        <x:v>733.1595859059842</x:v>
      </x:c>
      <x:c r="H60" s="188" t="n">
        <x:f>'Project_CF'!H24</x:f>
        <x:v>727.9045806541722</x:v>
      </x:c>
      <x:c r="I60" s="188" t="n">
        <x:f>'Project_CF'!I24</x:f>
        <x:v>701.2479535889405</x:v>
      </x:c>
      <x:c r="J60" s="188" t="n">
        <x:f>'Project_CF'!J24</x:f>
        <x:v>696.0566691726043</x:v>
      </x:c>
      <x:c r="K60" s="188" t="n">
        <x:f>'Project_CF'!K24</x:f>
        <x:v>690.7612139388261</x:v>
      </x:c>
      <x:c r="L60" s="188" t="n">
        <x:f>'Project_CF'!L24</x:f>
        <x:v>685.358359627652</x:v>
      </x:c>
      <x:c r="M60" s="188" t="n">
        <x:f>'Project_CF'!M24</x:f>
        <x:v>679.8447813376016</x:v>
      </x:c>
      <x:c r="N60" s="188" t="n">
        <x:f>'Project_CF'!N24</x:f>
        <x:v>674.2170546260078</x:v>
      </x:c>
      <x:c r="O60" s="188" t="n">
        <x:f>'Project_CF'!O24</x:f>
        <x:v>668.4716525223691</x:v>
      </x:c>
      <x:c r="P60" s="188" t="n">
        <x:f>'Project_CF'!P24</x:f>
        <x:v>662.6049424521063</x:v>
      </x:c>
      <x:c r="Q60" s="188" t="n">
        <x:f>'Project_CF'!Q24</x:f>
        <x:v>656.6131830680276</x:v>
      </x:c>
      <x:c r="R60" s="188" t="n">
        <x:f>'Project_CF'!R24</x:f>
        <x:v>631.865388303229</x:v>
      </x:c>
      <x:c r="S60" s="188" t="n">
        <x:f>'Project_CF'!S24</x:f>
        <x:v>625.940988088892</x:v>
      </x:c>
      <x:c r="T60" s="188" t="n">
        <x:f>'Project_CF'!T24</x:f>
        <x:v>583.9635218932018</x:v>
      </x:c>
      <x:c r="U60" s="188" t="n">
        <x:f>'Project_CF'!U24</x:f>
        <x:v>578.4631750588837</x:v>
      </x:c>
      <x:c r="V60" s="188" t="n">
        <x:f>'Project_CF'!V24</x:f>
        <x:v>572.8402974005182</x:v>
      </x:c>
      <x:c r="W60" s="188" t="n">
        <x:f>'Project_CF'!W24</x:f>
        <x:v>567.091128034222</x:v>
      </x:c>
      <x:c r="X60" s="188" t="n">
        <x:f>'Project_CF'!X24</x:f>
        <x:v>561.2117934195137</x:v>
      </x:c>
      <x:c r="Y60" s="188" t="n">
        <x:f>'Project_CF'!Y24</x:f>
        <x:v>0</x:v>
      </x:c>
      <x:c r="Z60" s="188" t="n">
        <x:f>'Project_CF'!Z24</x:f>
        <x:v>0</x:v>
      </x:c>
      <x:c r="AA60" s="188" t="n">
        <x:f>'Project_CF'!AA24</x:f>
        <x:v>0</x:v>
      </x:c>
      <x:c r="AB60" s="188" t="n">
        <x:f>'Project_CF'!AB24</x:f>
        <x:v>0</x:v>
      </x:c>
      <x:c r="AC60" s="188" t="n">
        <x:f>'Project_CF'!AC24</x:f>
        <x:v>0</x:v>
      </x:c>
      <x:c r="AD60" s="188" t="n">
        <x:f>'Project_CF'!AD24</x:f>
        <x:v>0</x:v>
      </x:c>
      <x:c r="AE60" s="188" t="n">
        <x:f>'Project_CF'!AE24</x:f>
        <x:v>0</x:v>
      </x:c>
      <x:c r="AF60" s="188" t="n">
        <x:f>'Project_CF'!AF24</x:f>
        <x:v>0</x:v>
      </x:c>
    </x:row>
    <x:row r="61">
      <x:c r="A61" s="128" t="str">
        <x:v>SEN-05-2</x:v>
      </x:c>
      <x:c r="B61" s="128" t="str">
        <x:v>Project CF × 95%</x:v>
      </x:c>
      <x:c r="C61" s="188" t="n">
        <x:f>'Project_CF'!C24</x:f>
        <x:v>-2455.2</x:v>
      </x:c>
      <x:c r="D61" s="188" t="n">
        <x:f>'Project_CF'!D24</x:f>
        <x:v>-3459.6000000000004</x:v>
      </x:c>
      <x:c r="E61" s="188" t="n">
        <x:f>'Project_CF'!E24</x:f>
        <x:v>1078.172496</x:v>
      </x:c>
      <x:c r="F61" s="188" t="n">
        <x:f>'Project_CF'!F24</x:f>
        <x:v>738.314551008</x:v>
      </x:c>
      <x:c r="G61" s="188" t="n">
        <x:f>'Project_CF'!G24</x:f>
        <x:v>733.1595859059842</x:v>
      </x:c>
      <x:c r="H61" s="188" t="n">
        <x:f>'Project_CF'!H24</x:f>
        <x:v>727.9045806541722</x:v>
      </x:c>
      <x:c r="I61" s="188" t="n">
        <x:f>'Project_CF'!I24</x:f>
        <x:v>701.2479535889405</x:v>
      </x:c>
      <x:c r="J61" s="188" t="n">
        <x:f>'Project_CF'!J24</x:f>
        <x:v>696.0566691726043</x:v>
      </x:c>
      <x:c r="K61" s="188" t="n">
        <x:f>'Project_CF'!K24</x:f>
        <x:v>690.7612139388261</x:v>
      </x:c>
      <x:c r="L61" s="188" t="n">
        <x:f>'Project_CF'!L24</x:f>
        <x:v>685.358359627652</x:v>
      </x:c>
      <x:c r="M61" s="188" t="n">
        <x:f>'Project_CF'!M24</x:f>
        <x:v>679.8447813376016</x:v>
      </x:c>
      <x:c r="N61" s="188" t="n">
        <x:f>'Project_CF'!N24</x:f>
        <x:v>674.2170546260078</x:v>
      </x:c>
      <x:c r="O61" s="188" t="n">
        <x:f>'Project_CF'!O24</x:f>
        <x:v>668.4716525223691</x:v>
      </x:c>
      <x:c r="P61" s="188" t="n">
        <x:f>'Project_CF'!P24</x:f>
        <x:v>662.6049424521063</x:v>
      </x:c>
      <x:c r="Q61" s="188" t="n">
        <x:f>'Project_CF'!Q24</x:f>
        <x:v>656.6131830680276</x:v>
      </x:c>
      <x:c r="R61" s="188" t="n">
        <x:f>'Project_CF'!R24</x:f>
        <x:v>631.865388303229</x:v>
      </x:c>
      <x:c r="S61" s="188" t="n">
        <x:f>'Project_CF'!S24</x:f>
        <x:v>625.940988088892</x:v>
      </x:c>
      <x:c r="T61" s="188" t="n">
        <x:f>'Project_CF'!T24</x:f>
        <x:v>583.9635218932018</x:v>
      </x:c>
      <x:c r="U61" s="188" t="n">
        <x:f>'Project_CF'!U24</x:f>
        <x:v>578.4631750588837</x:v>
      </x:c>
      <x:c r="V61" s="188" t="n">
        <x:f>'Project_CF'!V24</x:f>
        <x:v>572.8402974005182</x:v>
      </x:c>
      <x:c r="W61" s="188" t="n">
        <x:f>'Project_CF'!W24</x:f>
        <x:v>567.091128034222</x:v>
      </x:c>
      <x:c r="X61" s="188" t="n">
        <x:f>'Project_CF'!X24</x:f>
        <x:v>561.2117934195137</x:v>
      </x:c>
      <x:c r="Y61" s="188" t="n">
        <x:f>'Project_CF'!Y24</x:f>
        <x:v>0</x:v>
      </x:c>
      <x:c r="Z61" s="188" t="n">
        <x:f>'Project_CF'!Z24</x:f>
        <x:v>0</x:v>
      </x:c>
      <x:c r="AA61" s="188" t="n">
        <x:f>'Project_CF'!AA24</x:f>
        <x:v>0</x:v>
      </x:c>
      <x:c r="AB61" s="188" t="n">
        <x:f>'Project_CF'!AB24</x:f>
        <x:v>0</x:v>
      </x:c>
      <x:c r="AC61" s="188" t="n">
        <x:f>'Project_CF'!AC24</x:f>
        <x:v>0</x:v>
      </x:c>
      <x:c r="AD61" s="188" t="n">
        <x:f>'Project_CF'!AD24</x:f>
        <x:v>0</x:v>
      </x:c>
      <x:c r="AE61" s="188" t="n">
        <x:f>'Project_CF'!AE24</x:f>
        <x:v>0</x:v>
      </x:c>
      <x:c r="AF61" s="188" t="n">
        <x:f>'Project_CF'!AF24</x:f>
        <x:v>0</x:v>
      </x:c>
    </x:row>
    <x:row r="62">
      <x:c r="A62" s="128" t="str">
        <x:v>SEN-05-3</x:v>
      </x:c>
      <x:c r="B62" s="128" t="str">
        <x:v>Project CF × 100%</x:v>
      </x:c>
      <x:c r="C62" s="188" t="n">
        <x:f>'Project_CF'!C24</x:f>
        <x:v>-2455.2</x:v>
      </x:c>
      <x:c r="D62" s="188" t="n">
        <x:f>'Project_CF'!D24</x:f>
        <x:v>-3459.6000000000004</x:v>
      </x:c>
      <x:c r="E62" s="188" t="n">
        <x:f>'Project_CF'!E24</x:f>
        <x:v>1078.172496</x:v>
      </x:c>
      <x:c r="F62" s="188" t="n">
        <x:f>'Project_CF'!F24</x:f>
        <x:v>738.314551008</x:v>
      </x:c>
      <x:c r="G62" s="188" t="n">
        <x:f>'Project_CF'!G24</x:f>
        <x:v>733.1595859059842</x:v>
      </x:c>
      <x:c r="H62" s="188" t="n">
        <x:f>'Project_CF'!H24</x:f>
        <x:v>727.9045806541722</x:v>
      </x:c>
      <x:c r="I62" s="188" t="n">
        <x:f>'Project_CF'!I24</x:f>
        <x:v>701.2479535889405</x:v>
      </x:c>
      <x:c r="J62" s="188" t="n">
        <x:f>'Project_CF'!J24</x:f>
        <x:v>696.0566691726043</x:v>
      </x:c>
      <x:c r="K62" s="188" t="n">
        <x:f>'Project_CF'!K24</x:f>
        <x:v>690.7612139388261</x:v>
      </x:c>
      <x:c r="L62" s="188" t="n">
        <x:f>'Project_CF'!L24</x:f>
        <x:v>685.358359627652</x:v>
      </x:c>
      <x:c r="M62" s="188" t="n">
        <x:f>'Project_CF'!M24</x:f>
        <x:v>679.8447813376016</x:v>
      </x:c>
      <x:c r="N62" s="188" t="n">
        <x:f>'Project_CF'!N24</x:f>
        <x:v>674.2170546260078</x:v>
      </x:c>
      <x:c r="O62" s="188" t="n">
        <x:f>'Project_CF'!O24</x:f>
        <x:v>668.4716525223691</x:v>
      </x:c>
      <x:c r="P62" s="188" t="n">
        <x:f>'Project_CF'!P24</x:f>
        <x:v>662.6049424521063</x:v>
      </x:c>
      <x:c r="Q62" s="188" t="n">
        <x:f>'Project_CF'!Q24</x:f>
        <x:v>656.6131830680276</x:v>
      </x:c>
      <x:c r="R62" s="188" t="n">
        <x:f>'Project_CF'!R24</x:f>
        <x:v>631.865388303229</x:v>
      </x:c>
      <x:c r="S62" s="188" t="n">
        <x:f>'Project_CF'!S24</x:f>
        <x:v>625.940988088892</x:v>
      </x:c>
      <x:c r="T62" s="188" t="n">
        <x:f>'Project_CF'!T24</x:f>
        <x:v>583.9635218932018</x:v>
      </x:c>
      <x:c r="U62" s="188" t="n">
        <x:f>'Project_CF'!U24</x:f>
        <x:v>578.4631750588837</x:v>
      </x:c>
      <x:c r="V62" s="188" t="n">
        <x:f>'Project_CF'!V24</x:f>
        <x:v>572.8402974005182</x:v>
      </x:c>
      <x:c r="W62" s="188" t="n">
        <x:f>'Project_CF'!W24</x:f>
        <x:v>567.091128034222</x:v>
      </x:c>
      <x:c r="X62" s="188" t="n">
        <x:f>'Project_CF'!X24</x:f>
        <x:v>561.2117934195137</x:v>
      </x:c>
      <x:c r="Y62" s="188" t="n">
        <x:f>'Project_CF'!Y24</x:f>
        <x:v>0</x:v>
      </x:c>
      <x:c r="Z62" s="188" t="n">
        <x:f>'Project_CF'!Z24</x:f>
        <x:v>0</x:v>
      </x:c>
      <x:c r="AA62" s="188" t="n">
        <x:f>'Project_CF'!AA24</x:f>
        <x:v>0</x:v>
      </x:c>
      <x:c r="AB62" s="188" t="n">
        <x:f>'Project_CF'!AB24</x:f>
        <x:v>0</x:v>
      </x:c>
      <x:c r="AC62" s="188" t="n">
        <x:f>'Project_CF'!AC24</x:f>
        <x:v>0</x:v>
      </x:c>
      <x:c r="AD62" s="188" t="n">
        <x:f>'Project_CF'!AD24</x:f>
        <x:v>0</x:v>
      </x:c>
      <x:c r="AE62" s="188" t="n">
        <x:f>'Project_CF'!AE24</x:f>
        <x:v>0</x:v>
      </x:c>
      <x:c r="AF62" s="188" t="n">
        <x:f>'Project_CF'!AF24</x:f>
        <x:v>0</x:v>
      </x:c>
    </x:row>
    <x:row r="63">
      <x:c r="A63" s="128" t="str">
        <x:v>SEN-05-4</x:v>
      </x:c>
      <x:c r="B63" s="128" t="str">
        <x:v>Project CF × 105%</x:v>
      </x:c>
      <x:c r="C63" s="188" t="n">
        <x:f>'Project_CF'!C24</x:f>
        <x:v>-2455.2</x:v>
      </x:c>
      <x:c r="D63" s="188" t="n">
        <x:f>'Project_CF'!D24</x:f>
        <x:v>-3459.6000000000004</x:v>
      </x:c>
      <x:c r="E63" s="188" t="n">
        <x:f>'Project_CF'!E24</x:f>
        <x:v>1078.172496</x:v>
      </x:c>
      <x:c r="F63" s="188" t="n">
        <x:f>'Project_CF'!F24</x:f>
        <x:v>738.314551008</x:v>
      </x:c>
      <x:c r="G63" s="188" t="n">
        <x:f>'Project_CF'!G24</x:f>
        <x:v>733.1595859059842</x:v>
      </x:c>
      <x:c r="H63" s="188" t="n">
        <x:f>'Project_CF'!H24</x:f>
        <x:v>727.9045806541722</x:v>
      </x:c>
      <x:c r="I63" s="188" t="n">
        <x:f>'Project_CF'!I24</x:f>
        <x:v>701.2479535889405</x:v>
      </x:c>
      <x:c r="J63" s="188" t="n">
        <x:f>'Project_CF'!J24</x:f>
        <x:v>696.0566691726043</x:v>
      </x:c>
      <x:c r="K63" s="188" t="n">
        <x:f>'Project_CF'!K24</x:f>
        <x:v>690.7612139388261</x:v>
      </x:c>
      <x:c r="L63" s="188" t="n">
        <x:f>'Project_CF'!L24</x:f>
        <x:v>685.358359627652</x:v>
      </x:c>
      <x:c r="M63" s="188" t="n">
        <x:f>'Project_CF'!M24</x:f>
        <x:v>679.8447813376016</x:v>
      </x:c>
      <x:c r="N63" s="188" t="n">
        <x:f>'Project_CF'!N24</x:f>
        <x:v>674.2170546260078</x:v>
      </x:c>
      <x:c r="O63" s="188" t="n">
        <x:f>'Project_CF'!O24</x:f>
        <x:v>668.4716525223691</x:v>
      </x:c>
      <x:c r="P63" s="188" t="n">
        <x:f>'Project_CF'!P24</x:f>
        <x:v>662.6049424521063</x:v>
      </x:c>
      <x:c r="Q63" s="188" t="n">
        <x:f>'Project_CF'!Q24</x:f>
        <x:v>656.6131830680276</x:v>
      </x:c>
      <x:c r="R63" s="188" t="n">
        <x:f>'Project_CF'!R24</x:f>
        <x:v>631.865388303229</x:v>
      </x:c>
      <x:c r="S63" s="188" t="n">
        <x:f>'Project_CF'!S24</x:f>
        <x:v>625.940988088892</x:v>
      </x:c>
      <x:c r="T63" s="188" t="n">
        <x:f>'Project_CF'!T24</x:f>
        <x:v>583.9635218932018</x:v>
      </x:c>
      <x:c r="U63" s="188" t="n">
        <x:f>'Project_CF'!U24</x:f>
        <x:v>578.4631750588837</x:v>
      </x:c>
      <x:c r="V63" s="188" t="n">
        <x:f>'Project_CF'!V24</x:f>
        <x:v>572.8402974005182</x:v>
      </x:c>
      <x:c r="W63" s="188" t="n">
        <x:f>'Project_CF'!W24</x:f>
        <x:v>567.091128034222</x:v>
      </x:c>
      <x:c r="X63" s="188" t="n">
        <x:f>'Project_CF'!X24</x:f>
        <x:v>561.2117934195137</x:v>
      </x:c>
      <x:c r="Y63" s="188" t="n">
        <x:f>'Project_CF'!Y24</x:f>
        <x:v>0</x:v>
      </x:c>
      <x:c r="Z63" s="188" t="n">
        <x:f>'Project_CF'!Z24</x:f>
        <x:v>0</x:v>
      </x:c>
      <x:c r="AA63" s="188" t="n">
        <x:f>'Project_CF'!AA24</x:f>
        <x:v>0</x:v>
      </x:c>
      <x:c r="AB63" s="188" t="n">
        <x:f>'Project_CF'!AB24</x:f>
        <x:v>0</x:v>
      </x:c>
      <x:c r="AC63" s="188" t="n">
        <x:f>'Project_CF'!AC24</x:f>
        <x:v>0</x:v>
      </x:c>
      <x:c r="AD63" s="188" t="n">
        <x:f>'Project_CF'!AD24</x:f>
        <x:v>0</x:v>
      </x:c>
      <x:c r="AE63" s="188" t="n">
        <x:f>'Project_CF'!AE24</x:f>
        <x:v>0</x:v>
      </x:c>
      <x:c r="AF63" s="188" t="n">
        <x:f>'Project_CF'!AF24</x:f>
        <x:v>0</x:v>
      </x:c>
    </x:row>
    <x:row r="64">
      <x:c r="A64" s="128" t="str">
        <x:v>SEN-05-5</x:v>
      </x:c>
      <x:c r="B64" s="128" t="str">
        <x:v>Project CF × 110%</x:v>
      </x:c>
      <x:c r="C64" s="188" t="n">
        <x:f>'Project_CF'!C24</x:f>
        <x:v>-2455.2</x:v>
      </x:c>
      <x:c r="D64" s="188" t="n">
        <x:f>'Project_CF'!D24</x:f>
        <x:v>-3459.6000000000004</x:v>
      </x:c>
      <x:c r="E64" s="188" t="n">
        <x:f>'Project_CF'!E24</x:f>
        <x:v>1078.172496</x:v>
      </x:c>
      <x:c r="F64" s="188" t="n">
        <x:f>'Project_CF'!F24</x:f>
        <x:v>738.314551008</x:v>
      </x:c>
      <x:c r="G64" s="188" t="n">
        <x:f>'Project_CF'!G24</x:f>
        <x:v>733.1595859059842</x:v>
      </x:c>
      <x:c r="H64" s="188" t="n">
        <x:f>'Project_CF'!H24</x:f>
        <x:v>727.9045806541722</x:v>
      </x:c>
      <x:c r="I64" s="188" t="n">
        <x:f>'Project_CF'!I24</x:f>
        <x:v>701.2479535889405</x:v>
      </x:c>
      <x:c r="J64" s="188" t="n">
        <x:f>'Project_CF'!J24</x:f>
        <x:v>696.0566691726043</x:v>
      </x:c>
      <x:c r="K64" s="188" t="n">
        <x:f>'Project_CF'!K24</x:f>
        <x:v>690.7612139388261</x:v>
      </x:c>
      <x:c r="L64" s="188" t="n">
        <x:f>'Project_CF'!L24</x:f>
        <x:v>685.358359627652</x:v>
      </x:c>
      <x:c r="M64" s="188" t="n">
        <x:f>'Project_CF'!M24</x:f>
        <x:v>679.8447813376016</x:v>
      </x:c>
      <x:c r="N64" s="188" t="n">
        <x:f>'Project_CF'!N24</x:f>
        <x:v>674.2170546260078</x:v>
      </x:c>
      <x:c r="O64" s="188" t="n">
        <x:f>'Project_CF'!O24</x:f>
        <x:v>668.4716525223691</x:v>
      </x:c>
      <x:c r="P64" s="188" t="n">
        <x:f>'Project_CF'!P24</x:f>
        <x:v>662.6049424521063</x:v>
      </x:c>
      <x:c r="Q64" s="188" t="n">
        <x:f>'Project_CF'!Q24</x:f>
        <x:v>656.6131830680276</x:v>
      </x:c>
      <x:c r="R64" s="188" t="n">
        <x:f>'Project_CF'!R24</x:f>
        <x:v>631.865388303229</x:v>
      </x:c>
      <x:c r="S64" s="188" t="n">
        <x:f>'Project_CF'!S24</x:f>
        <x:v>625.940988088892</x:v>
      </x:c>
      <x:c r="T64" s="188" t="n">
        <x:f>'Project_CF'!T24</x:f>
        <x:v>583.9635218932018</x:v>
      </x:c>
      <x:c r="U64" s="188" t="n">
        <x:f>'Project_CF'!U24</x:f>
        <x:v>578.4631750588837</x:v>
      </x:c>
      <x:c r="V64" s="188" t="n">
        <x:f>'Project_CF'!V24</x:f>
        <x:v>572.8402974005182</x:v>
      </x:c>
      <x:c r="W64" s="188" t="n">
        <x:f>'Project_CF'!W24</x:f>
        <x:v>567.091128034222</x:v>
      </x:c>
      <x:c r="X64" s="188" t="n">
        <x:f>'Project_CF'!X24</x:f>
        <x:v>561.2117934195137</x:v>
      </x:c>
      <x:c r="Y64" s="188" t="n">
        <x:f>'Project_CF'!Y24</x:f>
        <x:v>0</x:v>
      </x:c>
      <x:c r="Z64" s="188" t="n">
        <x:f>'Project_CF'!Z24</x:f>
        <x:v>0</x:v>
      </x:c>
      <x:c r="AA64" s="188" t="n">
        <x:f>'Project_CF'!AA24</x:f>
        <x:v>0</x:v>
      </x:c>
      <x:c r="AB64" s="188" t="n">
        <x:f>'Project_CF'!AB24</x:f>
        <x:v>0</x:v>
      </x:c>
      <x:c r="AC64" s="188" t="n">
        <x:f>'Project_CF'!AC24</x:f>
        <x:v>0</x:v>
      </x:c>
      <x:c r="AD64" s="188" t="n">
        <x:f>'Project_CF'!AD24</x:f>
        <x:v>0</x:v>
      </x:c>
      <x:c r="AE64" s="188" t="n">
        <x:f>'Project_CF'!AE24</x:f>
        <x:v>0</x:v>
      </x:c>
      <x:c r="AF64" s="188" t="n">
        <x:f>'Project_CF'!AF24</x:f>
        <x:v>0</x:v>
      </x:c>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t="str">
        <x:v>SEN-01-1</x:v>
      </x:c>
      <x:c r="B70" s="128" t="str">
        <x:v>Equity CF × 90%</x:v>
      </x:c>
      <x:c r="C70" s="188" t="n">
        <x:f>'Equity_CF'!C20+('Energy_Revenue'!C14*-0.09999999999999998)*(1-'Dep_Tax'!C24)</x:f>
        <x:v>-1009.9799999999999</x:v>
      </x:c>
      <x:c r="D70" s="188" t="n">
        <x:f>'Equity_CF'!D20+('Energy_Revenue'!D14*-0.09999999999999998)*(1-'Dep_Tax'!D24)</x:f>
        <x:v>-1389.4200000000005</x:v>
      </x:c>
      <x:c r="E70" s="188" t="n">
        <x:f>'Equity_CF'!E20+('Energy_Revenue'!E14*-0.09999999999999998)*(1-'Dep_Tax'!E24)</x:f>
        <x:v>276.57524639999997</x:v>
      </x:c>
      <x:c r="F70" s="188" t="n">
        <x:f>'Equity_CF'!F20+('Energy_Revenue'!F14*-0.09999999999999998)*(1-'Dep_Tax'!F24)</x:f>
        <x:v>-30.561704092799957</x:v>
      </x:c>
      <x:c r="G70" s="188" t="n">
        <x:f>'Equity_CF'!G20+('Energy_Revenue'!G14*-0.09999999999999998)*(1-'Dep_Tax'!G24)</x:f>
        <x:v>-2.996016684614176</x:v>
      </x:c>
      <x:c r="H70" s="188" t="n">
        <x:f>'Equity_CF'!H20+('Energy_Revenue'!H14*-0.09999999999999998)*(1-'Dep_Tax'!H24)</x:f>
        <x:v>24.46928926875502</x:v>
      </x:c>
      <x:c r="I70" s="188" t="n">
        <x:f>'Equity_CF'!I20+('Energy_Revenue'!I14*-0.09999999999999998)*(1-'Dep_Tax'!I24)</x:f>
        <x:v>47.79339882642651</x:v>
      </x:c>
      <x:c r="J70" s="188" t="n">
        <x:f>'Equity_CF'!J20+('Energy_Revenue'!J14*-0.09999999999999998)*(1-'Dep_Tax'!J24)</x:f>
        <x:v>73.68576351961534</x:v>
      </x:c>
      <x:c r="K70" s="188" t="n">
        <x:f>'Equity_CF'!K20+('Energy_Revenue'!K14*-0.09999999999999998)*(1-'Dep_Tax'!K24)</x:f>
        <x:v>99.47363509714314</x:v>
      </x:c>
      <x:c r="L70" s="188" t="n">
        <x:f>'Equity_CF'!L20+('Energy_Revenue'!L14*-0.09999999999999998)*(1-'Dep_Tax'!L24)</x:f>
        <x:v>125.15378594365244</x:v>
      </x:c>
      <x:c r="M70" s="188" t="n">
        <x:f>'Equity_CF'!M20+('Energy_Revenue'!M14*-0.09999999999999998)*(1-'Dep_Tax'!M24)</x:f>
        <x:v>150.72289180096993</x:v>
      </x:c>
      <x:c r="N70" s="188" t="n">
        <x:f>'Equity_CF'!N20+('Energy_Revenue'!N14*-0.09999999999999998)*(1-'Dep_Tax'!N24)</x:f>
        <x:v>176.17752886844949</x:v>
      </x:c>
      <x:c r="O70" s="188" t="n">
        <x:f>'Equity_CF'!O20+('Energy_Revenue'!O14*-0.09999999999999998)*(1-'Dep_Tax'!O24)</x:f>
        <x:v>201.51417081632593</x:v>
      </x:c>
      <x:c r="P70" s="188" t="n">
        <x:f>'Equity_CF'!P20+('Energy_Revenue'!P14*-0.09999999999999998)*(1-'Dep_Tax'!P24)</x:f>
        <x:v>226.72918570947525</x:v>
      </x:c>
      <x:c r="Q70" s="188" t="n">
        <x:f>'Equity_CF'!Q20+('Energy_Revenue'!Q14*-0.09999999999999998)*(1-'Dep_Tax'!Q24)</x:f>
        <x:v>577.3188328388817</x:v>
      </x:c>
      <x:c r="R70" s="188" t="n">
        <x:f>'Equity_CF'!R20+('Energy_Revenue'!R14*-0.09999999999999998)*(1-'Dep_Tax'!R24)</x:f>
        <x:v>556.8946668549986</x:v>
      </x:c>
      <x:c r="S70" s="188" t="n">
        <x:f>'Equity_CF'!S20+('Energy_Revenue'!S14*-0.09999999999999998)*(1-'Dep_Tax'!S24)</x:f>
        <x:v>551.120208083558</x:v>
      </x:c>
      <x:c r="T70" s="188" t="n">
        <x:f>'Equity_CF'!T20+('Energy_Revenue'!T14*-0.09999999999999998)*(1-'Dep_Tax'!T24)</x:f>
        <x:v>517.58917660847</x:v>
      </x:c>
      <x:c r="U70" s="188" t="n">
        <x:f>'Equity_CF'!U20+('Energy_Revenue'!U14*-0.09999999999999998)*(1-'Dep_Tax'!U24)</x:f>
        <x:v>512.2215784647213</x:v>
      </x:c>
      <x:c r="V70" s="188" t="n">
        <x:f>'Equity_CF'!V20+('Energy_Revenue'!V14*-0.09999999999999998)*(1-'Dep_Tax'!V24)</x:f>
        <x:v>506.7311839995442</x:v>
      </x:c>
      <x:c r="W70" s="188" t="n">
        <x:f>'Equity_CF'!W20+('Energy_Revenue'!W14*-0.09999999999999998)*(1-'Dep_Tax'!W24)</x:f>
        <x:v>501.11423286005</x:v>
      </x:c>
      <x:c r="X70" s="188" t="n">
        <x:f>'Equity_CF'!X20+('Energy_Revenue'!X14*-0.09999999999999998)*(1-'Dep_Tax'!X24)</x:f>
        <x:v>495.36685203569</x:v>
      </x:c>
      <x:c r="Y70" s="188" t="n">
        <x:f>'Equity_CF'!Y20+('Energy_Revenue'!Y14*-0.09999999999999998)*(1-'Dep_Tax'!Y24)</x:f>
        <x:v>-1.1368683772161604e-14</x:v>
      </x:c>
      <x:c r="Z70" s="188" t="n">
        <x:f>'Equity_CF'!Z20+('Energy_Revenue'!Z14*-0.09999999999999998)*(1-'Dep_Tax'!Z24)</x:f>
        <x:v>-1.1368683772161604e-14</x:v>
      </x:c>
      <x:c r="AA70" s="188" t="n">
        <x:f>'Equity_CF'!AA20+('Energy_Revenue'!AA14*-0.09999999999999998)*(1-'Dep_Tax'!AA24)</x:f>
        <x:v>-1.1368683772161604e-14</x:v>
      </x:c>
      <x:c r="AB70" s="188" t="n">
        <x:f>'Equity_CF'!AB20+('Energy_Revenue'!AB14*-0.09999999999999998)*(1-'Dep_Tax'!AB24)</x:f>
        <x:v>-1.1368683772161604e-14</x:v>
      </x:c>
      <x:c r="AC70" s="188" t="n">
        <x:f>'Equity_CF'!AC20+('Energy_Revenue'!AC14*-0.09999999999999998)*(1-'Dep_Tax'!AC24)</x:f>
        <x:v>-1.1368683772161604e-14</x:v>
      </x:c>
      <x:c r="AD70" s="188" t="n">
        <x:f>'Equity_CF'!AD20+('Energy_Revenue'!AD14*-0.09999999999999998)*(1-'Dep_Tax'!AD24)</x:f>
        <x:v>-1.1368683772161604e-14</x:v>
      </x:c>
      <x:c r="AE70" s="188" t="n">
        <x:f>'Equity_CF'!AE20+('Energy_Revenue'!AE14*-0.09999999999999998)*(1-'Dep_Tax'!AE24)</x:f>
        <x:v>-1.1368683772161604e-14</x:v>
      </x:c>
      <x:c r="AF70" s="188" t="n">
        <x:f>'Equity_CF'!AF20+('Energy_Revenue'!AF14*-0.09999999999999998)*(1-'Dep_Tax'!AF24)</x:f>
        <x:v>-1.1368683772161604e-14</x:v>
      </x:c>
    </x:row>
    <x:row r="71">
      <x:c r="A71" s="128" t="str">
        <x:v>SEN-01-2</x:v>
      </x:c>
      <x:c r="B71" s="128" t="str">
        <x:v>Equity CF × 95%</x:v>
      </x:c>
      <x:c r="C71" s="188" t="n">
        <x:f>'Equity_CF'!C20+('Energy_Revenue'!C14*-0.050000000000000044)*(1-'Dep_Tax'!C24)</x:f>
        <x:v>-1009.9799999999999</x:v>
      </x:c>
      <x:c r="D71" s="188" t="n">
        <x:f>'Equity_CF'!D20+('Energy_Revenue'!D14*-0.050000000000000044)*(1-'Dep_Tax'!D24)</x:f>
        <x:v>-1389.4200000000005</x:v>
      </x:c>
      <x:c r="E71" s="188" t="n">
        <x:f>'Equity_CF'!E20+('Energy_Revenue'!E14*-0.050000000000000044)*(1-'Dep_Tax'!E24)</x:f>
        <x:v>319.3238711999999</x:v>
      </x:c>
      <x:c r="F71" s="188" t="n">
        <x:f>'Equity_CF'!F20+('Energy_Revenue'!F14*-0.050000000000000044)*(1-'Dep_Tax'!F24)</x:f>
        <x:v>12.101423457599978</x:v>
      </x:c>
      <x:c r="G71" s="188" t="n">
        <x:f>'Equity_CF'!G20+('Energy_Revenue'!G14*-0.050000000000000044)*(1-'Dep_Tax'!G24)</x:f>
        <x:v>39.58178461068497</x:v>
      </x:c>
      <x:c r="H71" s="188" t="n">
        <x:f>'Equity_CF'!H20+('Energy_Revenue'!H14*-0.050000000000000044)*(1-'Dep_Tax'!H24)</x:f>
        <x:v>66.96193496146358</x:v>
      </x:c>
      <x:c r="I71" s="188" t="n">
        <x:f>'Equity_CF'!I20+('Energy_Revenue'!I14*-0.050000000000000044)*(1-'Dep_Tax'!I24)</x:f>
        <x:v>88.08067620768347</x:v>
      </x:c>
      <x:c r="J71" s="188" t="n">
        <x:f>'Equity_CF'!J20+('Energy_Revenue'!J14*-0.050000000000000044)*(1-'Dep_Tax'!J24)</x:f>
        <x:v>113.8924663461098</x:v>
      </x:c>
      <x:c r="K71" s="188" t="n">
        <x:f>'Equity_CF'!K20+('Energy_Revenue'!K14*-0.050000000000000044)*(1-'Dep_Tax'!K24)</x:f>
        <x:v>139.59992451798462</x:v>
      </x:c>
      <x:c r="L71" s="188" t="n">
        <x:f>'Equity_CF'!L20+('Energy_Revenue'!L14*-0.050000000000000044)*(1-'Dep_Tax'!L24)</x:f>
        <x:v>165.19982278565223</x:v>
      </x:c>
      <x:c r="M71" s="188" t="n">
        <x:f>'Equity_CF'!M20+('Energy_Revenue'!M14*-0.050000000000000044)*(1-'Dep_Tax'!M24)</x:f>
        <x:v>190.6888365692857</x:v>
      </x:c>
      <x:c r="N71" s="188" t="n">
        <x:f>'Equity_CF'!N20+('Energy_Revenue'!N14*-0.050000000000000044)*(1-'Dep_Tax'!N24)</x:f>
        <x:v>216.06354174722864</x:v>
      </x:c>
      <x:c r="O71" s="188" t="n">
        <x:f>'Equity_CF'!O20+('Energy_Revenue'!O14*-0.050000000000000044)*(1-'Dep_Tax'!O24)</x:f>
        <x:v>241.32041166934755</x:v>
      </x:c>
      <x:c r="P71" s="188" t="n">
        <x:f>'Equity_CF'!P20+('Energy_Revenue'!P14*-0.050000000000000044)*(1-'Dep_Tax'!P24)</x:f>
        <x:v>266.4558140807908</x:v>
      </x:c>
      <x:c r="Q71" s="188" t="n">
        <x:f>'Equity_CF'!Q20+('Energy_Revenue'!Q14*-0.050000000000000044)*(1-'Dep_Tax'!Q24)</x:f>
        <x:v>616.9660079534547</x:v>
      </x:c>
      <x:c r="R71" s="188" t="n">
        <x:f>'Equity_CF'!R20+('Energy_Revenue'!R14*-0.050000000000000044)*(1-'Dep_Tax'!R24)</x:f>
        <x:v>594.3800275791137</x:v>
      </x:c>
      <x:c r="S71" s="188" t="n">
        <x:f>'Equity_CF'!S20+('Energy_Revenue'!S14*-0.050000000000000044)*(1-'Dep_Tax'!S24)</x:f>
        <x:v>588.530598086225</x:v>
      </x:c>
      <x:c r="T71" s="188" t="n">
        <x:f>'Equity_CF'!T20+('Energy_Revenue'!T14*-0.050000000000000044)*(1-'Dep_Tax'!T24)</x:f>
        <x:v>550.7763492508359</x:v>
      </x:c>
      <x:c r="U71" s="188" t="n">
        <x:f>'Equity_CF'!U20+('Energy_Revenue'!U14*-0.050000000000000044)*(1-'Dep_Tax'!U24)</x:f>
        <x:v>545.3423767618025</x:v>
      </x:c>
      <x:c r="V71" s="188" t="n">
        <x:f>'Equity_CF'!V20+('Energy_Revenue'!V14*-0.050000000000000044)*(1-'Dep_Tax'!V24)</x:f>
        <x:v>539.7857407000312</x:v>
      </x:c>
      <x:c r="W71" s="188" t="n">
        <x:f>'Equity_CF'!W20+('Energy_Revenue'!W14*-0.050000000000000044)*(1-'Dep_Tax'!W24)</x:f>
        <x:v>534.102680447136</x:v>
      </x:c>
      <x:c r="X71" s="188" t="n">
        <x:f>'Equity_CF'!X20+('Energy_Revenue'!X14*-0.050000000000000044)*(1-'Dep_Tax'!X24)</x:f>
        <x:v>528.2893227276018</x:v>
      </x:c>
      <x:c r="Y71" s="188" t="n">
        <x:f>'Equity_CF'!Y20+('Energy_Revenue'!Y14*-0.050000000000000044)*(1-'Dep_Tax'!Y24)</x:f>
        <x:v>-1.1368683772161604e-14</x:v>
      </x:c>
      <x:c r="Z71" s="188" t="n">
        <x:f>'Equity_CF'!Z20+('Energy_Revenue'!Z14*-0.050000000000000044)*(1-'Dep_Tax'!Z24)</x:f>
        <x:v>-1.1368683772161604e-14</x:v>
      </x:c>
      <x:c r="AA71" s="188" t="n">
        <x:f>'Equity_CF'!AA20+('Energy_Revenue'!AA14*-0.050000000000000044)*(1-'Dep_Tax'!AA24)</x:f>
        <x:v>-1.1368683772161604e-14</x:v>
      </x:c>
      <x:c r="AB71" s="188" t="n">
        <x:f>'Equity_CF'!AB20+('Energy_Revenue'!AB14*-0.050000000000000044)*(1-'Dep_Tax'!AB24)</x:f>
        <x:v>-1.1368683772161604e-14</x:v>
      </x:c>
      <x:c r="AC71" s="188" t="n">
        <x:f>'Equity_CF'!AC20+('Energy_Revenue'!AC14*-0.050000000000000044)*(1-'Dep_Tax'!AC24)</x:f>
        <x:v>-1.1368683772161604e-14</x:v>
      </x:c>
      <x:c r="AD71" s="188" t="n">
        <x:f>'Equity_CF'!AD20+('Energy_Revenue'!AD14*-0.050000000000000044)*(1-'Dep_Tax'!AD24)</x:f>
        <x:v>-1.1368683772161604e-14</x:v>
      </x:c>
      <x:c r="AE71" s="188" t="n">
        <x:f>'Equity_CF'!AE20+('Energy_Revenue'!AE14*-0.050000000000000044)*(1-'Dep_Tax'!AE24)</x:f>
        <x:v>-1.1368683772161604e-14</x:v>
      </x:c>
      <x:c r="AF71" s="188" t="n">
        <x:f>'Equity_CF'!AF20+('Energy_Revenue'!AF14*-0.050000000000000044)*(1-'Dep_Tax'!AF24)</x:f>
        <x:v>-1.1368683772161604e-14</x:v>
      </x:c>
    </x:row>
    <x:row r="72">
      <x:c r="A72" s="128" t="str">
        <x:v>SEN-01-3</x:v>
      </x:c>
      <x:c r="B72" s="128" t="str">
        <x:v>Equity CF × 100%</x:v>
      </x:c>
      <x:c r="C72" s="188" t="n">
        <x:f>'Equity_CF'!C20+('Energy_Revenue'!C14*0)*(1-'Dep_Tax'!C24)</x:f>
        <x:v>-1009.9799999999999</x:v>
      </x:c>
      <x:c r="D72" s="188" t="n">
        <x:f>'Equity_CF'!D20+('Energy_Revenue'!D14*0)*(1-'Dep_Tax'!D24)</x:f>
        <x:v>-1389.4200000000005</x:v>
      </x:c>
      <x:c r="E72" s="188" t="n">
        <x:f>'Equity_CF'!E20+('Energy_Revenue'!E14*0)*(1-'Dep_Tax'!E24)</x:f>
        <x:v>362.07249599999994</x:v>
      </x:c>
      <x:c r="F72" s="188" t="n">
        <x:f>'Equity_CF'!F20+('Energy_Revenue'!F14*0)*(1-'Dep_Tax'!F24)</x:f>
        <x:v>54.76455100800001</x:v>
      </x:c>
      <x:c r="G72" s="188" t="n">
        <x:f>'Equity_CF'!G20+('Energy_Revenue'!G14*0)*(1-'Dep_Tax'!G24)</x:f>
        <x:v>82.15958590598422</x:v>
      </x:c>
      <x:c r="H72" s="188" t="n">
        <x:f>'Equity_CF'!H20+('Energy_Revenue'!H14*0)*(1-'Dep_Tax'!H24)</x:f>
        <x:v>109.45458065417222</x:v>
      </x:c>
      <x:c r="I72" s="188" t="n">
        <x:f>'Equity_CF'!I20+('Energy_Revenue'!I14*0)*(1-'Dep_Tax'!I24)</x:f>
        <x:v>128.36795358894054</x:v>
      </x:c>
      <x:c r="J72" s="188" t="n">
        <x:f>'Equity_CF'!J20+('Energy_Revenue'!J14*0)*(1-'Dep_Tax'!J24)</x:f>
        <x:v>154.09916917260435</x:v>
      </x:c>
      <x:c r="K72" s="188" t="n">
        <x:f>'Equity_CF'!K20+('Energy_Revenue'!K14*0)*(1-'Dep_Tax'!K24)</x:f>
        <x:v>179.7262139388262</x:v>
      </x:c>
      <x:c r="L72" s="188" t="n">
        <x:f>'Equity_CF'!L20+('Energy_Revenue'!L14*0)*(1-'Dep_Tax'!L24)</x:f>
        <x:v>205.2458596276521</x:v>
      </x:c>
      <x:c r="M72" s="188" t="n">
        <x:f>'Equity_CF'!M20+('Energy_Revenue'!M14*0)*(1-'Dep_Tax'!M24)</x:f>
        <x:v>230.65478133760158</x:v>
      </x:c>
      <x:c r="N72" s="188" t="n">
        <x:f>'Equity_CF'!N20+('Energy_Revenue'!N14*0)*(1-'Dep_Tax'!N24)</x:f>
        <x:v>255.94955462600788</x:v>
      </x:c>
      <x:c r="O72" s="188" t="n">
        <x:f>'Equity_CF'!O20+('Energy_Revenue'!O14*0)*(1-'Dep_Tax'!O24)</x:f>
        <x:v>281.1266525223692</x:v>
      </x:c>
      <x:c r="P72" s="188" t="n">
        <x:f>'Equity_CF'!P20+('Energy_Revenue'!P14*0)*(1-'Dep_Tax'!P24)</x:f>
        <x:v>306.18244245210644</x:v>
      </x:c>
      <x:c r="Q72" s="188" t="n">
        <x:f>'Equity_CF'!Q20+('Energy_Revenue'!Q14*0)*(1-'Dep_Tax'!Q24)</x:f>
        <x:v>656.6131830680276</x:v>
      </x:c>
      <x:c r="R72" s="188" t="n">
        <x:f>'Equity_CF'!R20+('Energy_Revenue'!R14*0)*(1-'Dep_Tax'!R24)</x:f>
        <x:v>631.865388303229</x:v>
      </x:c>
      <x:c r="S72" s="188" t="n">
        <x:f>'Equity_CF'!S20+('Energy_Revenue'!S14*0)*(1-'Dep_Tax'!S24)</x:f>
        <x:v>625.940988088892</x:v>
      </x:c>
      <x:c r="T72" s="188" t="n">
        <x:f>'Equity_CF'!T20+('Energy_Revenue'!T14*0)*(1-'Dep_Tax'!T24)</x:f>
        <x:v>583.9635218932018</x:v>
      </x:c>
      <x:c r="U72" s="188" t="n">
        <x:f>'Equity_CF'!U20+('Energy_Revenue'!U14*0)*(1-'Dep_Tax'!U24)</x:f>
        <x:v>578.4631750588837</x:v>
      </x:c>
      <x:c r="V72" s="188" t="n">
        <x:f>'Equity_CF'!V20+('Energy_Revenue'!V14*0)*(1-'Dep_Tax'!V24)</x:f>
        <x:v>572.8402974005182</x:v>
      </x:c>
      <x:c r="W72" s="188" t="n">
        <x:f>'Equity_CF'!W20+('Energy_Revenue'!W14*0)*(1-'Dep_Tax'!W24)</x:f>
        <x:v>567.091128034222</x:v>
      </x:c>
      <x:c r="X72" s="188" t="n">
        <x:f>'Equity_CF'!X20+('Energy_Revenue'!X14*0)*(1-'Dep_Tax'!X24)</x:f>
        <x:v>561.2117934195137</x:v>
      </x:c>
      <x:c r="Y72" s="188" t="n">
        <x:f>'Equity_CF'!Y20+('Energy_Revenue'!Y14*0)*(1-'Dep_Tax'!Y24)</x:f>
        <x:v>-1.1368683772161604e-14</x:v>
      </x:c>
      <x:c r="Z72" s="188" t="n">
        <x:f>'Equity_CF'!Z20+('Energy_Revenue'!Z14*0)*(1-'Dep_Tax'!Z24)</x:f>
        <x:v>-1.1368683772161604e-14</x:v>
      </x:c>
      <x:c r="AA72" s="188" t="n">
        <x:f>'Equity_CF'!AA20+('Energy_Revenue'!AA14*0)*(1-'Dep_Tax'!AA24)</x:f>
        <x:v>-1.1368683772161604e-14</x:v>
      </x:c>
      <x:c r="AB72" s="188" t="n">
        <x:f>'Equity_CF'!AB20+('Energy_Revenue'!AB14*0)*(1-'Dep_Tax'!AB24)</x:f>
        <x:v>-1.1368683772161604e-14</x:v>
      </x:c>
      <x:c r="AC72" s="188" t="n">
        <x:f>'Equity_CF'!AC20+('Energy_Revenue'!AC14*0)*(1-'Dep_Tax'!AC24)</x:f>
        <x:v>-1.1368683772161604e-14</x:v>
      </x:c>
      <x:c r="AD72" s="188" t="n">
        <x:f>'Equity_CF'!AD20+('Energy_Revenue'!AD14*0)*(1-'Dep_Tax'!AD24)</x:f>
        <x:v>-1.1368683772161604e-14</x:v>
      </x:c>
      <x:c r="AE72" s="188" t="n">
        <x:f>'Equity_CF'!AE20+('Energy_Revenue'!AE14*0)*(1-'Dep_Tax'!AE24)</x:f>
        <x:v>-1.1368683772161604e-14</x:v>
      </x:c>
      <x:c r="AF72" s="188" t="n">
        <x:f>'Equity_CF'!AF20+('Energy_Revenue'!AF14*0)*(1-'Dep_Tax'!AF24)</x:f>
        <x:v>-1.1368683772161604e-14</x:v>
      </x:c>
    </x:row>
    <x:row r="73">
      <x:c r="A73" s="128" t="str">
        <x:v>SEN-01-4</x:v>
      </x:c>
      <x:c r="B73" s="128" t="str">
        <x:v>Equity CF × 105%</x:v>
      </x:c>
      <x:c r="C73" s="188" t="n">
        <x:f>'Equity_CF'!C20+('Energy_Revenue'!C14*0.050000000000000044)*(1-'Dep_Tax'!C24)</x:f>
        <x:v>-1009.9799999999999</x:v>
      </x:c>
      <x:c r="D73" s="188" t="n">
        <x:f>'Equity_CF'!D20+('Energy_Revenue'!D14*0.050000000000000044)*(1-'Dep_Tax'!D24)</x:f>
        <x:v>-1389.4200000000005</x:v>
      </x:c>
      <x:c r="E73" s="188" t="n">
        <x:f>'Equity_CF'!E20+('Energy_Revenue'!E14*0.050000000000000044)*(1-'Dep_Tax'!E24)</x:f>
        <x:v>404.82112079999996</x:v>
      </x:c>
      <x:c r="F73" s="188" t="n">
        <x:f>'Equity_CF'!F20+('Energy_Revenue'!F14*0.050000000000000044)*(1-'Dep_Tax'!F24)</x:f>
        <x:v>97.42767855840005</x:v>
      </x:c>
      <x:c r="G73" s="188" t="n">
        <x:f>'Equity_CF'!G20+('Energy_Revenue'!G14*0.050000000000000044)*(1-'Dep_Tax'!G24)</x:f>
        <x:v>124.73738720128347</x:v>
      </x:c>
      <x:c r="H73" s="188" t="n">
        <x:f>'Equity_CF'!H20+('Energy_Revenue'!H14*0.050000000000000044)*(1-'Dep_Tax'!H24)</x:f>
        <x:v>151.94722634688085</x:v>
      </x:c>
      <x:c r="I73" s="188" t="n">
        <x:f>'Equity_CF'!I20+('Energy_Revenue'!I14*0.050000000000000044)*(1-'Dep_Tax'!I24)</x:f>
        <x:v>168.6552309701976</x:v>
      </x:c>
      <x:c r="J73" s="188" t="n">
        <x:f>'Equity_CF'!J20+('Energy_Revenue'!J14*0.050000000000000044)*(1-'Dep_Tax'!J24)</x:f>
        <x:v>194.30587199909888</x:v>
      </x:c>
      <x:c r="K73" s="188" t="n">
        <x:f>'Equity_CF'!K20+('Energy_Revenue'!K14*0.050000000000000044)*(1-'Dep_Tax'!K24)</x:f>
        <x:v>219.85250335966776</x:v>
      </x:c>
      <x:c r="L73" s="188" t="n">
        <x:f>'Equity_CF'!L20+('Energy_Revenue'!L14*0.050000000000000044)*(1-'Dep_Tax'!L24)</x:f>
        <x:v>245.29189646965196</x:v>
      </x:c>
      <x:c r="M73" s="188" t="n">
        <x:f>'Equity_CF'!M20+('Energy_Revenue'!M14*0.050000000000000044)*(1-'Dep_Tax'!M24)</x:f>
        <x:v>270.62072610591747</x:v>
      </x:c>
      <x:c r="N73" s="188" t="n">
        <x:f>'Equity_CF'!N20+('Energy_Revenue'!N14*0.050000000000000044)*(1-'Dep_Tax'!N24)</x:f>
        <x:v>295.83556750478715</x:v>
      </x:c>
      <x:c r="O73" s="188" t="n">
        <x:f>'Equity_CF'!O20+('Energy_Revenue'!O14*0.050000000000000044)*(1-'Dep_Tax'!O24)</x:f>
        <x:v>320.9328933753909</x:v>
      </x:c>
      <x:c r="P73" s="188" t="n">
        <x:f>'Equity_CF'!P20+('Energy_Revenue'!P14*0.050000000000000044)*(1-'Dep_Tax'!P24)</x:f>
        <x:v>345.9090708234221</x:v>
      </x:c>
      <x:c r="Q73" s="188" t="n">
        <x:f>'Equity_CF'!Q20+('Energy_Revenue'!Q14*0.050000000000000044)*(1-'Dep_Tax'!Q24)</x:f>
        <x:v>696.2603581826006</x:v>
      </x:c>
      <x:c r="R73" s="188" t="n">
        <x:f>'Equity_CF'!R20+('Energy_Revenue'!R14*0.050000000000000044)*(1-'Dep_Tax'!R24)</x:f>
        <x:v>669.3507490273442</x:v>
      </x:c>
      <x:c r="S73" s="188" t="n">
        <x:f>'Equity_CF'!S20+('Energy_Revenue'!S14*0.050000000000000044)*(1-'Dep_Tax'!S24)</x:f>
        <x:v>663.351378091559</x:v>
      </x:c>
      <x:c r="T73" s="188" t="n">
        <x:f>'Equity_CF'!T20+('Energy_Revenue'!T14*0.050000000000000044)*(1-'Dep_Tax'!T24)</x:f>
        <x:v>617.1506945355677</x:v>
      </x:c>
      <x:c r="U73" s="188" t="n">
        <x:f>'Equity_CF'!U20+('Energy_Revenue'!U14*0.050000000000000044)*(1-'Dep_Tax'!U24)</x:f>
        <x:v>611.583973355965</x:v>
      </x:c>
      <x:c r="V73" s="188" t="n">
        <x:f>'Equity_CF'!V20+('Energy_Revenue'!V14*0.050000000000000044)*(1-'Dep_Tax'!V24)</x:f>
        <x:v>605.8948541010053</x:v>
      </x:c>
      <x:c r="W73" s="188" t="n">
        <x:f>'Equity_CF'!W20+('Energy_Revenue'!W14*0.050000000000000044)*(1-'Dep_Tax'!W24)</x:f>
        <x:v>600.0795756213081</x:v>
      </x:c>
      <x:c r="X73" s="188" t="n">
        <x:f>'Equity_CF'!X20+('Energy_Revenue'!X14*0.050000000000000044)*(1-'Dep_Tax'!X24)</x:f>
        <x:v>594.1342641114256</x:v>
      </x:c>
      <x:c r="Y73" s="188" t="n">
        <x:f>'Equity_CF'!Y20+('Energy_Revenue'!Y14*0.050000000000000044)*(1-'Dep_Tax'!Y24)</x:f>
        <x:v>-1.1368683772161604e-14</x:v>
      </x:c>
      <x:c r="Z73" s="188" t="n">
        <x:f>'Equity_CF'!Z20+('Energy_Revenue'!Z14*0.050000000000000044)*(1-'Dep_Tax'!Z24)</x:f>
        <x:v>-1.1368683772161604e-14</x:v>
      </x:c>
      <x:c r="AA73" s="188" t="n">
        <x:f>'Equity_CF'!AA20+('Energy_Revenue'!AA14*0.050000000000000044)*(1-'Dep_Tax'!AA24)</x:f>
        <x:v>-1.1368683772161604e-14</x:v>
      </x:c>
      <x:c r="AB73" s="188" t="n">
        <x:f>'Equity_CF'!AB20+('Energy_Revenue'!AB14*0.050000000000000044)*(1-'Dep_Tax'!AB24)</x:f>
        <x:v>-1.1368683772161604e-14</x:v>
      </x:c>
      <x:c r="AC73" s="188" t="n">
        <x:f>'Equity_CF'!AC20+('Energy_Revenue'!AC14*0.050000000000000044)*(1-'Dep_Tax'!AC24)</x:f>
        <x:v>-1.1368683772161604e-14</x:v>
      </x:c>
      <x:c r="AD73" s="188" t="n">
        <x:f>'Equity_CF'!AD20+('Energy_Revenue'!AD14*0.050000000000000044)*(1-'Dep_Tax'!AD24)</x:f>
        <x:v>-1.1368683772161604e-14</x:v>
      </x:c>
      <x:c r="AE73" s="188" t="n">
        <x:f>'Equity_CF'!AE20+('Energy_Revenue'!AE14*0.050000000000000044)*(1-'Dep_Tax'!AE24)</x:f>
        <x:v>-1.1368683772161604e-14</x:v>
      </x:c>
      <x:c r="AF73" s="188" t="n">
        <x:f>'Equity_CF'!AF20+('Energy_Revenue'!AF14*0.050000000000000044)*(1-'Dep_Tax'!AF24)</x:f>
        <x:v>-1.1368683772161604e-14</x:v>
      </x:c>
    </x:row>
    <x:row r="74">
      <x:c r="A74" s="128" t="str">
        <x:v>SEN-01-5</x:v>
      </x:c>
      <x:c r="B74" s="128" t="str">
        <x:v>Equity CF × 110%</x:v>
      </x:c>
      <x:c r="C74" s="188" t="n">
        <x:f>'Equity_CF'!C20+('Energy_Revenue'!C14*0.10000000000000009)*(1-'Dep_Tax'!C24)</x:f>
        <x:v>-1009.9799999999999</x:v>
      </x:c>
      <x:c r="D74" s="188" t="n">
        <x:f>'Equity_CF'!D20+('Energy_Revenue'!D14*0.10000000000000009)*(1-'Dep_Tax'!D24)</x:f>
        <x:v>-1389.4200000000005</x:v>
      </x:c>
      <x:c r="E74" s="188" t="n">
        <x:f>'Equity_CF'!E20+('Energy_Revenue'!E14*0.10000000000000009)*(1-'Dep_Tax'!E24)</x:f>
        <x:v>447.56974560000003</x:v>
      </x:c>
      <x:c r="F74" s="188" t="n">
        <x:f>'Equity_CF'!F20+('Energy_Revenue'!F14*0.10000000000000009)*(1-'Dep_Tax'!F24)</x:f>
        <x:v>140.09080610880008</x:v>
      </x:c>
      <x:c r="G74" s="188" t="n">
        <x:f>'Equity_CF'!G20+('Energy_Revenue'!G14*0.10000000000000009)*(1-'Dep_Tax'!G24)</x:f>
        <x:v>167.31518849658272</x:v>
      </x:c>
      <x:c r="H74" s="188" t="n">
        <x:f>'Equity_CF'!H20+('Energy_Revenue'!H14*0.10000000000000009)*(1-'Dep_Tax'!H24)</x:f>
        <x:v>194.4398720395895</x:v>
      </x:c>
      <x:c r="I74" s="188" t="n">
        <x:f>'Equity_CF'!I20+('Energy_Revenue'!I14*0.10000000000000009)*(1-'Dep_Tax'!I24)</x:f>
        <x:v>208.94250835145465</x:v>
      </x:c>
      <x:c r="J74" s="188" t="n">
        <x:f>'Equity_CF'!J20+('Energy_Revenue'!J14*0.10000000000000009)*(1-'Dep_Tax'!J24)</x:f>
        <x:v>234.51257482559345</x:v>
      </x:c>
      <x:c r="K74" s="188" t="n">
        <x:f>'Equity_CF'!K20+('Energy_Revenue'!K14*0.10000000000000009)*(1-'Dep_Tax'!K24)</x:f>
        <x:v>259.9787927805093</x:v>
      </x:c>
      <x:c r="L74" s="188" t="n">
        <x:f>'Equity_CF'!L20+('Energy_Revenue'!L14*0.10000000000000009)*(1-'Dep_Tax'!L24)</x:f>
        <x:v>285.33793331165185</x:v>
      </x:c>
      <x:c r="M74" s="188" t="n">
        <x:f>'Equity_CF'!M20+('Energy_Revenue'!M14*0.10000000000000009)*(1-'Dep_Tax'!M24)</x:f>
        <x:v>310.58667087423333</x:v>
      </x:c>
      <x:c r="N74" s="188" t="n">
        <x:f>'Equity_CF'!N20+('Energy_Revenue'!N14*0.10000000000000009)*(1-'Dep_Tax'!N24)</x:f>
        <x:v>335.7215803835664</x:v>
      </x:c>
      <x:c r="O74" s="188" t="n">
        <x:f>'Equity_CF'!O20+('Energy_Revenue'!O14*0.10000000000000009)*(1-'Dep_Tax'!O24)</x:f>
        <x:v>360.7391342284126</x:v>
      </x:c>
      <x:c r="P74" s="188" t="n">
        <x:f>'Equity_CF'!P20+('Energy_Revenue'!P14*0.10000000000000009)*(1-'Dep_Tax'!P24)</x:f>
        <x:v>385.63569919473775</x:v>
      </x:c>
      <x:c r="Q74" s="188" t="n">
        <x:f>'Equity_CF'!Q20+('Energy_Revenue'!Q14*0.10000000000000009)*(1-'Dep_Tax'!Q24)</x:f>
        <x:v>735.9075332971737</x:v>
      </x:c>
      <x:c r="R74" s="188" t="n">
        <x:f>'Equity_CF'!R20+('Energy_Revenue'!R14*0.10000000000000009)*(1-'Dep_Tax'!R24)</x:f>
        <x:v>706.8361097514595</x:v>
      </x:c>
      <x:c r="S74" s="188" t="n">
        <x:f>'Equity_CF'!S20+('Energy_Revenue'!S14*0.10000000000000009)*(1-'Dep_Tax'!S24)</x:f>
        <x:v>700.761768094226</x:v>
      </x:c>
      <x:c r="T74" s="188" t="n">
        <x:f>'Equity_CF'!T20+('Energy_Revenue'!T14*0.10000000000000009)*(1-'Dep_Tax'!T24)</x:f>
        <x:v>650.3378671779337</x:v>
      </x:c>
      <x:c r="U74" s="188" t="n">
        <x:f>'Equity_CF'!U20+('Energy_Revenue'!U14*0.10000000000000009)*(1-'Dep_Tax'!U24)</x:f>
        <x:v>644.7047716530461</x:v>
      </x:c>
      <x:c r="V74" s="188" t="n">
        <x:f>'Equity_CF'!V20+('Energy_Revenue'!V14*0.10000000000000009)*(1-'Dep_Tax'!V24)</x:f>
        <x:v>638.9494108014924</x:v>
      </x:c>
      <x:c r="W74" s="188" t="n">
        <x:f>'Equity_CF'!W20+('Energy_Revenue'!W14*0.10000000000000009)*(1-'Dep_Tax'!W24)</x:f>
        <x:v>633.0680232083942</x:v>
      </x:c>
      <x:c r="X74" s="188" t="n">
        <x:f>'Equity_CF'!X20+('Energy_Revenue'!X14*0.10000000000000009)*(1-'Dep_Tax'!X24)</x:f>
        <x:v>627.0567348033375</x:v>
      </x:c>
      <x:c r="Y74" s="188" t="n">
        <x:f>'Equity_CF'!Y20+('Energy_Revenue'!Y14*0.10000000000000009)*(1-'Dep_Tax'!Y24)</x:f>
        <x:v>-1.1368683772161604e-14</x:v>
      </x:c>
      <x:c r="Z74" s="188" t="n">
        <x:f>'Equity_CF'!Z20+('Energy_Revenue'!Z14*0.10000000000000009)*(1-'Dep_Tax'!Z24)</x:f>
        <x:v>-1.1368683772161604e-14</x:v>
      </x:c>
      <x:c r="AA74" s="188" t="n">
        <x:f>'Equity_CF'!AA20+('Energy_Revenue'!AA14*0.10000000000000009)*(1-'Dep_Tax'!AA24)</x:f>
        <x:v>-1.1368683772161604e-14</x:v>
      </x:c>
      <x:c r="AB74" s="188" t="n">
        <x:f>'Equity_CF'!AB20+('Energy_Revenue'!AB14*0.10000000000000009)*(1-'Dep_Tax'!AB24)</x:f>
        <x:v>-1.1368683772161604e-14</x:v>
      </x:c>
      <x:c r="AC74" s="188" t="n">
        <x:f>'Equity_CF'!AC20+('Energy_Revenue'!AC14*0.10000000000000009)*(1-'Dep_Tax'!AC24)</x:f>
        <x:v>-1.1368683772161604e-14</x:v>
      </x:c>
      <x:c r="AD74" s="188" t="n">
        <x:f>'Equity_CF'!AD20+('Energy_Revenue'!AD14*0.10000000000000009)*(1-'Dep_Tax'!AD24)</x:f>
        <x:v>-1.1368683772161604e-14</x:v>
      </x:c>
      <x:c r="AE74" s="188" t="n">
        <x:f>'Equity_CF'!AE20+('Energy_Revenue'!AE14*0.10000000000000009)*(1-'Dep_Tax'!AE24)</x:f>
        <x:v>-1.1368683772161604e-14</x:v>
      </x:c>
      <x:c r="AF74" s="188" t="n">
        <x:f>'Equity_CF'!AF20+('Energy_Revenue'!AF14*0.10000000000000009)*(1-'Dep_Tax'!AF24)</x:f>
        <x:v>-1.1368683772161604e-14</x:v>
      </x:c>
    </x:row>
    <x:row r="75">
      <x:c r="A75" s="128" t="str">
        <x:v>SEN-02-1</x:v>
      </x:c>
      <x:c r="B75" s="128" t="str">
        <x:v>Equity CF × 90%</x:v>
      </x:c>
      <x:c r="C75" s="188" t="n">
        <x:f>'Equity_CF'!C20+('Energy_Revenue'!C14*-0.09999999999999998)*(1-'Dep_Tax'!C24)</x:f>
        <x:v>-1009.9799999999999</x:v>
      </x:c>
      <x:c r="D75" s="188" t="n">
        <x:f>'Equity_CF'!D20+('Energy_Revenue'!D14*-0.09999999999999998)*(1-'Dep_Tax'!D24)</x:f>
        <x:v>-1389.4200000000005</x:v>
      </x:c>
      <x:c r="E75" s="188" t="n">
        <x:f>'Equity_CF'!E20+('Energy_Revenue'!E14*-0.09999999999999998)*(1-'Dep_Tax'!E24)</x:f>
        <x:v>276.57524639999997</x:v>
      </x:c>
      <x:c r="F75" s="188" t="n">
        <x:f>'Equity_CF'!F20+('Energy_Revenue'!F14*-0.09999999999999998)*(1-'Dep_Tax'!F24)</x:f>
        <x:v>-30.561704092799957</x:v>
      </x:c>
      <x:c r="G75" s="188" t="n">
        <x:f>'Equity_CF'!G20+('Energy_Revenue'!G14*-0.09999999999999998)*(1-'Dep_Tax'!G24)</x:f>
        <x:v>-2.996016684614176</x:v>
      </x:c>
      <x:c r="H75" s="188" t="n">
        <x:f>'Equity_CF'!H20+('Energy_Revenue'!H14*-0.09999999999999998)*(1-'Dep_Tax'!H24)</x:f>
        <x:v>24.46928926875502</x:v>
      </x:c>
      <x:c r="I75" s="188" t="n">
        <x:f>'Equity_CF'!I20+('Energy_Revenue'!I14*-0.09999999999999998)*(1-'Dep_Tax'!I24)</x:f>
        <x:v>47.79339882642651</x:v>
      </x:c>
      <x:c r="J75" s="188" t="n">
        <x:f>'Equity_CF'!J20+('Energy_Revenue'!J14*-0.09999999999999998)*(1-'Dep_Tax'!J24)</x:f>
        <x:v>73.68576351961534</x:v>
      </x:c>
      <x:c r="K75" s="188" t="n">
        <x:f>'Equity_CF'!K20+('Energy_Revenue'!K14*-0.09999999999999998)*(1-'Dep_Tax'!K24)</x:f>
        <x:v>99.47363509714314</x:v>
      </x:c>
      <x:c r="L75" s="188" t="n">
        <x:f>'Equity_CF'!L20+('Energy_Revenue'!L14*-0.09999999999999998)*(1-'Dep_Tax'!L24)</x:f>
        <x:v>125.15378594365244</x:v>
      </x:c>
      <x:c r="M75" s="188" t="n">
        <x:f>'Equity_CF'!M20+('Energy_Revenue'!M14*-0.09999999999999998)*(1-'Dep_Tax'!M24)</x:f>
        <x:v>150.72289180096993</x:v>
      </x:c>
      <x:c r="N75" s="188" t="n">
        <x:f>'Equity_CF'!N20+('Energy_Revenue'!N14*-0.09999999999999998)*(1-'Dep_Tax'!N24)</x:f>
        <x:v>176.17752886844949</x:v>
      </x:c>
      <x:c r="O75" s="188" t="n">
        <x:f>'Equity_CF'!O20+('Energy_Revenue'!O14*-0.09999999999999998)*(1-'Dep_Tax'!O24)</x:f>
        <x:v>201.51417081632593</x:v>
      </x:c>
      <x:c r="P75" s="188" t="n">
        <x:f>'Equity_CF'!P20+('Energy_Revenue'!P14*-0.09999999999999998)*(1-'Dep_Tax'!P24)</x:f>
        <x:v>226.72918570947525</x:v>
      </x:c>
      <x:c r="Q75" s="188" t="n">
        <x:f>'Equity_CF'!Q20+('Energy_Revenue'!Q14*-0.09999999999999998)*(1-'Dep_Tax'!Q24)</x:f>
        <x:v>577.3188328388817</x:v>
      </x:c>
      <x:c r="R75" s="188" t="n">
        <x:f>'Equity_CF'!R20+('Energy_Revenue'!R14*-0.09999999999999998)*(1-'Dep_Tax'!R24)</x:f>
        <x:v>556.8946668549986</x:v>
      </x:c>
      <x:c r="S75" s="188" t="n">
        <x:f>'Equity_CF'!S20+('Energy_Revenue'!S14*-0.09999999999999998)*(1-'Dep_Tax'!S24)</x:f>
        <x:v>551.120208083558</x:v>
      </x:c>
      <x:c r="T75" s="188" t="n">
        <x:f>'Equity_CF'!T20+('Energy_Revenue'!T14*-0.09999999999999998)*(1-'Dep_Tax'!T24)</x:f>
        <x:v>517.58917660847</x:v>
      </x:c>
      <x:c r="U75" s="188" t="n">
        <x:f>'Equity_CF'!U20+('Energy_Revenue'!U14*-0.09999999999999998)*(1-'Dep_Tax'!U24)</x:f>
        <x:v>512.2215784647213</x:v>
      </x:c>
      <x:c r="V75" s="188" t="n">
        <x:f>'Equity_CF'!V20+('Energy_Revenue'!V14*-0.09999999999999998)*(1-'Dep_Tax'!V24)</x:f>
        <x:v>506.7311839995442</x:v>
      </x:c>
      <x:c r="W75" s="188" t="n">
        <x:f>'Equity_CF'!W20+('Energy_Revenue'!W14*-0.09999999999999998)*(1-'Dep_Tax'!W24)</x:f>
        <x:v>501.11423286005</x:v>
      </x:c>
      <x:c r="X75" s="188" t="n">
        <x:f>'Equity_CF'!X20+('Energy_Revenue'!X14*-0.09999999999999998)*(1-'Dep_Tax'!X24)</x:f>
        <x:v>495.36685203569</x:v>
      </x:c>
      <x:c r="Y75" s="188" t="n">
        <x:f>'Equity_CF'!Y20+('Energy_Revenue'!Y14*-0.09999999999999998)*(1-'Dep_Tax'!Y24)</x:f>
        <x:v>-1.1368683772161604e-14</x:v>
      </x:c>
      <x:c r="Z75" s="188" t="n">
        <x:f>'Equity_CF'!Z20+('Energy_Revenue'!Z14*-0.09999999999999998)*(1-'Dep_Tax'!Z24)</x:f>
        <x:v>-1.1368683772161604e-14</x:v>
      </x:c>
      <x:c r="AA75" s="188" t="n">
        <x:f>'Equity_CF'!AA20+('Energy_Revenue'!AA14*-0.09999999999999998)*(1-'Dep_Tax'!AA24)</x:f>
        <x:v>-1.1368683772161604e-14</x:v>
      </x:c>
      <x:c r="AB75" s="188" t="n">
        <x:f>'Equity_CF'!AB20+('Energy_Revenue'!AB14*-0.09999999999999998)*(1-'Dep_Tax'!AB24)</x:f>
        <x:v>-1.1368683772161604e-14</x:v>
      </x:c>
      <x:c r="AC75" s="188" t="n">
        <x:f>'Equity_CF'!AC20+('Energy_Revenue'!AC14*-0.09999999999999998)*(1-'Dep_Tax'!AC24)</x:f>
        <x:v>-1.1368683772161604e-14</x:v>
      </x:c>
      <x:c r="AD75" s="188" t="n">
        <x:f>'Equity_CF'!AD20+('Energy_Revenue'!AD14*-0.09999999999999998)*(1-'Dep_Tax'!AD24)</x:f>
        <x:v>-1.1368683772161604e-14</x:v>
      </x:c>
      <x:c r="AE75" s="188" t="n">
        <x:f>'Equity_CF'!AE20+('Energy_Revenue'!AE14*-0.09999999999999998)*(1-'Dep_Tax'!AE24)</x:f>
        <x:v>-1.1368683772161604e-14</x:v>
      </x:c>
      <x:c r="AF75" s="188" t="n">
        <x:f>'Equity_CF'!AF20+('Energy_Revenue'!AF14*-0.09999999999999998)*(1-'Dep_Tax'!AF24)</x:f>
        <x:v>-1.1368683772161604e-14</x:v>
      </x:c>
    </x:row>
    <x:row r="76">
      <x:c r="A76" s="128" t="str">
        <x:v>SEN-02-2</x:v>
      </x:c>
      <x:c r="B76" s="128" t="str">
        <x:v>Equity CF × 95%</x:v>
      </x:c>
      <x:c r="C76" s="188" t="n">
        <x:f>'Equity_CF'!C20+('Energy_Revenue'!C14*-0.050000000000000044)*(1-'Dep_Tax'!C24)</x:f>
        <x:v>-1009.9799999999999</x:v>
      </x:c>
      <x:c r="D76" s="188" t="n">
        <x:f>'Equity_CF'!D20+('Energy_Revenue'!D14*-0.050000000000000044)*(1-'Dep_Tax'!D24)</x:f>
        <x:v>-1389.4200000000005</x:v>
      </x:c>
      <x:c r="E76" s="188" t="n">
        <x:f>'Equity_CF'!E20+('Energy_Revenue'!E14*-0.050000000000000044)*(1-'Dep_Tax'!E24)</x:f>
        <x:v>319.3238711999999</x:v>
      </x:c>
      <x:c r="F76" s="188" t="n">
        <x:f>'Equity_CF'!F20+('Energy_Revenue'!F14*-0.050000000000000044)*(1-'Dep_Tax'!F24)</x:f>
        <x:v>12.101423457599978</x:v>
      </x:c>
      <x:c r="G76" s="188" t="n">
        <x:f>'Equity_CF'!G20+('Energy_Revenue'!G14*-0.050000000000000044)*(1-'Dep_Tax'!G24)</x:f>
        <x:v>39.58178461068497</x:v>
      </x:c>
      <x:c r="H76" s="188" t="n">
        <x:f>'Equity_CF'!H20+('Energy_Revenue'!H14*-0.050000000000000044)*(1-'Dep_Tax'!H24)</x:f>
        <x:v>66.96193496146358</x:v>
      </x:c>
      <x:c r="I76" s="188" t="n">
        <x:f>'Equity_CF'!I20+('Energy_Revenue'!I14*-0.050000000000000044)*(1-'Dep_Tax'!I24)</x:f>
        <x:v>88.08067620768347</x:v>
      </x:c>
      <x:c r="J76" s="188" t="n">
        <x:f>'Equity_CF'!J20+('Energy_Revenue'!J14*-0.050000000000000044)*(1-'Dep_Tax'!J24)</x:f>
        <x:v>113.8924663461098</x:v>
      </x:c>
      <x:c r="K76" s="188" t="n">
        <x:f>'Equity_CF'!K20+('Energy_Revenue'!K14*-0.050000000000000044)*(1-'Dep_Tax'!K24)</x:f>
        <x:v>139.59992451798462</x:v>
      </x:c>
      <x:c r="L76" s="188" t="n">
        <x:f>'Equity_CF'!L20+('Energy_Revenue'!L14*-0.050000000000000044)*(1-'Dep_Tax'!L24)</x:f>
        <x:v>165.19982278565223</x:v>
      </x:c>
      <x:c r="M76" s="188" t="n">
        <x:f>'Equity_CF'!M20+('Energy_Revenue'!M14*-0.050000000000000044)*(1-'Dep_Tax'!M24)</x:f>
        <x:v>190.6888365692857</x:v>
      </x:c>
      <x:c r="N76" s="188" t="n">
        <x:f>'Equity_CF'!N20+('Energy_Revenue'!N14*-0.050000000000000044)*(1-'Dep_Tax'!N24)</x:f>
        <x:v>216.06354174722864</x:v>
      </x:c>
      <x:c r="O76" s="188" t="n">
        <x:f>'Equity_CF'!O20+('Energy_Revenue'!O14*-0.050000000000000044)*(1-'Dep_Tax'!O24)</x:f>
        <x:v>241.32041166934755</x:v>
      </x:c>
      <x:c r="P76" s="188" t="n">
        <x:f>'Equity_CF'!P20+('Energy_Revenue'!P14*-0.050000000000000044)*(1-'Dep_Tax'!P24)</x:f>
        <x:v>266.4558140807908</x:v>
      </x:c>
      <x:c r="Q76" s="188" t="n">
        <x:f>'Equity_CF'!Q20+('Energy_Revenue'!Q14*-0.050000000000000044)*(1-'Dep_Tax'!Q24)</x:f>
        <x:v>616.9660079534547</x:v>
      </x:c>
      <x:c r="R76" s="188" t="n">
        <x:f>'Equity_CF'!R20+('Energy_Revenue'!R14*-0.050000000000000044)*(1-'Dep_Tax'!R24)</x:f>
        <x:v>594.3800275791137</x:v>
      </x:c>
      <x:c r="S76" s="188" t="n">
        <x:f>'Equity_CF'!S20+('Energy_Revenue'!S14*-0.050000000000000044)*(1-'Dep_Tax'!S24)</x:f>
        <x:v>588.530598086225</x:v>
      </x:c>
      <x:c r="T76" s="188" t="n">
        <x:f>'Equity_CF'!T20+('Energy_Revenue'!T14*-0.050000000000000044)*(1-'Dep_Tax'!T24)</x:f>
        <x:v>550.7763492508359</x:v>
      </x:c>
      <x:c r="U76" s="188" t="n">
        <x:f>'Equity_CF'!U20+('Energy_Revenue'!U14*-0.050000000000000044)*(1-'Dep_Tax'!U24)</x:f>
        <x:v>545.3423767618025</x:v>
      </x:c>
      <x:c r="V76" s="188" t="n">
        <x:f>'Equity_CF'!V20+('Energy_Revenue'!V14*-0.050000000000000044)*(1-'Dep_Tax'!V24)</x:f>
        <x:v>539.7857407000312</x:v>
      </x:c>
      <x:c r="W76" s="188" t="n">
        <x:f>'Equity_CF'!W20+('Energy_Revenue'!W14*-0.050000000000000044)*(1-'Dep_Tax'!W24)</x:f>
        <x:v>534.102680447136</x:v>
      </x:c>
      <x:c r="X76" s="188" t="n">
        <x:f>'Equity_CF'!X20+('Energy_Revenue'!X14*-0.050000000000000044)*(1-'Dep_Tax'!X24)</x:f>
        <x:v>528.2893227276018</x:v>
      </x:c>
      <x:c r="Y76" s="188" t="n">
        <x:f>'Equity_CF'!Y20+('Energy_Revenue'!Y14*-0.050000000000000044)*(1-'Dep_Tax'!Y24)</x:f>
        <x:v>-1.1368683772161604e-14</x:v>
      </x:c>
      <x:c r="Z76" s="188" t="n">
        <x:f>'Equity_CF'!Z20+('Energy_Revenue'!Z14*-0.050000000000000044)*(1-'Dep_Tax'!Z24)</x:f>
        <x:v>-1.1368683772161604e-14</x:v>
      </x:c>
      <x:c r="AA76" s="188" t="n">
        <x:f>'Equity_CF'!AA20+('Energy_Revenue'!AA14*-0.050000000000000044)*(1-'Dep_Tax'!AA24)</x:f>
        <x:v>-1.1368683772161604e-14</x:v>
      </x:c>
      <x:c r="AB76" s="188" t="n">
        <x:f>'Equity_CF'!AB20+('Energy_Revenue'!AB14*-0.050000000000000044)*(1-'Dep_Tax'!AB24)</x:f>
        <x:v>-1.1368683772161604e-14</x:v>
      </x:c>
      <x:c r="AC76" s="188" t="n">
        <x:f>'Equity_CF'!AC20+('Energy_Revenue'!AC14*-0.050000000000000044)*(1-'Dep_Tax'!AC24)</x:f>
        <x:v>-1.1368683772161604e-14</x:v>
      </x:c>
      <x:c r="AD76" s="188" t="n">
        <x:f>'Equity_CF'!AD20+('Energy_Revenue'!AD14*-0.050000000000000044)*(1-'Dep_Tax'!AD24)</x:f>
        <x:v>-1.1368683772161604e-14</x:v>
      </x:c>
      <x:c r="AE76" s="188" t="n">
        <x:f>'Equity_CF'!AE20+('Energy_Revenue'!AE14*-0.050000000000000044)*(1-'Dep_Tax'!AE24)</x:f>
        <x:v>-1.1368683772161604e-14</x:v>
      </x:c>
      <x:c r="AF76" s="188" t="n">
        <x:f>'Equity_CF'!AF20+('Energy_Revenue'!AF14*-0.050000000000000044)*(1-'Dep_Tax'!AF24)</x:f>
        <x:v>-1.1368683772161604e-14</x:v>
      </x:c>
    </x:row>
    <x:row r="77">
      <x:c r="A77" s="128" t="str">
        <x:v>SEN-02-3</x:v>
      </x:c>
      <x:c r="B77" s="128" t="str">
        <x:v>Equity CF × 100%</x:v>
      </x:c>
      <x:c r="C77" s="188" t="n">
        <x:f>'Equity_CF'!C20+('Energy_Revenue'!C14*0)*(1-'Dep_Tax'!C24)</x:f>
        <x:v>-1009.9799999999999</x:v>
      </x:c>
      <x:c r="D77" s="188" t="n">
        <x:f>'Equity_CF'!D20+('Energy_Revenue'!D14*0)*(1-'Dep_Tax'!D24)</x:f>
        <x:v>-1389.4200000000005</x:v>
      </x:c>
      <x:c r="E77" s="188" t="n">
        <x:f>'Equity_CF'!E20+('Energy_Revenue'!E14*0)*(1-'Dep_Tax'!E24)</x:f>
        <x:v>362.07249599999994</x:v>
      </x:c>
      <x:c r="F77" s="188" t="n">
        <x:f>'Equity_CF'!F20+('Energy_Revenue'!F14*0)*(1-'Dep_Tax'!F24)</x:f>
        <x:v>54.76455100800001</x:v>
      </x:c>
      <x:c r="G77" s="188" t="n">
        <x:f>'Equity_CF'!G20+('Energy_Revenue'!G14*0)*(1-'Dep_Tax'!G24)</x:f>
        <x:v>82.15958590598422</x:v>
      </x:c>
      <x:c r="H77" s="188" t="n">
        <x:f>'Equity_CF'!H20+('Energy_Revenue'!H14*0)*(1-'Dep_Tax'!H24)</x:f>
        <x:v>109.45458065417222</x:v>
      </x:c>
      <x:c r="I77" s="188" t="n">
        <x:f>'Equity_CF'!I20+('Energy_Revenue'!I14*0)*(1-'Dep_Tax'!I24)</x:f>
        <x:v>128.36795358894054</x:v>
      </x:c>
      <x:c r="J77" s="188" t="n">
        <x:f>'Equity_CF'!J20+('Energy_Revenue'!J14*0)*(1-'Dep_Tax'!J24)</x:f>
        <x:v>154.09916917260435</x:v>
      </x:c>
      <x:c r="K77" s="188" t="n">
        <x:f>'Equity_CF'!K20+('Energy_Revenue'!K14*0)*(1-'Dep_Tax'!K24)</x:f>
        <x:v>179.7262139388262</x:v>
      </x:c>
      <x:c r="L77" s="188" t="n">
        <x:f>'Equity_CF'!L20+('Energy_Revenue'!L14*0)*(1-'Dep_Tax'!L24)</x:f>
        <x:v>205.2458596276521</x:v>
      </x:c>
      <x:c r="M77" s="188" t="n">
        <x:f>'Equity_CF'!M20+('Energy_Revenue'!M14*0)*(1-'Dep_Tax'!M24)</x:f>
        <x:v>230.65478133760158</x:v>
      </x:c>
      <x:c r="N77" s="188" t="n">
        <x:f>'Equity_CF'!N20+('Energy_Revenue'!N14*0)*(1-'Dep_Tax'!N24)</x:f>
        <x:v>255.94955462600788</x:v>
      </x:c>
      <x:c r="O77" s="188" t="n">
        <x:f>'Equity_CF'!O20+('Energy_Revenue'!O14*0)*(1-'Dep_Tax'!O24)</x:f>
        <x:v>281.1266525223692</x:v>
      </x:c>
      <x:c r="P77" s="188" t="n">
        <x:f>'Equity_CF'!P20+('Energy_Revenue'!P14*0)*(1-'Dep_Tax'!P24)</x:f>
        <x:v>306.18244245210644</x:v>
      </x:c>
      <x:c r="Q77" s="188" t="n">
        <x:f>'Equity_CF'!Q20+('Energy_Revenue'!Q14*0)*(1-'Dep_Tax'!Q24)</x:f>
        <x:v>656.6131830680276</x:v>
      </x:c>
      <x:c r="R77" s="188" t="n">
        <x:f>'Equity_CF'!R20+('Energy_Revenue'!R14*0)*(1-'Dep_Tax'!R24)</x:f>
        <x:v>631.865388303229</x:v>
      </x:c>
      <x:c r="S77" s="188" t="n">
        <x:f>'Equity_CF'!S20+('Energy_Revenue'!S14*0)*(1-'Dep_Tax'!S24)</x:f>
        <x:v>625.940988088892</x:v>
      </x:c>
      <x:c r="T77" s="188" t="n">
        <x:f>'Equity_CF'!T20+('Energy_Revenue'!T14*0)*(1-'Dep_Tax'!T24)</x:f>
        <x:v>583.9635218932018</x:v>
      </x:c>
      <x:c r="U77" s="188" t="n">
        <x:f>'Equity_CF'!U20+('Energy_Revenue'!U14*0)*(1-'Dep_Tax'!U24)</x:f>
        <x:v>578.4631750588837</x:v>
      </x:c>
      <x:c r="V77" s="188" t="n">
        <x:f>'Equity_CF'!V20+('Energy_Revenue'!V14*0)*(1-'Dep_Tax'!V24)</x:f>
        <x:v>572.8402974005182</x:v>
      </x:c>
      <x:c r="W77" s="188" t="n">
        <x:f>'Equity_CF'!W20+('Energy_Revenue'!W14*0)*(1-'Dep_Tax'!W24)</x:f>
        <x:v>567.091128034222</x:v>
      </x:c>
      <x:c r="X77" s="188" t="n">
        <x:f>'Equity_CF'!X20+('Energy_Revenue'!X14*0)*(1-'Dep_Tax'!X24)</x:f>
        <x:v>561.2117934195137</x:v>
      </x:c>
      <x:c r="Y77" s="188" t="n">
        <x:f>'Equity_CF'!Y20+('Energy_Revenue'!Y14*0)*(1-'Dep_Tax'!Y24)</x:f>
        <x:v>-1.1368683772161604e-14</x:v>
      </x:c>
      <x:c r="Z77" s="188" t="n">
        <x:f>'Equity_CF'!Z20+('Energy_Revenue'!Z14*0)*(1-'Dep_Tax'!Z24)</x:f>
        <x:v>-1.1368683772161604e-14</x:v>
      </x:c>
      <x:c r="AA77" s="188" t="n">
        <x:f>'Equity_CF'!AA20+('Energy_Revenue'!AA14*0)*(1-'Dep_Tax'!AA24)</x:f>
        <x:v>-1.1368683772161604e-14</x:v>
      </x:c>
      <x:c r="AB77" s="188" t="n">
        <x:f>'Equity_CF'!AB20+('Energy_Revenue'!AB14*0)*(1-'Dep_Tax'!AB24)</x:f>
        <x:v>-1.1368683772161604e-14</x:v>
      </x:c>
      <x:c r="AC77" s="188" t="n">
        <x:f>'Equity_CF'!AC20+('Energy_Revenue'!AC14*0)*(1-'Dep_Tax'!AC24)</x:f>
        <x:v>-1.1368683772161604e-14</x:v>
      </x:c>
      <x:c r="AD77" s="188" t="n">
        <x:f>'Equity_CF'!AD20+('Energy_Revenue'!AD14*0)*(1-'Dep_Tax'!AD24)</x:f>
        <x:v>-1.1368683772161604e-14</x:v>
      </x:c>
      <x:c r="AE77" s="188" t="n">
        <x:f>'Equity_CF'!AE20+('Energy_Revenue'!AE14*0)*(1-'Dep_Tax'!AE24)</x:f>
        <x:v>-1.1368683772161604e-14</x:v>
      </x:c>
      <x:c r="AF77" s="188" t="n">
        <x:f>'Equity_CF'!AF20+('Energy_Revenue'!AF14*0)*(1-'Dep_Tax'!AF24)</x:f>
        <x:v>-1.1368683772161604e-14</x:v>
      </x:c>
    </x:row>
    <x:row r="78">
      <x:c r="A78" s="128" t="str">
        <x:v>SEN-02-4</x:v>
      </x:c>
      <x:c r="B78" s="128" t="str">
        <x:v>Equity CF × 105%</x:v>
      </x:c>
      <x:c r="C78" s="188" t="n">
        <x:f>'Equity_CF'!C20+('Energy_Revenue'!C14*0.050000000000000044)*(1-'Dep_Tax'!C24)</x:f>
        <x:v>-1009.9799999999999</x:v>
      </x:c>
      <x:c r="D78" s="188" t="n">
        <x:f>'Equity_CF'!D20+('Energy_Revenue'!D14*0.050000000000000044)*(1-'Dep_Tax'!D24)</x:f>
        <x:v>-1389.4200000000005</x:v>
      </x:c>
      <x:c r="E78" s="188" t="n">
        <x:f>'Equity_CF'!E20+('Energy_Revenue'!E14*0.050000000000000044)*(1-'Dep_Tax'!E24)</x:f>
        <x:v>404.82112079999996</x:v>
      </x:c>
      <x:c r="F78" s="188" t="n">
        <x:f>'Equity_CF'!F20+('Energy_Revenue'!F14*0.050000000000000044)*(1-'Dep_Tax'!F24)</x:f>
        <x:v>97.42767855840005</x:v>
      </x:c>
      <x:c r="G78" s="188" t="n">
        <x:f>'Equity_CF'!G20+('Energy_Revenue'!G14*0.050000000000000044)*(1-'Dep_Tax'!G24)</x:f>
        <x:v>124.73738720128347</x:v>
      </x:c>
      <x:c r="H78" s="188" t="n">
        <x:f>'Equity_CF'!H20+('Energy_Revenue'!H14*0.050000000000000044)*(1-'Dep_Tax'!H24)</x:f>
        <x:v>151.94722634688085</x:v>
      </x:c>
      <x:c r="I78" s="188" t="n">
        <x:f>'Equity_CF'!I20+('Energy_Revenue'!I14*0.050000000000000044)*(1-'Dep_Tax'!I24)</x:f>
        <x:v>168.6552309701976</x:v>
      </x:c>
      <x:c r="J78" s="188" t="n">
        <x:f>'Equity_CF'!J20+('Energy_Revenue'!J14*0.050000000000000044)*(1-'Dep_Tax'!J24)</x:f>
        <x:v>194.30587199909888</x:v>
      </x:c>
      <x:c r="K78" s="188" t="n">
        <x:f>'Equity_CF'!K20+('Energy_Revenue'!K14*0.050000000000000044)*(1-'Dep_Tax'!K24)</x:f>
        <x:v>219.85250335966776</x:v>
      </x:c>
      <x:c r="L78" s="188" t="n">
        <x:f>'Equity_CF'!L20+('Energy_Revenue'!L14*0.050000000000000044)*(1-'Dep_Tax'!L24)</x:f>
        <x:v>245.29189646965196</x:v>
      </x:c>
      <x:c r="M78" s="188" t="n">
        <x:f>'Equity_CF'!M20+('Energy_Revenue'!M14*0.050000000000000044)*(1-'Dep_Tax'!M24)</x:f>
        <x:v>270.62072610591747</x:v>
      </x:c>
      <x:c r="N78" s="188" t="n">
        <x:f>'Equity_CF'!N20+('Energy_Revenue'!N14*0.050000000000000044)*(1-'Dep_Tax'!N24)</x:f>
        <x:v>295.83556750478715</x:v>
      </x:c>
      <x:c r="O78" s="188" t="n">
        <x:f>'Equity_CF'!O20+('Energy_Revenue'!O14*0.050000000000000044)*(1-'Dep_Tax'!O24)</x:f>
        <x:v>320.9328933753909</x:v>
      </x:c>
      <x:c r="P78" s="188" t="n">
        <x:f>'Equity_CF'!P20+('Energy_Revenue'!P14*0.050000000000000044)*(1-'Dep_Tax'!P24)</x:f>
        <x:v>345.9090708234221</x:v>
      </x:c>
      <x:c r="Q78" s="188" t="n">
        <x:f>'Equity_CF'!Q20+('Energy_Revenue'!Q14*0.050000000000000044)*(1-'Dep_Tax'!Q24)</x:f>
        <x:v>696.2603581826006</x:v>
      </x:c>
      <x:c r="R78" s="188" t="n">
        <x:f>'Equity_CF'!R20+('Energy_Revenue'!R14*0.050000000000000044)*(1-'Dep_Tax'!R24)</x:f>
        <x:v>669.3507490273442</x:v>
      </x:c>
      <x:c r="S78" s="188" t="n">
        <x:f>'Equity_CF'!S20+('Energy_Revenue'!S14*0.050000000000000044)*(1-'Dep_Tax'!S24)</x:f>
        <x:v>663.351378091559</x:v>
      </x:c>
      <x:c r="T78" s="188" t="n">
        <x:f>'Equity_CF'!T20+('Energy_Revenue'!T14*0.050000000000000044)*(1-'Dep_Tax'!T24)</x:f>
        <x:v>617.1506945355677</x:v>
      </x:c>
      <x:c r="U78" s="188" t="n">
        <x:f>'Equity_CF'!U20+('Energy_Revenue'!U14*0.050000000000000044)*(1-'Dep_Tax'!U24)</x:f>
        <x:v>611.583973355965</x:v>
      </x:c>
      <x:c r="V78" s="188" t="n">
        <x:f>'Equity_CF'!V20+('Energy_Revenue'!V14*0.050000000000000044)*(1-'Dep_Tax'!V24)</x:f>
        <x:v>605.8948541010053</x:v>
      </x:c>
      <x:c r="W78" s="188" t="n">
        <x:f>'Equity_CF'!W20+('Energy_Revenue'!W14*0.050000000000000044)*(1-'Dep_Tax'!W24)</x:f>
        <x:v>600.0795756213081</x:v>
      </x:c>
      <x:c r="X78" s="188" t="n">
        <x:f>'Equity_CF'!X20+('Energy_Revenue'!X14*0.050000000000000044)*(1-'Dep_Tax'!X24)</x:f>
        <x:v>594.1342641114256</x:v>
      </x:c>
      <x:c r="Y78" s="188" t="n">
        <x:f>'Equity_CF'!Y20+('Energy_Revenue'!Y14*0.050000000000000044)*(1-'Dep_Tax'!Y24)</x:f>
        <x:v>-1.1368683772161604e-14</x:v>
      </x:c>
      <x:c r="Z78" s="188" t="n">
        <x:f>'Equity_CF'!Z20+('Energy_Revenue'!Z14*0.050000000000000044)*(1-'Dep_Tax'!Z24)</x:f>
        <x:v>-1.1368683772161604e-14</x:v>
      </x:c>
      <x:c r="AA78" s="188" t="n">
        <x:f>'Equity_CF'!AA20+('Energy_Revenue'!AA14*0.050000000000000044)*(1-'Dep_Tax'!AA24)</x:f>
        <x:v>-1.1368683772161604e-14</x:v>
      </x:c>
      <x:c r="AB78" s="188" t="n">
        <x:f>'Equity_CF'!AB20+('Energy_Revenue'!AB14*0.050000000000000044)*(1-'Dep_Tax'!AB24)</x:f>
        <x:v>-1.1368683772161604e-14</x:v>
      </x:c>
      <x:c r="AC78" s="188" t="n">
        <x:f>'Equity_CF'!AC20+('Energy_Revenue'!AC14*0.050000000000000044)*(1-'Dep_Tax'!AC24)</x:f>
        <x:v>-1.1368683772161604e-14</x:v>
      </x:c>
      <x:c r="AD78" s="188" t="n">
        <x:f>'Equity_CF'!AD20+('Energy_Revenue'!AD14*0.050000000000000044)*(1-'Dep_Tax'!AD24)</x:f>
        <x:v>-1.1368683772161604e-14</x:v>
      </x:c>
      <x:c r="AE78" s="188" t="n">
        <x:f>'Equity_CF'!AE20+('Energy_Revenue'!AE14*0.050000000000000044)*(1-'Dep_Tax'!AE24)</x:f>
        <x:v>-1.1368683772161604e-14</x:v>
      </x:c>
      <x:c r="AF78" s="188" t="n">
        <x:f>'Equity_CF'!AF20+('Energy_Revenue'!AF14*0.050000000000000044)*(1-'Dep_Tax'!AF24)</x:f>
        <x:v>-1.1368683772161604e-14</x:v>
      </x:c>
    </x:row>
    <x:row r="79">
      <x:c r="A79" s="128" t="str">
        <x:v>SEN-02-5</x:v>
      </x:c>
      <x:c r="B79" s="128" t="str">
        <x:v>Equity CF × 110%</x:v>
      </x:c>
      <x:c r="C79" s="188" t="n">
        <x:f>'Equity_CF'!C20+('Energy_Revenue'!C14*0.10000000000000009)*(1-'Dep_Tax'!C24)</x:f>
        <x:v>-1009.9799999999999</x:v>
      </x:c>
      <x:c r="D79" s="188" t="n">
        <x:f>'Equity_CF'!D20+('Energy_Revenue'!D14*0.10000000000000009)*(1-'Dep_Tax'!D24)</x:f>
        <x:v>-1389.4200000000005</x:v>
      </x:c>
      <x:c r="E79" s="188" t="n">
        <x:f>'Equity_CF'!E20+('Energy_Revenue'!E14*0.10000000000000009)*(1-'Dep_Tax'!E24)</x:f>
        <x:v>447.56974560000003</x:v>
      </x:c>
      <x:c r="F79" s="188" t="n">
        <x:f>'Equity_CF'!F20+('Energy_Revenue'!F14*0.10000000000000009)*(1-'Dep_Tax'!F24)</x:f>
        <x:v>140.09080610880008</x:v>
      </x:c>
      <x:c r="G79" s="188" t="n">
        <x:f>'Equity_CF'!G20+('Energy_Revenue'!G14*0.10000000000000009)*(1-'Dep_Tax'!G24)</x:f>
        <x:v>167.31518849658272</x:v>
      </x:c>
      <x:c r="H79" s="188" t="n">
        <x:f>'Equity_CF'!H20+('Energy_Revenue'!H14*0.10000000000000009)*(1-'Dep_Tax'!H24)</x:f>
        <x:v>194.4398720395895</x:v>
      </x:c>
      <x:c r="I79" s="188" t="n">
        <x:f>'Equity_CF'!I20+('Energy_Revenue'!I14*0.10000000000000009)*(1-'Dep_Tax'!I24)</x:f>
        <x:v>208.94250835145465</x:v>
      </x:c>
      <x:c r="J79" s="188" t="n">
        <x:f>'Equity_CF'!J20+('Energy_Revenue'!J14*0.10000000000000009)*(1-'Dep_Tax'!J24)</x:f>
        <x:v>234.51257482559345</x:v>
      </x:c>
      <x:c r="K79" s="188" t="n">
        <x:f>'Equity_CF'!K20+('Energy_Revenue'!K14*0.10000000000000009)*(1-'Dep_Tax'!K24)</x:f>
        <x:v>259.9787927805093</x:v>
      </x:c>
      <x:c r="L79" s="188" t="n">
        <x:f>'Equity_CF'!L20+('Energy_Revenue'!L14*0.10000000000000009)*(1-'Dep_Tax'!L24)</x:f>
        <x:v>285.33793331165185</x:v>
      </x:c>
      <x:c r="M79" s="188" t="n">
        <x:f>'Equity_CF'!M20+('Energy_Revenue'!M14*0.10000000000000009)*(1-'Dep_Tax'!M24)</x:f>
        <x:v>310.58667087423333</x:v>
      </x:c>
      <x:c r="N79" s="188" t="n">
        <x:f>'Equity_CF'!N20+('Energy_Revenue'!N14*0.10000000000000009)*(1-'Dep_Tax'!N24)</x:f>
        <x:v>335.7215803835664</x:v>
      </x:c>
      <x:c r="O79" s="188" t="n">
        <x:f>'Equity_CF'!O20+('Energy_Revenue'!O14*0.10000000000000009)*(1-'Dep_Tax'!O24)</x:f>
        <x:v>360.7391342284126</x:v>
      </x:c>
      <x:c r="P79" s="188" t="n">
        <x:f>'Equity_CF'!P20+('Energy_Revenue'!P14*0.10000000000000009)*(1-'Dep_Tax'!P24)</x:f>
        <x:v>385.63569919473775</x:v>
      </x:c>
      <x:c r="Q79" s="188" t="n">
        <x:f>'Equity_CF'!Q20+('Energy_Revenue'!Q14*0.10000000000000009)*(1-'Dep_Tax'!Q24)</x:f>
        <x:v>735.9075332971737</x:v>
      </x:c>
      <x:c r="R79" s="188" t="n">
        <x:f>'Equity_CF'!R20+('Energy_Revenue'!R14*0.10000000000000009)*(1-'Dep_Tax'!R24)</x:f>
        <x:v>706.8361097514595</x:v>
      </x:c>
      <x:c r="S79" s="188" t="n">
        <x:f>'Equity_CF'!S20+('Energy_Revenue'!S14*0.10000000000000009)*(1-'Dep_Tax'!S24)</x:f>
        <x:v>700.761768094226</x:v>
      </x:c>
      <x:c r="T79" s="188" t="n">
        <x:f>'Equity_CF'!T20+('Energy_Revenue'!T14*0.10000000000000009)*(1-'Dep_Tax'!T24)</x:f>
        <x:v>650.3378671779337</x:v>
      </x:c>
      <x:c r="U79" s="188" t="n">
        <x:f>'Equity_CF'!U20+('Energy_Revenue'!U14*0.10000000000000009)*(1-'Dep_Tax'!U24)</x:f>
        <x:v>644.7047716530461</x:v>
      </x:c>
      <x:c r="V79" s="188" t="n">
        <x:f>'Equity_CF'!V20+('Energy_Revenue'!V14*0.10000000000000009)*(1-'Dep_Tax'!V24)</x:f>
        <x:v>638.9494108014924</x:v>
      </x:c>
      <x:c r="W79" s="188" t="n">
        <x:f>'Equity_CF'!W20+('Energy_Revenue'!W14*0.10000000000000009)*(1-'Dep_Tax'!W24)</x:f>
        <x:v>633.0680232083942</x:v>
      </x:c>
      <x:c r="X79" s="188" t="n">
        <x:f>'Equity_CF'!X20+('Energy_Revenue'!X14*0.10000000000000009)*(1-'Dep_Tax'!X24)</x:f>
        <x:v>627.0567348033375</x:v>
      </x:c>
      <x:c r="Y79" s="188" t="n">
        <x:f>'Equity_CF'!Y20+('Energy_Revenue'!Y14*0.10000000000000009)*(1-'Dep_Tax'!Y24)</x:f>
        <x:v>-1.1368683772161604e-14</x:v>
      </x:c>
      <x:c r="Z79" s="188" t="n">
        <x:f>'Equity_CF'!Z20+('Energy_Revenue'!Z14*0.10000000000000009)*(1-'Dep_Tax'!Z24)</x:f>
        <x:v>-1.1368683772161604e-14</x:v>
      </x:c>
      <x:c r="AA79" s="188" t="n">
        <x:f>'Equity_CF'!AA20+('Energy_Revenue'!AA14*0.10000000000000009)*(1-'Dep_Tax'!AA24)</x:f>
        <x:v>-1.1368683772161604e-14</x:v>
      </x:c>
      <x:c r="AB79" s="188" t="n">
        <x:f>'Equity_CF'!AB20+('Energy_Revenue'!AB14*0.10000000000000009)*(1-'Dep_Tax'!AB24)</x:f>
        <x:v>-1.1368683772161604e-14</x:v>
      </x:c>
      <x:c r="AC79" s="188" t="n">
        <x:f>'Equity_CF'!AC20+('Energy_Revenue'!AC14*0.10000000000000009)*(1-'Dep_Tax'!AC24)</x:f>
        <x:v>-1.1368683772161604e-14</x:v>
      </x:c>
      <x:c r="AD79" s="188" t="n">
        <x:f>'Equity_CF'!AD20+('Energy_Revenue'!AD14*0.10000000000000009)*(1-'Dep_Tax'!AD24)</x:f>
        <x:v>-1.1368683772161604e-14</x:v>
      </x:c>
      <x:c r="AE79" s="188" t="n">
        <x:f>'Equity_CF'!AE20+('Energy_Revenue'!AE14*0.10000000000000009)*(1-'Dep_Tax'!AE24)</x:f>
        <x:v>-1.1368683772161604e-14</x:v>
      </x:c>
      <x:c r="AF79" s="188" t="n">
        <x:f>'Equity_CF'!AF20+('Energy_Revenue'!AF14*0.10000000000000009)*(1-'Dep_Tax'!AF24)</x:f>
        <x:v>-1.1368683772161604e-14</x:v>
      </x:c>
    </x:row>
    <x:row r="80">
      <x:c r="A80" s="128" t="str">
        <x:v>SEN-03-1</x:v>
      </x:c>
      <x:c r="B80" s="128" t="str">
        <x:v>Equity CF × 90%</x:v>
      </x:c>
      <x:c r="C80" s="188" t="n">
        <x:f>'Equity_CF'!C20-(('CAPEX'!C15-'CAPEX'!C17-'Debt'!C12)*-0.09999999999999998)</x:f>
        <x:v>-920.6999999999999</x:v>
      </x:c>
      <x:c r="D80" s="188" t="n">
        <x:f>'Equity_CF'!D20-(('CAPEX'!D15-'CAPEX'!D17-'Debt'!D12)*-0.09999999999999998)</x:f>
        <x:v>-1277.8200000000006</x:v>
      </x:c>
      <x:c r="E80" s="188" t="n">
        <x:f>'Equity_CF'!E20-(('CAPEX'!E15-'CAPEX'!E17-'Debt'!E12)*-0.09999999999999998)</x:f>
        <x:v>328.5924959999999</x:v>
      </x:c>
      <x:c r="F80" s="188" t="n">
        <x:f>'Equity_CF'!F20-(('CAPEX'!F15-'CAPEX'!F17-'Debt'!F12)*-0.09999999999999998)</x:f>
        <x:v>54.76455100800001</x:v>
      </x:c>
      <x:c r="G80" s="188" t="n">
        <x:f>'Equity_CF'!G20-(('CAPEX'!G15-'CAPEX'!G17-'Debt'!G12)*-0.09999999999999998)</x:f>
        <x:v>82.15958590598422</x:v>
      </x:c>
      <x:c r="H80" s="188" t="n">
        <x:f>'Equity_CF'!H20-(('CAPEX'!H15-'CAPEX'!H17-'Debt'!H12)*-0.09999999999999998)</x:f>
        <x:v>109.45458065417222</x:v>
      </x:c>
      <x:c r="I80" s="188" t="n">
        <x:f>'Equity_CF'!I20-(('CAPEX'!I15-'CAPEX'!I17-'Debt'!I12)*-0.09999999999999998)</x:f>
        <x:v>128.36795358894054</x:v>
      </x:c>
      <x:c r="J80" s="188" t="n">
        <x:f>'Equity_CF'!J20-(('CAPEX'!J15-'CAPEX'!J17-'Debt'!J12)*-0.09999999999999998)</x:f>
        <x:v>154.09916917260435</x:v>
      </x:c>
      <x:c r="K80" s="188" t="n">
        <x:f>'Equity_CF'!K20-(('CAPEX'!K15-'CAPEX'!K17-'Debt'!K12)*-0.09999999999999998)</x:f>
        <x:v>179.7262139388262</x:v>
      </x:c>
      <x:c r="L80" s="188" t="n">
        <x:f>'Equity_CF'!L20-(('CAPEX'!L15-'CAPEX'!L17-'Debt'!L12)*-0.09999999999999998)</x:f>
        <x:v>205.2458596276521</x:v>
      </x:c>
      <x:c r="M80" s="188" t="n">
        <x:f>'Equity_CF'!M20-(('CAPEX'!M15-'CAPEX'!M17-'Debt'!M12)*-0.09999999999999998)</x:f>
        <x:v>230.65478133760158</x:v>
      </x:c>
      <x:c r="N80" s="188" t="n">
        <x:f>'Equity_CF'!N20-(('CAPEX'!N15-'CAPEX'!N17-'Debt'!N12)*-0.09999999999999998)</x:f>
        <x:v>255.94955462600788</x:v>
      </x:c>
      <x:c r="O80" s="188" t="n">
        <x:f>'Equity_CF'!O20-(('CAPEX'!O15-'CAPEX'!O17-'Debt'!O12)*-0.09999999999999998)</x:f>
        <x:v>281.1266525223692</x:v>
      </x:c>
      <x:c r="P80" s="188" t="n">
        <x:f>'Equity_CF'!P20-(('CAPEX'!P15-'CAPEX'!P17-'Debt'!P12)*-0.09999999999999998)</x:f>
        <x:v>306.18244245210644</x:v>
      </x:c>
      <x:c r="Q80" s="188" t="n">
        <x:f>'Equity_CF'!Q20-(('CAPEX'!Q15-'CAPEX'!Q17-'Debt'!Q12)*-0.09999999999999998)</x:f>
        <x:v>656.6131830680276</x:v>
      </x:c>
      <x:c r="R80" s="188" t="n">
        <x:f>'Equity_CF'!R20-(('CAPEX'!R15-'CAPEX'!R17-'Debt'!R12)*-0.09999999999999998)</x:f>
        <x:v>631.865388303229</x:v>
      </x:c>
      <x:c r="S80" s="188" t="n">
        <x:f>'Equity_CF'!S20-(('CAPEX'!S15-'CAPEX'!S17-'Debt'!S12)*-0.09999999999999998)</x:f>
        <x:v>625.940988088892</x:v>
      </x:c>
      <x:c r="T80" s="188" t="n">
        <x:f>'Equity_CF'!T20-(('CAPEX'!T15-'CAPEX'!T17-'Debt'!T12)*-0.09999999999999998)</x:f>
        <x:v>583.9635218932018</x:v>
      </x:c>
      <x:c r="U80" s="188" t="n">
        <x:f>'Equity_CF'!U20-(('CAPEX'!U15-'CAPEX'!U17-'Debt'!U12)*-0.09999999999999998)</x:f>
        <x:v>578.4631750588837</x:v>
      </x:c>
      <x:c r="V80" s="188" t="n">
        <x:f>'Equity_CF'!V20-(('CAPEX'!V15-'CAPEX'!V17-'Debt'!V12)*-0.09999999999999998)</x:f>
        <x:v>572.8402974005182</x:v>
      </x:c>
      <x:c r="W80" s="188" t="n">
        <x:f>'Equity_CF'!W20-(('CAPEX'!W15-'CAPEX'!W17-'Debt'!W12)*-0.09999999999999998)</x:f>
        <x:v>567.091128034222</x:v>
      </x:c>
      <x:c r="X80" s="188" t="n">
        <x:f>'Equity_CF'!X20-(('CAPEX'!X15-'CAPEX'!X17-'Debt'!X12)*-0.09999999999999998)</x:f>
        <x:v>561.2117934195137</x:v>
      </x:c>
      <x:c r="Y80" s="188" t="n">
        <x:f>'Equity_CF'!Y20-(('CAPEX'!Y15-'CAPEX'!Y17-'Debt'!Y12)*-0.09999999999999998)</x:f>
        <x:v>-1.1368683772161604e-14</x:v>
      </x:c>
      <x:c r="Z80" s="188" t="n">
        <x:f>'Equity_CF'!Z20-(('CAPEX'!Z15-'CAPEX'!Z17-'Debt'!Z12)*-0.09999999999999998)</x:f>
        <x:v>-1.1368683772161604e-14</x:v>
      </x:c>
      <x:c r="AA80" s="188" t="n">
        <x:f>'Equity_CF'!AA20-(('CAPEX'!AA15-'CAPEX'!AA17-'Debt'!AA12)*-0.09999999999999998)</x:f>
        <x:v>-1.1368683772161604e-14</x:v>
      </x:c>
      <x:c r="AB80" s="188" t="n">
        <x:f>'Equity_CF'!AB20-(('CAPEX'!AB15-'CAPEX'!AB17-'Debt'!AB12)*-0.09999999999999998)</x:f>
        <x:v>-1.1368683772161604e-14</x:v>
      </x:c>
      <x:c r="AC80" s="188" t="n">
        <x:f>'Equity_CF'!AC20-(('CAPEX'!AC15-'CAPEX'!AC17-'Debt'!AC12)*-0.09999999999999998)</x:f>
        <x:v>-1.1368683772161604e-14</x:v>
      </x:c>
      <x:c r="AD80" s="188" t="n">
        <x:f>'Equity_CF'!AD20-(('CAPEX'!AD15-'CAPEX'!AD17-'Debt'!AD12)*-0.09999999999999998)</x:f>
        <x:v>-1.1368683772161604e-14</x:v>
      </x:c>
      <x:c r="AE80" s="188" t="n">
        <x:f>'Equity_CF'!AE20-(('CAPEX'!AE15-'CAPEX'!AE17-'Debt'!AE12)*-0.09999999999999998)</x:f>
        <x:v>-1.1368683772161604e-14</x:v>
      </x:c>
      <x:c r="AF80" s="188" t="n">
        <x:f>'Equity_CF'!AF20-(('CAPEX'!AF15-'CAPEX'!AF17-'Debt'!AF12)*-0.09999999999999998)</x:f>
        <x:v>-1.1368683772161604e-14</x:v>
      </x:c>
    </x:row>
    <x:row r="81">
      <x:c r="A81" t="str">
        <x:v>SEN-03-2</x:v>
      </x:c>
      <x:c r="B81" t="str">
        <x:v>Equity CF × 95%</x:v>
      </x:c>
      <x:c r="C81" s="189" t="n">
        <x:f>'Equity_CF'!C20-(('CAPEX'!C15-'CAPEX'!C17-'Debt'!C12)*-0.050000000000000044)</x:f>
        <x:v>-965.3399999999999</x:v>
      </x:c>
      <x:c r="D81" s="189" t="n">
        <x:f>'Equity_CF'!D20-(('CAPEX'!D15-'CAPEX'!D17-'Debt'!D12)*-0.050000000000000044)</x:f>
        <x:v>-1333.6200000000003</x:v>
      </x:c>
      <x:c r="E81" s="189" t="n">
        <x:f>'Equity_CF'!E20-(('CAPEX'!E15-'CAPEX'!E17-'Debt'!E12)*-0.050000000000000044)</x:f>
        <x:v>345.33249599999994</x:v>
      </x:c>
      <x:c r="F81" s="189" t="n">
        <x:f>'Equity_CF'!F20-(('CAPEX'!F15-'CAPEX'!F17-'Debt'!F12)*-0.050000000000000044)</x:f>
        <x:v>54.76455100800001</x:v>
      </x:c>
      <x:c r="G81" s="189" t="n">
        <x:f>'Equity_CF'!G20-(('CAPEX'!G15-'CAPEX'!G17-'Debt'!G12)*-0.050000000000000044)</x:f>
        <x:v>82.15958590598422</x:v>
      </x:c>
      <x:c r="H81" s="189" t="n">
        <x:f>'Equity_CF'!H20-(('CAPEX'!H15-'CAPEX'!H17-'Debt'!H12)*-0.050000000000000044)</x:f>
        <x:v>109.45458065417222</x:v>
      </x:c>
      <x:c r="I81" s="189" t="n">
        <x:f>'Equity_CF'!I20-(('CAPEX'!I15-'CAPEX'!I17-'Debt'!I12)*-0.050000000000000044)</x:f>
        <x:v>128.36795358894054</x:v>
      </x:c>
      <x:c r="J81" s="189" t="n">
        <x:f>'Equity_CF'!J20-(('CAPEX'!J15-'CAPEX'!J17-'Debt'!J12)*-0.050000000000000044)</x:f>
        <x:v>154.09916917260435</x:v>
      </x:c>
      <x:c r="K81" s="189" t="n">
        <x:f>'Equity_CF'!K20-(('CAPEX'!K15-'CAPEX'!K17-'Debt'!K12)*-0.050000000000000044)</x:f>
        <x:v>179.7262139388262</x:v>
      </x:c>
      <x:c r="L81" s="189" t="n">
        <x:f>'Equity_CF'!L20-(('CAPEX'!L15-'CAPEX'!L17-'Debt'!L12)*-0.050000000000000044)</x:f>
        <x:v>205.2458596276521</x:v>
      </x:c>
      <x:c r="M81" s="189" t="n">
        <x:f>'Equity_CF'!M20-(('CAPEX'!M15-'CAPEX'!M17-'Debt'!M12)*-0.050000000000000044)</x:f>
        <x:v>230.65478133760158</x:v>
      </x:c>
      <x:c r="N81" s="189" t="n">
        <x:f>'Equity_CF'!N20-(('CAPEX'!N15-'CAPEX'!N17-'Debt'!N12)*-0.050000000000000044)</x:f>
        <x:v>255.94955462600788</x:v>
      </x:c>
      <x:c r="O81" s="189" t="n">
        <x:f>'Equity_CF'!O20-(('CAPEX'!O15-'CAPEX'!O17-'Debt'!O12)*-0.050000000000000044)</x:f>
        <x:v>281.1266525223692</x:v>
      </x:c>
      <x:c r="P81" s="189" t="n">
        <x:f>'Equity_CF'!P20-(('CAPEX'!P15-'CAPEX'!P17-'Debt'!P12)*-0.050000000000000044)</x:f>
        <x:v>306.18244245210644</x:v>
      </x:c>
      <x:c r="Q81" s="189" t="n">
        <x:f>'Equity_CF'!Q20-(('CAPEX'!Q15-'CAPEX'!Q17-'Debt'!Q12)*-0.050000000000000044)</x:f>
        <x:v>656.6131830680276</x:v>
      </x:c>
      <x:c r="R81" s="189" t="n">
        <x:f>'Equity_CF'!R20-(('CAPEX'!R15-'CAPEX'!R17-'Debt'!R12)*-0.050000000000000044)</x:f>
        <x:v>631.865388303229</x:v>
      </x:c>
      <x:c r="S81" s="189" t="n">
        <x:f>'Equity_CF'!S20-(('CAPEX'!S15-'CAPEX'!S17-'Debt'!S12)*-0.050000000000000044)</x:f>
        <x:v>625.940988088892</x:v>
      </x:c>
      <x:c r="T81" s="189" t="n">
        <x:f>'Equity_CF'!T20-(('CAPEX'!T15-'CAPEX'!T17-'Debt'!T12)*-0.050000000000000044)</x:f>
        <x:v>583.9635218932018</x:v>
      </x:c>
      <x:c r="U81" s="189" t="n">
        <x:f>'Equity_CF'!U20-(('CAPEX'!U15-'CAPEX'!U17-'Debt'!U12)*-0.050000000000000044)</x:f>
        <x:v>578.4631750588837</x:v>
      </x:c>
      <x:c r="V81" s="189" t="n">
        <x:f>'Equity_CF'!V20-(('CAPEX'!V15-'CAPEX'!V17-'Debt'!V12)*-0.050000000000000044)</x:f>
        <x:v>572.8402974005182</x:v>
      </x:c>
      <x:c r="W81" s="189" t="n">
        <x:f>'Equity_CF'!W20-(('CAPEX'!W15-'CAPEX'!W17-'Debt'!W12)*-0.050000000000000044)</x:f>
        <x:v>567.091128034222</x:v>
      </x:c>
      <x:c r="X81" s="189" t="n">
        <x:f>'Equity_CF'!X20-(('CAPEX'!X15-'CAPEX'!X17-'Debt'!X12)*-0.050000000000000044)</x:f>
        <x:v>561.2117934195137</x:v>
      </x:c>
      <x:c r="Y81" s="189" t="n">
        <x:f>'Equity_CF'!Y20-(('CAPEX'!Y15-'CAPEX'!Y17-'Debt'!Y12)*-0.050000000000000044)</x:f>
        <x:v>-1.1368683772161604e-14</x:v>
      </x:c>
      <x:c r="Z81" s="189" t="n">
        <x:f>'Equity_CF'!Z20-(('CAPEX'!Z15-'CAPEX'!Z17-'Debt'!Z12)*-0.050000000000000044)</x:f>
        <x:v>-1.1368683772161604e-14</x:v>
      </x:c>
      <x:c r="AA81" s="189" t="n">
        <x:f>'Equity_CF'!AA20-(('CAPEX'!AA15-'CAPEX'!AA17-'Debt'!AA12)*-0.050000000000000044)</x:f>
        <x:v>-1.1368683772161604e-14</x:v>
      </x:c>
      <x:c r="AB81" s="189" t="n">
        <x:f>'Equity_CF'!AB20-(('CAPEX'!AB15-'CAPEX'!AB17-'Debt'!AB12)*-0.050000000000000044)</x:f>
        <x:v>-1.1368683772161604e-14</x:v>
      </x:c>
      <x:c r="AC81" s="189" t="n">
        <x:f>'Equity_CF'!AC20-(('CAPEX'!AC15-'CAPEX'!AC17-'Debt'!AC12)*-0.050000000000000044)</x:f>
        <x:v>-1.1368683772161604e-14</x:v>
      </x:c>
      <x:c r="AD81" s="189" t="n">
        <x:f>'Equity_CF'!AD20-(('CAPEX'!AD15-'CAPEX'!AD17-'Debt'!AD12)*-0.050000000000000044)</x:f>
        <x:v>-1.1368683772161604e-14</x:v>
      </x:c>
      <x:c r="AE81" s="189" t="n">
        <x:f>'Equity_CF'!AE20-(('CAPEX'!AE15-'CAPEX'!AE17-'Debt'!AE12)*-0.050000000000000044)</x:f>
        <x:v>-1.1368683772161604e-14</x:v>
      </x:c>
      <x:c r="AF81" s="189" t="n">
        <x:f>'Equity_CF'!AF20-(('CAPEX'!AF15-'CAPEX'!AF17-'Debt'!AF12)*-0.050000000000000044)</x:f>
        <x:v>-1.1368683772161604e-14</x:v>
      </x:c>
    </x:row>
    <x:row r="82">
      <x:c r="A82" t="str">
        <x:v>SEN-03-3</x:v>
      </x:c>
      <x:c r="B82" t="str">
        <x:v>Equity CF × 100%</x:v>
      </x:c>
      <x:c r="C82" s="189" t="n">
        <x:f>'Equity_CF'!C20-(('CAPEX'!C15-'CAPEX'!C17-'Debt'!C12)*0)</x:f>
        <x:v>-1009.9799999999999</x:v>
      </x:c>
      <x:c r="D82" s="189" t="n">
        <x:f>'Equity_CF'!D20-(('CAPEX'!D15-'CAPEX'!D17-'Debt'!D12)*0)</x:f>
        <x:v>-1389.4200000000005</x:v>
      </x:c>
      <x:c r="E82" s="189" t="n">
        <x:f>'Equity_CF'!E20-(('CAPEX'!E15-'CAPEX'!E17-'Debt'!E12)*0)</x:f>
        <x:v>362.07249599999994</x:v>
      </x:c>
      <x:c r="F82" s="189" t="n">
        <x:f>'Equity_CF'!F20-(('CAPEX'!F15-'CAPEX'!F17-'Debt'!F12)*0)</x:f>
        <x:v>54.76455100800001</x:v>
      </x:c>
      <x:c r="G82" s="189" t="n">
        <x:f>'Equity_CF'!G20-(('CAPEX'!G15-'CAPEX'!G17-'Debt'!G12)*0)</x:f>
        <x:v>82.15958590598422</x:v>
      </x:c>
      <x:c r="H82" s="189" t="n">
        <x:f>'Equity_CF'!H20-(('CAPEX'!H15-'CAPEX'!H17-'Debt'!H12)*0)</x:f>
        <x:v>109.45458065417222</x:v>
      </x:c>
      <x:c r="I82" s="189" t="n">
        <x:f>'Equity_CF'!I20-(('CAPEX'!I15-'CAPEX'!I17-'Debt'!I12)*0)</x:f>
        <x:v>128.36795358894054</x:v>
      </x:c>
      <x:c r="J82" s="189" t="n">
        <x:f>'Equity_CF'!J20-(('CAPEX'!J15-'CAPEX'!J17-'Debt'!J12)*0)</x:f>
        <x:v>154.09916917260435</x:v>
      </x:c>
      <x:c r="K82" s="189" t="n">
        <x:f>'Equity_CF'!K20-(('CAPEX'!K15-'CAPEX'!K17-'Debt'!K12)*0)</x:f>
        <x:v>179.7262139388262</x:v>
      </x:c>
      <x:c r="L82" s="189" t="n">
        <x:f>'Equity_CF'!L20-(('CAPEX'!L15-'CAPEX'!L17-'Debt'!L12)*0)</x:f>
        <x:v>205.2458596276521</x:v>
      </x:c>
      <x:c r="M82" s="189" t="n">
        <x:f>'Equity_CF'!M20-(('CAPEX'!M15-'CAPEX'!M17-'Debt'!M12)*0)</x:f>
        <x:v>230.65478133760158</x:v>
      </x:c>
      <x:c r="N82" s="189" t="n">
        <x:f>'Equity_CF'!N20-(('CAPEX'!N15-'CAPEX'!N17-'Debt'!N12)*0)</x:f>
        <x:v>255.94955462600788</x:v>
      </x:c>
      <x:c r="O82" s="189" t="n">
        <x:f>'Equity_CF'!O20-(('CAPEX'!O15-'CAPEX'!O17-'Debt'!O12)*0)</x:f>
        <x:v>281.1266525223692</x:v>
      </x:c>
      <x:c r="P82" s="189" t="n">
        <x:f>'Equity_CF'!P20-(('CAPEX'!P15-'CAPEX'!P17-'Debt'!P12)*0)</x:f>
        <x:v>306.18244245210644</x:v>
      </x:c>
      <x:c r="Q82" s="189" t="n">
        <x:f>'Equity_CF'!Q20-(('CAPEX'!Q15-'CAPEX'!Q17-'Debt'!Q12)*0)</x:f>
        <x:v>656.6131830680276</x:v>
      </x:c>
      <x:c r="R82" s="189" t="n">
        <x:f>'Equity_CF'!R20-(('CAPEX'!R15-'CAPEX'!R17-'Debt'!R12)*0)</x:f>
        <x:v>631.865388303229</x:v>
      </x:c>
      <x:c r="S82" s="189" t="n">
        <x:f>'Equity_CF'!S20-(('CAPEX'!S15-'CAPEX'!S17-'Debt'!S12)*0)</x:f>
        <x:v>625.940988088892</x:v>
      </x:c>
      <x:c r="T82" s="189" t="n">
        <x:f>'Equity_CF'!T20-(('CAPEX'!T15-'CAPEX'!T17-'Debt'!T12)*0)</x:f>
        <x:v>583.9635218932018</x:v>
      </x:c>
      <x:c r="U82" s="189" t="n">
        <x:f>'Equity_CF'!U20-(('CAPEX'!U15-'CAPEX'!U17-'Debt'!U12)*0)</x:f>
        <x:v>578.4631750588837</x:v>
      </x:c>
      <x:c r="V82" s="189" t="n">
        <x:f>'Equity_CF'!V20-(('CAPEX'!V15-'CAPEX'!V17-'Debt'!V12)*0)</x:f>
        <x:v>572.8402974005182</x:v>
      </x:c>
      <x:c r="W82" s="189" t="n">
        <x:f>'Equity_CF'!W20-(('CAPEX'!W15-'CAPEX'!W17-'Debt'!W12)*0)</x:f>
        <x:v>567.091128034222</x:v>
      </x:c>
      <x:c r="X82" s="189" t="n">
        <x:f>'Equity_CF'!X20-(('CAPEX'!X15-'CAPEX'!X17-'Debt'!X12)*0)</x:f>
        <x:v>561.2117934195137</x:v>
      </x:c>
      <x:c r="Y82" s="189" t="n">
        <x:f>'Equity_CF'!Y20-(('CAPEX'!Y15-'CAPEX'!Y17-'Debt'!Y12)*0)</x:f>
        <x:v>-1.1368683772161604e-14</x:v>
      </x:c>
      <x:c r="Z82" s="189" t="n">
        <x:f>'Equity_CF'!Z20-(('CAPEX'!Z15-'CAPEX'!Z17-'Debt'!Z12)*0)</x:f>
        <x:v>-1.1368683772161604e-14</x:v>
      </x:c>
      <x:c r="AA82" s="189" t="n">
        <x:f>'Equity_CF'!AA20-(('CAPEX'!AA15-'CAPEX'!AA17-'Debt'!AA12)*0)</x:f>
        <x:v>-1.1368683772161604e-14</x:v>
      </x:c>
      <x:c r="AB82" s="189" t="n">
        <x:f>'Equity_CF'!AB20-(('CAPEX'!AB15-'CAPEX'!AB17-'Debt'!AB12)*0)</x:f>
        <x:v>-1.1368683772161604e-14</x:v>
      </x:c>
      <x:c r="AC82" s="189" t="n">
        <x:f>'Equity_CF'!AC20-(('CAPEX'!AC15-'CAPEX'!AC17-'Debt'!AC12)*0)</x:f>
        <x:v>-1.1368683772161604e-14</x:v>
      </x:c>
      <x:c r="AD82" s="189" t="n">
        <x:f>'Equity_CF'!AD20-(('CAPEX'!AD15-'CAPEX'!AD17-'Debt'!AD12)*0)</x:f>
        <x:v>-1.1368683772161604e-14</x:v>
      </x:c>
      <x:c r="AE82" s="189" t="n">
        <x:f>'Equity_CF'!AE20-(('CAPEX'!AE15-'CAPEX'!AE17-'Debt'!AE12)*0)</x:f>
        <x:v>-1.1368683772161604e-14</x:v>
      </x:c>
      <x:c r="AF82" s="189" t="n">
        <x:f>'Equity_CF'!AF20-(('CAPEX'!AF15-'CAPEX'!AF17-'Debt'!AF12)*0)</x:f>
        <x:v>-1.1368683772161604e-14</x:v>
      </x:c>
    </x:row>
    <x:row r="83">
      <x:c r="A83" t="str">
        <x:v>SEN-03-4</x:v>
      </x:c>
      <x:c r="B83" t="str">
        <x:v>Equity CF × 105%</x:v>
      </x:c>
      <x:c r="C83" s="189" t="n">
        <x:f>'Equity_CF'!C20-(('CAPEX'!C15-'CAPEX'!C17-'Debt'!C12)*0.050000000000000044)</x:f>
        <x:v>-1054.62</x:v>
      </x:c>
      <x:c r="D83" s="189" t="n">
        <x:f>'Equity_CF'!D20-(('CAPEX'!D15-'CAPEX'!D17-'Debt'!D12)*0.050000000000000044)</x:f>
        <x:v>-1445.2200000000007</x:v>
      </x:c>
      <x:c r="E83" s="189" t="n">
        <x:f>'Equity_CF'!E20-(('CAPEX'!E15-'CAPEX'!E17-'Debt'!E12)*0.050000000000000044)</x:f>
        <x:v>378.81249599999995</x:v>
      </x:c>
      <x:c r="F83" s="189" t="n">
        <x:f>'Equity_CF'!F20-(('CAPEX'!F15-'CAPEX'!F17-'Debt'!F12)*0.050000000000000044)</x:f>
        <x:v>54.76455100800001</x:v>
      </x:c>
      <x:c r="G83" s="189" t="n">
        <x:f>'Equity_CF'!G20-(('CAPEX'!G15-'CAPEX'!G17-'Debt'!G12)*0.050000000000000044)</x:f>
        <x:v>82.15958590598422</x:v>
      </x:c>
      <x:c r="H83" s="189" t="n">
        <x:f>'Equity_CF'!H20-(('CAPEX'!H15-'CAPEX'!H17-'Debt'!H12)*0.050000000000000044)</x:f>
        <x:v>109.45458065417222</x:v>
      </x:c>
      <x:c r="I83" s="189" t="n">
        <x:f>'Equity_CF'!I20-(('CAPEX'!I15-'CAPEX'!I17-'Debt'!I12)*0.050000000000000044)</x:f>
        <x:v>128.36795358894054</x:v>
      </x:c>
      <x:c r="J83" s="189" t="n">
        <x:f>'Equity_CF'!J20-(('CAPEX'!J15-'CAPEX'!J17-'Debt'!J12)*0.050000000000000044)</x:f>
        <x:v>154.09916917260435</x:v>
      </x:c>
      <x:c r="K83" s="189" t="n">
        <x:f>'Equity_CF'!K20-(('CAPEX'!K15-'CAPEX'!K17-'Debt'!K12)*0.050000000000000044)</x:f>
        <x:v>179.7262139388262</x:v>
      </x:c>
      <x:c r="L83" s="189" t="n">
        <x:f>'Equity_CF'!L20-(('CAPEX'!L15-'CAPEX'!L17-'Debt'!L12)*0.050000000000000044)</x:f>
        <x:v>205.2458596276521</x:v>
      </x:c>
      <x:c r="M83" s="189" t="n">
        <x:f>'Equity_CF'!M20-(('CAPEX'!M15-'CAPEX'!M17-'Debt'!M12)*0.050000000000000044)</x:f>
        <x:v>230.65478133760158</x:v>
      </x:c>
      <x:c r="N83" s="189" t="n">
        <x:f>'Equity_CF'!N20-(('CAPEX'!N15-'CAPEX'!N17-'Debt'!N12)*0.050000000000000044)</x:f>
        <x:v>255.94955462600788</x:v>
      </x:c>
      <x:c r="O83" s="189" t="n">
        <x:f>'Equity_CF'!O20-(('CAPEX'!O15-'CAPEX'!O17-'Debt'!O12)*0.050000000000000044)</x:f>
        <x:v>281.1266525223692</x:v>
      </x:c>
      <x:c r="P83" s="189" t="n">
        <x:f>'Equity_CF'!P20-(('CAPEX'!P15-'CAPEX'!P17-'Debt'!P12)*0.050000000000000044)</x:f>
        <x:v>306.18244245210644</x:v>
      </x:c>
      <x:c r="Q83" s="189" t="n">
        <x:f>'Equity_CF'!Q20-(('CAPEX'!Q15-'CAPEX'!Q17-'Debt'!Q12)*0.050000000000000044)</x:f>
        <x:v>656.6131830680276</x:v>
      </x:c>
      <x:c r="R83" s="189" t="n">
        <x:f>'Equity_CF'!R20-(('CAPEX'!R15-'CAPEX'!R17-'Debt'!R12)*0.050000000000000044)</x:f>
        <x:v>631.865388303229</x:v>
      </x:c>
      <x:c r="S83" s="189" t="n">
        <x:f>'Equity_CF'!S20-(('CAPEX'!S15-'CAPEX'!S17-'Debt'!S12)*0.050000000000000044)</x:f>
        <x:v>625.940988088892</x:v>
      </x:c>
      <x:c r="T83" s="189" t="n">
        <x:f>'Equity_CF'!T20-(('CAPEX'!T15-'CAPEX'!T17-'Debt'!T12)*0.050000000000000044)</x:f>
        <x:v>583.9635218932018</x:v>
      </x:c>
      <x:c r="U83" s="189" t="n">
        <x:f>'Equity_CF'!U20-(('CAPEX'!U15-'CAPEX'!U17-'Debt'!U12)*0.050000000000000044)</x:f>
        <x:v>578.4631750588837</x:v>
      </x:c>
      <x:c r="V83" s="189" t="n">
        <x:f>'Equity_CF'!V20-(('CAPEX'!V15-'CAPEX'!V17-'Debt'!V12)*0.050000000000000044)</x:f>
        <x:v>572.8402974005182</x:v>
      </x:c>
      <x:c r="W83" s="189" t="n">
        <x:f>'Equity_CF'!W20-(('CAPEX'!W15-'CAPEX'!W17-'Debt'!W12)*0.050000000000000044)</x:f>
        <x:v>567.091128034222</x:v>
      </x:c>
      <x:c r="X83" s="189" t="n">
        <x:f>'Equity_CF'!X20-(('CAPEX'!X15-'CAPEX'!X17-'Debt'!X12)*0.050000000000000044)</x:f>
        <x:v>561.2117934195137</x:v>
      </x:c>
      <x:c r="Y83" s="189" t="n">
        <x:f>'Equity_CF'!Y20-(('CAPEX'!Y15-'CAPEX'!Y17-'Debt'!Y12)*0.050000000000000044)</x:f>
        <x:v>-1.1368683772161604e-14</x:v>
      </x:c>
      <x:c r="Z83" s="189" t="n">
        <x:f>'Equity_CF'!Z20-(('CAPEX'!Z15-'CAPEX'!Z17-'Debt'!Z12)*0.050000000000000044)</x:f>
        <x:v>-1.1368683772161604e-14</x:v>
      </x:c>
      <x:c r="AA83" s="189" t="n">
        <x:f>'Equity_CF'!AA20-(('CAPEX'!AA15-'CAPEX'!AA17-'Debt'!AA12)*0.050000000000000044)</x:f>
        <x:v>-1.1368683772161604e-14</x:v>
      </x:c>
      <x:c r="AB83" s="189" t="n">
        <x:f>'Equity_CF'!AB20-(('CAPEX'!AB15-'CAPEX'!AB17-'Debt'!AB12)*0.050000000000000044)</x:f>
        <x:v>-1.1368683772161604e-14</x:v>
      </x:c>
      <x:c r="AC83" s="189" t="n">
        <x:f>'Equity_CF'!AC20-(('CAPEX'!AC15-'CAPEX'!AC17-'Debt'!AC12)*0.050000000000000044)</x:f>
        <x:v>-1.1368683772161604e-14</x:v>
      </x:c>
      <x:c r="AD83" s="189" t="n">
        <x:f>'Equity_CF'!AD20-(('CAPEX'!AD15-'CAPEX'!AD17-'Debt'!AD12)*0.050000000000000044)</x:f>
        <x:v>-1.1368683772161604e-14</x:v>
      </x:c>
      <x:c r="AE83" s="189" t="n">
        <x:f>'Equity_CF'!AE20-(('CAPEX'!AE15-'CAPEX'!AE17-'Debt'!AE12)*0.050000000000000044)</x:f>
        <x:v>-1.1368683772161604e-14</x:v>
      </x:c>
      <x:c r="AF83" s="189" t="n">
        <x:f>'Equity_CF'!AF20-(('CAPEX'!AF15-'CAPEX'!AF17-'Debt'!AF12)*0.050000000000000044)</x:f>
        <x:v>-1.1368683772161604e-14</x:v>
      </x:c>
    </x:row>
    <x:row r="84">
      <x:c r="A84" t="str">
        <x:v>SEN-03-5</x:v>
      </x:c>
      <x:c r="B84" t="str">
        <x:v>Equity CF × 110%</x:v>
      </x:c>
      <x:c r="C84" s="189" t="n">
        <x:f>'Equity_CF'!C20-(('CAPEX'!C15-'CAPEX'!C17-'Debt'!C12)*0.10000000000000009)</x:f>
        <x:v>-1099.26</x:v>
      </x:c>
      <x:c r="D84" s="189" t="n">
        <x:f>'Equity_CF'!D20-(('CAPEX'!D15-'CAPEX'!D17-'Debt'!D12)*0.10000000000000009)</x:f>
        <x:v>-1501.0200000000007</x:v>
      </x:c>
      <x:c r="E84" s="189" t="n">
        <x:f>'Equity_CF'!E20-(('CAPEX'!E15-'CAPEX'!E17-'Debt'!E12)*0.10000000000000009)</x:f>
        <x:v>395.55249599999996</x:v>
      </x:c>
      <x:c r="F84" s="189" t="n">
        <x:f>'Equity_CF'!F20-(('CAPEX'!F15-'CAPEX'!F17-'Debt'!F12)*0.10000000000000009)</x:f>
        <x:v>54.76455100800001</x:v>
      </x:c>
      <x:c r="G84" s="189" t="n">
        <x:f>'Equity_CF'!G20-(('CAPEX'!G15-'CAPEX'!G17-'Debt'!G12)*0.10000000000000009)</x:f>
        <x:v>82.15958590598422</x:v>
      </x:c>
      <x:c r="H84" s="189" t="n">
        <x:f>'Equity_CF'!H20-(('CAPEX'!H15-'CAPEX'!H17-'Debt'!H12)*0.10000000000000009)</x:f>
        <x:v>109.45458065417222</x:v>
      </x:c>
      <x:c r="I84" s="189" t="n">
        <x:f>'Equity_CF'!I20-(('CAPEX'!I15-'CAPEX'!I17-'Debt'!I12)*0.10000000000000009)</x:f>
        <x:v>128.36795358894054</x:v>
      </x:c>
      <x:c r="J84" s="189" t="n">
        <x:f>'Equity_CF'!J20-(('CAPEX'!J15-'CAPEX'!J17-'Debt'!J12)*0.10000000000000009)</x:f>
        <x:v>154.09916917260435</x:v>
      </x:c>
      <x:c r="K84" s="189" t="n">
        <x:f>'Equity_CF'!K20-(('CAPEX'!K15-'CAPEX'!K17-'Debt'!K12)*0.10000000000000009)</x:f>
        <x:v>179.7262139388262</x:v>
      </x:c>
      <x:c r="L84" s="189" t="n">
        <x:f>'Equity_CF'!L20-(('CAPEX'!L15-'CAPEX'!L17-'Debt'!L12)*0.10000000000000009)</x:f>
        <x:v>205.2458596276521</x:v>
      </x:c>
      <x:c r="M84" s="189" t="n">
        <x:f>'Equity_CF'!M20-(('CAPEX'!M15-'CAPEX'!M17-'Debt'!M12)*0.10000000000000009)</x:f>
        <x:v>230.65478133760158</x:v>
      </x:c>
      <x:c r="N84" s="189" t="n">
        <x:f>'Equity_CF'!N20-(('CAPEX'!N15-'CAPEX'!N17-'Debt'!N12)*0.10000000000000009)</x:f>
        <x:v>255.94955462600788</x:v>
      </x:c>
      <x:c r="O84" s="189" t="n">
        <x:f>'Equity_CF'!O20-(('CAPEX'!O15-'CAPEX'!O17-'Debt'!O12)*0.10000000000000009)</x:f>
        <x:v>281.1266525223692</x:v>
      </x:c>
      <x:c r="P84" s="189" t="n">
        <x:f>'Equity_CF'!P20-(('CAPEX'!P15-'CAPEX'!P17-'Debt'!P12)*0.10000000000000009)</x:f>
        <x:v>306.18244245210644</x:v>
      </x:c>
      <x:c r="Q84" s="189" t="n">
        <x:f>'Equity_CF'!Q20-(('CAPEX'!Q15-'CAPEX'!Q17-'Debt'!Q12)*0.10000000000000009)</x:f>
        <x:v>656.6131830680276</x:v>
      </x:c>
      <x:c r="R84" s="189" t="n">
        <x:f>'Equity_CF'!R20-(('CAPEX'!R15-'CAPEX'!R17-'Debt'!R12)*0.10000000000000009)</x:f>
        <x:v>631.865388303229</x:v>
      </x:c>
      <x:c r="S84" s="189" t="n">
        <x:f>'Equity_CF'!S20-(('CAPEX'!S15-'CAPEX'!S17-'Debt'!S12)*0.10000000000000009)</x:f>
        <x:v>625.940988088892</x:v>
      </x:c>
      <x:c r="T84" s="189" t="n">
        <x:f>'Equity_CF'!T20-(('CAPEX'!T15-'CAPEX'!T17-'Debt'!T12)*0.10000000000000009)</x:f>
        <x:v>583.9635218932018</x:v>
      </x:c>
      <x:c r="U84" s="189" t="n">
        <x:f>'Equity_CF'!U20-(('CAPEX'!U15-'CAPEX'!U17-'Debt'!U12)*0.10000000000000009)</x:f>
        <x:v>578.4631750588837</x:v>
      </x:c>
      <x:c r="V84" s="189" t="n">
        <x:f>'Equity_CF'!V20-(('CAPEX'!V15-'CAPEX'!V17-'Debt'!V12)*0.10000000000000009)</x:f>
        <x:v>572.8402974005182</x:v>
      </x:c>
      <x:c r="W84" s="189" t="n">
        <x:f>'Equity_CF'!W20-(('CAPEX'!W15-'CAPEX'!W17-'Debt'!W12)*0.10000000000000009)</x:f>
        <x:v>567.091128034222</x:v>
      </x:c>
      <x:c r="X84" s="189" t="n">
        <x:f>'Equity_CF'!X20-(('CAPEX'!X15-'CAPEX'!X17-'Debt'!X12)*0.10000000000000009)</x:f>
        <x:v>561.2117934195137</x:v>
      </x:c>
      <x:c r="Y84" s="189" t="n">
        <x:f>'Equity_CF'!Y20-(('CAPEX'!Y15-'CAPEX'!Y17-'Debt'!Y12)*0.10000000000000009)</x:f>
        <x:v>-1.1368683772161604e-14</x:v>
      </x:c>
      <x:c r="Z84" s="189" t="n">
        <x:f>'Equity_CF'!Z20-(('CAPEX'!Z15-'CAPEX'!Z17-'Debt'!Z12)*0.10000000000000009)</x:f>
        <x:v>-1.1368683772161604e-14</x:v>
      </x:c>
      <x:c r="AA84" s="189" t="n">
        <x:f>'Equity_CF'!AA20-(('CAPEX'!AA15-'CAPEX'!AA17-'Debt'!AA12)*0.10000000000000009)</x:f>
        <x:v>-1.1368683772161604e-14</x:v>
      </x:c>
      <x:c r="AB84" s="189" t="n">
        <x:f>'Equity_CF'!AB20-(('CAPEX'!AB15-'CAPEX'!AB17-'Debt'!AB12)*0.10000000000000009)</x:f>
        <x:v>-1.1368683772161604e-14</x:v>
      </x:c>
      <x:c r="AC84" s="189" t="n">
        <x:f>'Equity_CF'!AC20-(('CAPEX'!AC15-'CAPEX'!AC17-'Debt'!AC12)*0.10000000000000009)</x:f>
        <x:v>-1.1368683772161604e-14</x:v>
      </x:c>
      <x:c r="AD84" s="189" t="n">
        <x:f>'Equity_CF'!AD20-(('CAPEX'!AD15-'CAPEX'!AD17-'Debt'!AD12)*0.10000000000000009)</x:f>
        <x:v>-1.1368683772161604e-14</x:v>
      </x:c>
      <x:c r="AE84" s="189" t="n">
        <x:f>'Equity_CF'!AE20-(('CAPEX'!AE15-'CAPEX'!AE17-'Debt'!AE12)*0.10000000000000009)</x:f>
        <x:v>-1.1368683772161604e-14</x:v>
      </x:c>
      <x:c r="AF84" s="189" t="n">
        <x:f>'Equity_CF'!AF20-(('CAPEX'!AF15-'CAPEX'!AF17-'Debt'!AF12)*0.10000000000000009)</x:f>
        <x:v>-1.1368683772161604e-14</x:v>
      </x:c>
    </x:row>
    <x:row r="85">
      <x:c r="A85" t="str">
        <x:v>SEN-04-1</x:v>
      </x:c>
      <x:c r="B85" t="str">
        <x:v>Equity CF × 90%</x:v>
      </x:c>
      <x:c r="C85" s="189" t="n">
        <x:f>'Equity_CF'!C20-('Energy_Revenue'!C19*-0.09999999999999998)*(1-'Dep_Tax'!C24)</x:f>
        <x:v>-1009.9799999999999</x:v>
      </x:c>
      <x:c r="D85" s="189" t="n">
        <x:f>'Equity_CF'!D20-('Energy_Revenue'!D19*-0.09999999999999998)*(1-'Dep_Tax'!D24)</x:f>
        <x:v>-1389.4200000000005</x:v>
      </x:c>
      <x:c r="E85" s="189" t="n">
        <x:f>'Equity_CF'!E20-('Energy_Revenue'!E19*-0.09999999999999998)*(1-'Dep_Tax'!E24)</x:f>
        <x:v>373.23249599999997</x:v>
      </x:c>
      <x:c r="F85" s="189" t="n">
        <x:f>'Equity_CF'!F20-('Energy_Revenue'!F19*-0.09999999999999998)*(1-'Dep_Tax'!F24)</x:f>
        <x:v>66.25935100800001</x:v>
      </x:c>
      <x:c r="G85" s="189" t="n">
        <x:f>'Equity_CF'!G20-('Energy_Revenue'!G19*-0.09999999999999998)*(1-'Dep_Tax'!G24)</x:f>
        <x:v>93.99922990598421</x:v>
      </x:c>
      <x:c r="H85" s="189" t="n">
        <x:f>'Equity_CF'!H20-('Energy_Revenue'!H19*-0.09999999999999998)*(1-'Dep_Tax'!H24)</x:f>
        <x:v>121.64941397417222</x:v>
      </x:c>
      <x:c r="I85" s="189" t="n">
        <x:f>'Equity_CF'!I20-('Energy_Revenue'!I19*-0.09999999999999998)*(1-'Dep_Tax'!I24)</x:f>
        <x:v>140.30059799256054</x:v>
      </x:c>
      <x:c r="J85" s="189" t="n">
        <x:f>'Equity_CF'!J20-('Energy_Revenue'!J19*-0.09999999999999998)*(1-'Dep_Tax'!J24)</x:f>
        <x:v>166.38979290833294</x:v>
      </x:c>
      <x:c r="K85" s="189" t="n">
        <x:f>'Equity_CF'!K20-('Energy_Revenue'!K19*-0.09999999999999998)*(1-'Dep_Tax'!K24)</x:f>
        <x:v>192.38555638662666</x:v>
      </x:c>
      <x:c r="L85" s="189" t="n">
        <x:f>'Equity_CF'!L20-('Energy_Revenue'!L19*-0.09999999999999998)*(1-'Dep_Tax'!L24)</x:f>
        <x:v>218.28498234888656</x:v>
      </x:c>
      <x:c r="M85" s="189" t="n">
        <x:f>'Equity_CF'!M20-('Energy_Revenue'!M19*-0.09999999999999998)*(1-'Dep_Tax'!M24)</x:f>
        <x:v>244.08507774047308</x:v>
      </x:c>
      <x:c r="N85" s="189" t="n">
        <x:f>'Equity_CF'!N20-('Energy_Revenue'!N19*-0.09999999999999998)*(1-'Dep_Tax'!N24)</x:f>
        <x:v>269.78275992096553</x:v>
      </x:c>
      <x:c r="O85" s="189" t="n">
        <x:f>'Equity_CF'!O20-('Energy_Revenue'!O19*-0.09999999999999998)*(1-'Dep_Tax'!O24)</x:f>
        <x:v>295.3748539761756</x:v>
      </x:c>
      <x:c r="P85" s="189" t="n">
        <x:f>'Equity_CF'!P20-('Energy_Revenue'!P19*-0.09999999999999998)*(1-'Dep_Tax'!P24)</x:f>
        <x:v>320.858089949527</x:v>
      </x:c>
      <x:c r="Q85" s="189" t="n">
        <x:f>'Equity_CF'!Q20-('Energy_Revenue'!Q19*-0.09999999999999998)*(1-'Dep_Tax'!Q24)</x:f>
        <x:v>671.7290999903709</x:v>
      </x:c>
      <x:c r="R85" s="189" t="n">
        <x:f>'Equity_CF'!R20-('Energy_Revenue'!R19*-0.09999999999999998)*(1-'Dep_Tax'!R24)</x:f>
        <x:v>646.6153409211365</x:v>
      </x:c>
      <x:c r="S85" s="189" t="n">
        <x:f>'Equity_CF'!S20-('Energy_Revenue'!S19*-0.09999999999999998)*(1-'Dep_Tax'!S24)</x:f>
        <x:v>641.1334392853367</x:v>
      </x:c>
      <x:c r="T85" s="189" t="n">
        <x:f>'Equity_CF'!T20-('Energy_Revenue'!T19*-0.09999999999999998)*(1-'Dep_Tax'!T24)</x:f>
        <x:v>597.8730549886134</x:v>
      </x:c>
      <x:c r="U85" s="189" t="n">
        <x:f>'Equity_CF'!U20-('Energy_Revenue'!U19*-0.09999999999999998)*(1-'Dep_Tax'!U24)</x:f>
        <x:v>592.7899941471577</x:v>
      </x:c>
      <x:c r="V85" s="189" t="n">
        <x:f>'Equity_CF'!V20-('Energy_Revenue'!V19*-0.09999999999999998)*(1-'Dep_Tax'!V24)</x:f>
        <x:v>587.5969210614404</x:v>
      </x:c>
      <x:c r="W85" s="189" t="n">
        <x:f>'Equity_CF'!W20-('Energy_Revenue'!W19*-0.09999999999999998)*(1-'Dep_Tax'!W24)</x:f>
        <x:v>582.2904504049719</x:v>
      </x:c>
      <x:c r="X85" s="189" t="n">
        <x:f>'Equity_CF'!X20-('Energy_Revenue'!X19*-0.09999999999999998)*(1-'Dep_Tax'!X24)</x:f>
        <x:v>576.867095461386</x:v>
      </x:c>
      <x:c r="Y85" s="189" t="n">
        <x:f>'Equity_CF'!Y20-('Energy_Revenue'!Y19*-0.09999999999999998)*(1-'Dep_Tax'!Y24)</x:f>
        <x:v>-1.1368683772161604e-14</x:v>
      </x:c>
      <x:c r="Z85" s="189" t="n">
        <x:f>'Equity_CF'!Z20-('Energy_Revenue'!Z19*-0.09999999999999998)*(1-'Dep_Tax'!Z24)</x:f>
        <x:v>-1.1368683772161604e-14</x:v>
      </x:c>
      <x:c r="AA85" s="189" t="n">
        <x:f>'Equity_CF'!AA20-('Energy_Revenue'!AA19*-0.09999999999999998)*(1-'Dep_Tax'!AA24)</x:f>
        <x:v>-1.1368683772161604e-14</x:v>
      </x:c>
      <x:c r="AB85" s="189" t="n">
        <x:f>'Equity_CF'!AB20-('Energy_Revenue'!AB19*-0.09999999999999998)*(1-'Dep_Tax'!AB24)</x:f>
        <x:v>-1.1368683772161604e-14</x:v>
      </x:c>
      <x:c r="AC85" s="189" t="n">
        <x:f>'Equity_CF'!AC20-('Energy_Revenue'!AC19*-0.09999999999999998)*(1-'Dep_Tax'!AC24)</x:f>
        <x:v>-1.1368683772161604e-14</x:v>
      </x:c>
      <x:c r="AD85" s="189" t="n">
        <x:f>'Equity_CF'!AD20-('Energy_Revenue'!AD19*-0.09999999999999998)*(1-'Dep_Tax'!AD24)</x:f>
        <x:v>-1.1368683772161604e-14</x:v>
      </x:c>
      <x:c r="AE85" s="189" t="n">
        <x:f>'Equity_CF'!AE20-('Energy_Revenue'!AE19*-0.09999999999999998)*(1-'Dep_Tax'!AE24)</x:f>
        <x:v>-1.1368683772161604e-14</x:v>
      </x:c>
      <x:c r="AF85" s="189" t="n">
        <x:f>'Equity_CF'!AF20-('Energy_Revenue'!AF19*-0.09999999999999998)*(1-'Dep_Tax'!AF24)</x:f>
        <x:v>-1.1368683772161604e-14</x:v>
      </x:c>
    </x:row>
    <x:row r="86">
      <x:c r="A86" t="str">
        <x:v>SEN-04-2</x:v>
      </x:c>
      <x:c r="B86" t="str">
        <x:v>Equity CF × 95%</x:v>
      </x:c>
      <x:c r="C86" s="189" t="n">
        <x:f>'Equity_CF'!C20-('Energy_Revenue'!C19*-0.050000000000000044)*(1-'Dep_Tax'!C24)</x:f>
        <x:v>-1009.9799999999999</x:v>
      </x:c>
      <x:c r="D86" s="189" t="n">
        <x:f>'Equity_CF'!D20-('Energy_Revenue'!D19*-0.050000000000000044)*(1-'Dep_Tax'!D24)</x:f>
        <x:v>-1389.4200000000005</x:v>
      </x:c>
      <x:c r="E86" s="189" t="n">
        <x:f>'Equity_CF'!E20-('Energy_Revenue'!E19*-0.050000000000000044)*(1-'Dep_Tax'!E24)</x:f>
        <x:v>367.6524959999999</x:v>
      </x:c>
      <x:c r="F86" s="189" t="n">
        <x:f>'Equity_CF'!F20-('Energy_Revenue'!F19*-0.050000000000000044)*(1-'Dep_Tax'!F24)</x:f>
        <x:v>60.51195100800002</x:v>
      </x:c>
      <x:c r="G86" s="189" t="n">
        <x:f>'Equity_CF'!G20-('Energy_Revenue'!G19*-0.050000000000000044)*(1-'Dep_Tax'!G24)</x:f>
        <x:v>88.07940790598423</x:v>
      </x:c>
      <x:c r="H86" s="189" t="n">
        <x:f>'Equity_CF'!H20-('Energy_Revenue'!H19*-0.050000000000000044)*(1-'Dep_Tax'!H24)</x:f>
        <x:v>115.55199731417223</x:v>
      </x:c>
      <x:c r="I86" s="189" t="n">
        <x:f>'Equity_CF'!I20-('Energy_Revenue'!I19*-0.050000000000000044)*(1-'Dep_Tax'!I24)</x:f>
        <x:v>134.33427579075055</x:v>
      </x:c>
      <x:c r="J86" s="189" t="n">
        <x:f>'Equity_CF'!J20-('Energy_Revenue'!J19*-0.050000000000000044)*(1-'Dep_Tax'!J24)</x:f>
        <x:v>160.24448104046866</x:v>
      </x:c>
      <x:c r="K86" s="189" t="n">
        <x:f>'Equity_CF'!K20-('Energy_Revenue'!K19*-0.050000000000000044)*(1-'Dep_Tax'!K24)</x:f>
        <x:v>186.0558851627264</x:v>
      </x:c>
      <x:c r="L86" s="189" t="n">
        <x:f>'Equity_CF'!L20-('Energy_Revenue'!L19*-0.050000000000000044)*(1-'Dep_Tax'!L24)</x:f>
        <x:v>211.76542098826934</x:v>
      </x:c>
      <x:c r="M86" s="189" t="n">
        <x:f>'Equity_CF'!M20-('Energy_Revenue'!M19*-0.050000000000000044)*(1-'Dep_Tax'!M24)</x:f>
        <x:v>237.36992953903734</x:v>
      </x:c>
      <x:c r="N86" s="189" t="n">
        <x:f>'Equity_CF'!N20-('Energy_Revenue'!N19*-0.050000000000000044)*(1-'Dep_Tax'!N24)</x:f>
        <x:v>262.8661572734867</x:v>
      </x:c>
      <x:c r="O86" s="189" t="n">
        <x:f>'Equity_CF'!O20-('Energy_Revenue'!O19*-0.050000000000000044)*(1-'Dep_Tax'!O24)</x:f>
        <x:v>288.2507532492724</x:v>
      </x:c>
      <x:c r="P86" s="189" t="n">
        <x:f>'Equity_CF'!P20-('Energy_Revenue'!P19*-0.050000000000000044)*(1-'Dep_Tax'!P24)</x:f>
        <x:v>313.52026620081676</x:v>
      </x:c>
      <x:c r="Q86" s="189" t="n">
        <x:f>'Equity_CF'!Q20-('Energy_Revenue'!Q19*-0.050000000000000044)*(1-'Dep_Tax'!Q24)</x:f>
        <x:v>664.1711415291992</x:v>
      </x:c>
      <x:c r="R86" s="189" t="n">
        <x:f>'Equity_CF'!R20-('Energy_Revenue'!R19*-0.050000000000000044)*(1-'Dep_Tax'!R24)</x:f>
        <x:v>639.2403646121828</x:v>
      </x:c>
      <x:c r="S86" s="189" t="n">
        <x:f>'Equity_CF'!S20-('Energy_Revenue'!S19*-0.050000000000000044)*(1-'Dep_Tax'!S24)</x:f>
        <x:v>633.5372136871144</x:v>
      </x:c>
      <x:c r="T86" s="189" t="n">
        <x:f>'Equity_CF'!T20-('Energy_Revenue'!T19*-0.050000000000000044)*(1-'Dep_Tax'!T24)</x:f>
        <x:v>590.9182884409076</x:v>
      </x:c>
      <x:c r="U86" s="189" t="n">
        <x:f>'Equity_CF'!U20-('Energy_Revenue'!U19*-0.050000000000000044)*(1-'Dep_Tax'!U24)</x:f>
        <x:v>585.6265846030208</x:v>
      </x:c>
      <x:c r="V86" s="189" t="n">
        <x:f>'Equity_CF'!V20-('Energy_Revenue'!V19*-0.050000000000000044)*(1-'Dep_Tax'!V24)</x:f>
        <x:v>580.2186092309794</x:v>
      </x:c>
      <x:c r="W86" s="189" t="n">
        <x:f>'Equity_CF'!W20-('Energy_Revenue'!W19*-0.050000000000000044)*(1-'Dep_Tax'!W24)</x:f>
        <x:v>574.6907892195969</x:v>
      </x:c>
      <x:c r="X86" s="189" t="n">
        <x:f>'Equity_CF'!X20-('Energy_Revenue'!X19*-0.050000000000000044)*(1-'Dep_Tax'!X24)</x:f>
        <x:v>569.0394444404499</x:v>
      </x:c>
      <x:c r="Y86" s="189" t="n">
        <x:f>'Equity_CF'!Y20-('Energy_Revenue'!Y19*-0.050000000000000044)*(1-'Dep_Tax'!Y24)</x:f>
        <x:v>-1.1368683772161604e-14</x:v>
      </x:c>
      <x:c r="Z86" s="189" t="n">
        <x:f>'Equity_CF'!Z20-('Energy_Revenue'!Z19*-0.050000000000000044)*(1-'Dep_Tax'!Z24)</x:f>
        <x:v>-1.1368683772161604e-14</x:v>
      </x:c>
      <x:c r="AA86" s="189" t="n">
        <x:f>'Equity_CF'!AA20-('Energy_Revenue'!AA19*-0.050000000000000044)*(1-'Dep_Tax'!AA24)</x:f>
        <x:v>-1.1368683772161604e-14</x:v>
      </x:c>
      <x:c r="AB86" s="189" t="n">
        <x:f>'Equity_CF'!AB20-('Energy_Revenue'!AB19*-0.050000000000000044)*(1-'Dep_Tax'!AB24)</x:f>
        <x:v>-1.1368683772161604e-14</x:v>
      </x:c>
      <x:c r="AC86" s="189" t="n">
        <x:f>'Equity_CF'!AC20-('Energy_Revenue'!AC19*-0.050000000000000044)*(1-'Dep_Tax'!AC24)</x:f>
        <x:v>-1.1368683772161604e-14</x:v>
      </x:c>
      <x:c r="AD86" s="189" t="n">
        <x:f>'Equity_CF'!AD20-('Energy_Revenue'!AD19*-0.050000000000000044)*(1-'Dep_Tax'!AD24)</x:f>
        <x:v>-1.1368683772161604e-14</x:v>
      </x:c>
      <x:c r="AE86" s="189" t="n">
        <x:f>'Equity_CF'!AE20-('Energy_Revenue'!AE19*-0.050000000000000044)*(1-'Dep_Tax'!AE24)</x:f>
        <x:v>-1.1368683772161604e-14</x:v>
      </x:c>
      <x:c r="AF86" s="189" t="n">
        <x:f>'Equity_CF'!AF20-('Energy_Revenue'!AF19*-0.050000000000000044)*(1-'Dep_Tax'!AF24)</x:f>
        <x:v>-1.1368683772161604e-14</x:v>
      </x:c>
    </x:row>
    <x:row r="87">
      <x:c r="A87" t="str">
        <x:v>SEN-04-3</x:v>
      </x:c>
      <x:c r="B87" t="str">
        <x:v>Equity CF × 100%</x:v>
      </x:c>
      <x:c r="C87" s="189" t="n">
        <x:f>'Equity_CF'!C20-('Energy_Revenue'!C19*0)*(1-'Dep_Tax'!C24)</x:f>
        <x:v>-1009.9799999999999</x:v>
      </x:c>
      <x:c r="D87" s="189" t="n">
        <x:f>'Equity_CF'!D20-('Energy_Revenue'!D19*0)*(1-'Dep_Tax'!D24)</x:f>
        <x:v>-1389.4200000000005</x:v>
      </x:c>
      <x:c r="E87" s="189" t="n">
        <x:f>'Equity_CF'!E20-('Energy_Revenue'!E19*0)*(1-'Dep_Tax'!E24)</x:f>
        <x:v>362.07249599999994</x:v>
      </x:c>
      <x:c r="F87" s="189" t="n">
        <x:f>'Equity_CF'!F20-('Energy_Revenue'!F19*0)*(1-'Dep_Tax'!F24)</x:f>
        <x:v>54.76455100800001</x:v>
      </x:c>
      <x:c r="G87" s="189" t="n">
        <x:f>'Equity_CF'!G20-('Energy_Revenue'!G19*0)*(1-'Dep_Tax'!G24)</x:f>
        <x:v>82.15958590598422</x:v>
      </x:c>
      <x:c r="H87" s="189" t="n">
        <x:f>'Equity_CF'!H20-('Energy_Revenue'!H19*0)*(1-'Dep_Tax'!H24)</x:f>
        <x:v>109.45458065417222</x:v>
      </x:c>
      <x:c r="I87" s="189" t="n">
        <x:f>'Equity_CF'!I20-('Energy_Revenue'!I19*0)*(1-'Dep_Tax'!I24)</x:f>
        <x:v>128.36795358894054</x:v>
      </x:c>
      <x:c r="J87" s="189" t="n">
        <x:f>'Equity_CF'!J20-('Energy_Revenue'!J19*0)*(1-'Dep_Tax'!J24)</x:f>
        <x:v>154.09916917260435</x:v>
      </x:c>
      <x:c r="K87" s="189" t="n">
        <x:f>'Equity_CF'!K20-('Energy_Revenue'!K19*0)*(1-'Dep_Tax'!K24)</x:f>
        <x:v>179.7262139388262</x:v>
      </x:c>
      <x:c r="L87" s="189" t="n">
        <x:f>'Equity_CF'!L20-('Energy_Revenue'!L19*0)*(1-'Dep_Tax'!L24)</x:f>
        <x:v>205.2458596276521</x:v>
      </x:c>
      <x:c r="M87" s="189" t="n">
        <x:f>'Equity_CF'!M20-('Energy_Revenue'!M19*0)*(1-'Dep_Tax'!M24)</x:f>
        <x:v>230.65478133760158</x:v>
      </x:c>
      <x:c r="N87" s="189" t="n">
        <x:f>'Equity_CF'!N20-('Energy_Revenue'!N19*0)*(1-'Dep_Tax'!N24)</x:f>
        <x:v>255.94955462600788</x:v>
      </x:c>
      <x:c r="O87" s="189" t="n">
        <x:f>'Equity_CF'!O20-('Energy_Revenue'!O19*0)*(1-'Dep_Tax'!O24)</x:f>
        <x:v>281.1266525223692</x:v>
      </x:c>
      <x:c r="P87" s="189" t="n">
        <x:f>'Equity_CF'!P20-('Energy_Revenue'!P19*0)*(1-'Dep_Tax'!P24)</x:f>
        <x:v>306.18244245210644</x:v>
      </x:c>
      <x:c r="Q87" s="189" t="n">
        <x:f>'Equity_CF'!Q20-('Energy_Revenue'!Q19*0)*(1-'Dep_Tax'!Q24)</x:f>
        <x:v>656.6131830680276</x:v>
      </x:c>
      <x:c r="R87" s="189" t="n">
        <x:f>'Equity_CF'!R20-('Energy_Revenue'!R19*0)*(1-'Dep_Tax'!R24)</x:f>
        <x:v>631.865388303229</x:v>
      </x:c>
      <x:c r="S87" s="189" t="n">
        <x:f>'Equity_CF'!S20-('Energy_Revenue'!S19*0)*(1-'Dep_Tax'!S24)</x:f>
        <x:v>625.940988088892</x:v>
      </x:c>
      <x:c r="T87" s="189" t="n">
        <x:f>'Equity_CF'!T20-('Energy_Revenue'!T19*0)*(1-'Dep_Tax'!T24)</x:f>
        <x:v>583.9635218932018</x:v>
      </x:c>
      <x:c r="U87" s="189" t="n">
        <x:f>'Equity_CF'!U20-('Energy_Revenue'!U19*0)*(1-'Dep_Tax'!U24)</x:f>
        <x:v>578.4631750588837</x:v>
      </x:c>
      <x:c r="V87" s="189" t="n">
        <x:f>'Equity_CF'!V20-('Energy_Revenue'!V19*0)*(1-'Dep_Tax'!V24)</x:f>
        <x:v>572.8402974005182</x:v>
      </x:c>
      <x:c r="W87" s="189" t="n">
        <x:f>'Equity_CF'!W20-('Energy_Revenue'!W19*0)*(1-'Dep_Tax'!W24)</x:f>
        <x:v>567.091128034222</x:v>
      </x:c>
      <x:c r="X87" s="189" t="n">
        <x:f>'Equity_CF'!X20-('Energy_Revenue'!X19*0)*(1-'Dep_Tax'!X24)</x:f>
        <x:v>561.2117934195137</x:v>
      </x:c>
      <x:c r="Y87" s="189" t="n">
        <x:f>'Equity_CF'!Y20-('Energy_Revenue'!Y19*0)*(1-'Dep_Tax'!Y24)</x:f>
        <x:v>-1.1368683772161604e-14</x:v>
      </x:c>
      <x:c r="Z87" s="189" t="n">
        <x:f>'Equity_CF'!Z20-('Energy_Revenue'!Z19*0)*(1-'Dep_Tax'!Z24)</x:f>
        <x:v>-1.1368683772161604e-14</x:v>
      </x:c>
      <x:c r="AA87" s="189" t="n">
        <x:f>'Equity_CF'!AA20-('Energy_Revenue'!AA19*0)*(1-'Dep_Tax'!AA24)</x:f>
        <x:v>-1.1368683772161604e-14</x:v>
      </x:c>
      <x:c r="AB87" s="189" t="n">
        <x:f>'Equity_CF'!AB20-('Energy_Revenue'!AB19*0)*(1-'Dep_Tax'!AB24)</x:f>
        <x:v>-1.1368683772161604e-14</x:v>
      </x:c>
      <x:c r="AC87" s="189" t="n">
        <x:f>'Equity_CF'!AC20-('Energy_Revenue'!AC19*0)*(1-'Dep_Tax'!AC24)</x:f>
        <x:v>-1.1368683772161604e-14</x:v>
      </x:c>
      <x:c r="AD87" s="189" t="n">
        <x:f>'Equity_CF'!AD20-('Energy_Revenue'!AD19*0)*(1-'Dep_Tax'!AD24)</x:f>
        <x:v>-1.1368683772161604e-14</x:v>
      </x:c>
      <x:c r="AE87" s="189" t="n">
        <x:f>'Equity_CF'!AE20-('Energy_Revenue'!AE19*0)*(1-'Dep_Tax'!AE24)</x:f>
        <x:v>-1.1368683772161604e-14</x:v>
      </x:c>
      <x:c r="AF87" s="189" t="n">
        <x:f>'Equity_CF'!AF20-('Energy_Revenue'!AF19*0)*(1-'Dep_Tax'!AF24)</x:f>
        <x:v>-1.1368683772161604e-14</x:v>
      </x:c>
    </x:row>
    <x:row r="88">
      <x:c r="A88" t="str">
        <x:v>SEN-04-4</x:v>
      </x:c>
      <x:c r="B88" t="str">
        <x:v>Equity CF × 105%</x:v>
      </x:c>
      <x:c r="C88" s="189" t="n">
        <x:f>'Equity_CF'!C20-('Energy_Revenue'!C19*0.050000000000000044)*(1-'Dep_Tax'!C24)</x:f>
        <x:v>-1009.9799999999999</x:v>
      </x:c>
      <x:c r="D88" s="189" t="n">
        <x:f>'Equity_CF'!D20-('Energy_Revenue'!D19*0.050000000000000044)*(1-'Dep_Tax'!D24)</x:f>
        <x:v>-1389.4200000000005</x:v>
      </x:c>
      <x:c r="E88" s="189" t="n">
        <x:f>'Equity_CF'!E20-('Energy_Revenue'!E19*0.050000000000000044)*(1-'Dep_Tax'!E24)</x:f>
        <x:v>356.49249599999996</x:v>
      </x:c>
      <x:c r="F88" s="189" t="n">
        <x:f>'Equity_CF'!F20-('Energy_Revenue'!F19*0.050000000000000044)*(1-'Dep_Tax'!F24)</x:f>
        <x:v>49.017151008000006</x:v>
      </x:c>
      <x:c r="G88" s="189" t="n">
        <x:f>'Equity_CF'!G20-('Energy_Revenue'!G19*0.050000000000000044)*(1-'Dep_Tax'!G24)</x:f>
        <x:v>76.2397639059842</x:v>
      </x:c>
      <x:c r="H88" s="189" t="n">
        <x:f>'Equity_CF'!H20-('Energy_Revenue'!H19*0.050000000000000044)*(1-'Dep_Tax'!H24)</x:f>
        <x:v>103.35716399417221</x:v>
      </x:c>
      <x:c r="I88" s="189" t="n">
        <x:f>'Equity_CF'!I20-('Energy_Revenue'!I19*0.050000000000000044)*(1-'Dep_Tax'!I24)</x:f>
        <x:v>122.40163138713054</x:v>
      </x:c>
      <x:c r="J88" s="189" t="n">
        <x:f>'Equity_CF'!J20-('Energy_Revenue'!J19*0.050000000000000044)*(1-'Dep_Tax'!J24)</x:f>
        <x:v>147.95385730474004</x:v>
      </x:c>
      <x:c r="K88" s="189" t="n">
        <x:f>'Equity_CF'!K20-('Energy_Revenue'!K19*0.050000000000000044)*(1-'Dep_Tax'!K24)</x:f>
        <x:v>173.39654271492597</x:v>
      </x:c>
      <x:c r="L88" s="189" t="n">
        <x:f>'Equity_CF'!L20-('Energy_Revenue'!L19*0.050000000000000044)*(1-'Dep_Tax'!L24)</x:f>
        <x:v>198.72629826703485</x:v>
      </x:c>
      <x:c r="M88" s="189" t="n">
        <x:f>'Equity_CF'!M20-('Energy_Revenue'!M19*0.050000000000000044)*(1-'Dep_Tax'!M24)</x:f>
        <x:v>223.9396331361658</x:v>
      </x:c>
      <x:c r="N88" s="189" t="n">
        <x:f>'Equity_CF'!N20-('Energy_Revenue'!N19*0.050000000000000044)*(1-'Dep_Tax'!N24)</x:f>
        <x:v>249.03295197852904</x:v>
      </x:c>
      <x:c r="O88" s="189" t="n">
        <x:f>'Equity_CF'!O20-('Energy_Revenue'!O19*0.050000000000000044)*(1-'Dep_Tax'!O24)</x:f>
        <x:v>274.00255179546605</x:v>
      </x:c>
      <x:c r="P88" s="189" t="n">
        <x:f>'Equity_CF'!P20-('Energy_Revenue'!P19*0.050000000000000044)*(1-'Dep_Tax'!P24)</x:f>
        <x:v>298.8446187033961</x:v>
      </x:c>
      <x:c r="Q88" s="189" t="n">
        <x:f>'Equity_CF'!Q20-('Energy_Revenue'!Q19*0.050000000000000044)*(1-'Dep_Tax'!Q24)</x:f>
        <x:v>649.0552246068561</x:v>
      </x:c>
      <x:c r="R88" s="189" t="n">
        <x:f>'Equity_CF'!R20-('Energy_Revenue'!R19*0.050000000000000044)*(1-'Dep_Tax'!R24)</x:f>
        <x:v>624.4904119942752</x:v>
      </x:c>
      <x:c r="S88" s="189" t="n">
        <x:f>'Equity_CF'!S20-('Energy_Revenue'!S19*0.050000000000000044)*(1-'Dep_Tax'!S24)</x:f>
        <x:v>618.3447624906696</x:v>
      </x:c>
      <x:c r="T88" s="189" t="n">
        <x:f>'Equity_CF'!T20-('Energy_Revenue'!T19*0.050000000000000044)*(1-'Dep_Tax'!T24)</x:f>
        <x:v>577.008755345496</x:v>
      </x:c>
      <x:c r="U88" s="189" t="n">
        <x:f>'Equity_CF'!U20-('Energy_Revenue'!U19*0.050000000000000044)*(1-'Dep_Tax'!U24)</x:f>
        <x:v>571.2997655147467</x:v>
      </x:c>
      <x:c r="V88" s="189" t="n">
        <x:f>'Equity_CF'!V20-('Energy_Revenue'!V19*0.050000000000000044)*(1-'Dep_Tax'!V24)</x:f>
        <x:v>565.4619855700571</x:v>
      </x:c>
      <x:c r="W88" s="189" t="n">
        <x:f>'Equity_CF'!W20-('Energy_Revenue'!W19*0.050000000000000044)*(1-'Dep_Tax'!W24)</x:f>
        <x:v>559.4914668488472</x:v>
      </x:c>
      <x:c r="X88" s="189" t="n">
        <x:f>'Equity_CF'!X20-('Energy_Revenue'!X19*0.050000000000000044)*(1-'Dep_Tax'!X24)</x:f>
        <x:v>553.3841423985775</x:v>
      </x:c>
      <x:c r="Y88" s="189" t="n">
        <x:f>'Equity_CF'!Y20-('Energy_Revenue'!Y19*0.050000000000000044)*(1-'Dep_Tax'!Y24)</x:f>
        <x:v>-1.1368683772161604e-14</x:v>
      </x:c>
      <x:c r="Z88" s="189" t="n">
        <x:f>'Equity_CF'!Z20-('Energy_Revenue'!Z19*0.050000000000000044)*(1-'Dep_Tax'!Z24)</x:f>
        <x:v>-1.1368683772161604e-14</x:v>
      </x:c>
      <x:c r="AA88" s="189" t="n">
        <x:f>'Equity_CF'!AA20-('Energy_Revenue'!AA19*0.050000000000000044)*(1-'Dep_Tax'!AA24)</x:f>
        <x:v>-1.1368683772161604e-14</x:v>
      </x:c>
      <x:c r="AB88" s="189" t="n">
        <x:f>'Equity_CF'!AB20-('Energy_Revenue'!AB19*0.050000000000000044)*(1-'Dep_Tax'!AB24)</x:f>
        <x:v>-1.1368683772161604e-14</x:v>
      </x:c>
      <x:c r="AC88" s="189" t="n">
        <x:f>'Equity_CF'!AC20-('Energy_Revenue'!AC19*0.050000000000000044)*(1-'Dep_Tax'!AC24)</x:f>
        <x:v>-1.1368683772161604e-14</x:v>
      </x:c>
      <x:c r="AD88" s="189" t="n">
        <x:f>'Equity_CF'!AD20-('Energy_Revenue'!AD19*0.050000000000000044)*(1-'Dep_Tax'!AD24)</x:f>
        <x:v>-1.1368683772161604e-14</x:v>
      </x:c>
      <x:c r="AE88" s="189" t="n">
        <x:f>'Equity_CF'!AE20-('Energy_Revenue'!AE19*0.050000000000000044)*(1-'Dep_Tax'!AE24)</x:f>
        <x:v>-1.1368683772161604e-14</x:v>
      </x:c>
      <x:c r="AF88" s="189" t="n">
        <x:f>'Equity_CF'!AF20-('Energy_Revenue'!AF19*0.050000000000000044)*(1-'Dep_Tax'!AF24)</x:f>
        <x:v>-1.1368683772161604e-14</x:v>
      </x:c>
    </x:row>
    <x:row r="89">
      <x:c r="A89" t="str">
        <x:v>SEN-04-5</x:v>
      </x:c>
      <x:c r="B89" t="str">
        <x:v>Equity CF × 110%</x:v>
      </x:c>
      <x:c r="C89" s="189" t="n">
        <x:f>'Equity_CF'!C20-('Energy_Revenue'!C19*0.10000000000000009)*(1-'Dep_Tax'!C24)</x:f>
        <x:v>-1009.9799999999999</x:v>
      </x:c>
      <x:c r="D89" s="189" t="n">
        <x:f>'Equity_CF'!D20-('Energy_Revenue'!D19*0.10000000000000009)*(1-'Dep_Tax'!D24)</x:f>
        <x:v>-1389.4200000000005</x:v>
      </x:c>
      <x:c r="E89" s="189" t="n">
        <x:f>'Equity_CF'!E20-('Energy_Revenue'!E19*0.10000000000000009)*(1-'Dep_Tax'!E24)</x:f>
        <x:v>350.9124959999999</x:v>
      </x:c>
      <x:c r="F89" s="189" t="n">
        <x:f>'Equity_CF'!F20-('Energy_Revenue'!F19*0.10000000000000009)*(1-'Dep_Tax'!F24)</x:f>
        <x:v>43.269751008</x:v>
      </x:c>
      <x:c r="G89" s="189" t="n">
        <x:f>'Equity_CF'!G20-('Energy_Revenue'!G19*0.10000000000000009)*(1-'Dep_Tax'!G24)</x:f>
        <x:v>70.31994190598421</x:v>
      </x:c>
      <x:c r="H89" s="189" t="n">
        <x:f>'Equity_CF'!H20-('Energy_Revenue'!H19*0.10000000000000009)*(1-'Dep_Tax'!H24)</x:f>
        <x:v>97.2597473341722</x:v>
      </x:c>
      <x:c r="I89" s="189" t="n">
        <x:f>'Equity_CF'!I20-('Energy_Revenue'!I19*0.10000000000000009)*(1-'Dep_Tax'!I24)</x:f>
        <x:v>116.43530918532053</x:v>
      </x:c>
      <x:c r="J89" s="189" t="n">
        <x:f>'Equity_CF'!J20-('Energy_Revenue'!J19*0.10000000000000009)*(1-'Dep_Tax'!J24)</x:f>
        <x:v>141.80854543687573</x:v>
      </x:c>
      <x:c r="K89" s="189" t="n">
        <x:f>'Equity_CF'!K20-('Energy_Revenue'!K19*0.10000000000000009)*(1-'Dep_Tax'!K24)</x:f>
        <x:v>167.06687149102572</x:v>
      </x:c>
      <x:c r="L89" s="189" t="n">
        <x:f>'Equity_CF'!L20-('Energy_Revenue'!L19*0.10000000000000009)*(1-'Dep_Tax'!L24)</x:f>
        <x:v>192.2067369064176</x:v>
      </x:c>
      <x:c r="M89" s="189" t="n">
        <x:f>'Equity_CF'!M20-('Energy_Revenue'!M19*0.10000000000000009)*(1-'Dep_Tax'!M24)</x:f>
        <x:v>217.22448493473007</x:v>
      </x:c>
      <x:c r="N89" s="189" t="n">
        <x:f>'Equity_CF'!N20-('Energy_Revenue'!N19*0.10000000000000009)*(1-'Dep_Tax'!N24)</x:f>
        <x:v>242.11634933105023</x:v>
      </x:c>
      <x:c r="O89" s="189" t="n">
        <x:f>'Equity_CF'!O20-('Energy_Revenue'!O19*0.10000000000000009)*(1-'Dep_Tax'!O24)</x:f>
        <x:v>266.8784510685628</x:v>
      </x:c>
      <x:c r="P89" s="189" t="n">
        <x:f>'Equity_CF'!P20-('Energy_Revenue'!P19*0.10000000000000009)*(1-'Dep_Tax'!P24)</x:f>
        <x:v>291.50679495468586</x:v>
      </x:c>
      <x:c r="Q89" s="189" t="n">
        <x:f>'Equity_CF'!Q20-('Energy_Revenue'!Q19*0.10000000000000009)*(1-'Dep_Tax'!Q24)</x:f>
        <x:v>641.4972661456844</x:v>
      </x:c>
      <x:c r="R89" s="189" t="n">
        <x:f>'Equity_CF'!R20-('Energy_Revenue'!R19*0.10000000000000009)*(1-'Dep_Tax'!R24)</x:f>
        <x:v>617.1154356853215</x:v>
      </x:c>
      <x:c r="S89" s="189" t="n">
        <x:f>'Equity_CF'!S20-('Energy_Revenue'!S19*0.10000000000000009)*(1-'Dep_Tax'!S24)</x:f>
        <x:v>610.7485368924473</x:v>
      </x:c>
      <x:c r="T89" s="189" t="n">
        <x:f>'Equity_CF'!T20-('Energy_Revenue'!T19*0.10000000000000009)*(1-'Dep_Tax'!T24)</x:f>
        <x:v>570.0539887977901</x:v>
      </x:c>
      <x:c r="U89" s="189" t="n">
        <x:f>'Equity_CF'!U20-('Energy_Revenue'!U19*0.10000000000000009)*(1-'Dep_Tax'!U24)</x:f>
        <x:v>564.1363559706098</x:v>
      </x:c>
      <x:c r="V89" s="189" t="n">
        <x:f>'Equity_CF'!V20-('Energy_Revenue'!V19*0.10000000000000009)*(1-'Dep_Tax'!V24)</x:f>
        <x:v>558.0836737395961</x:v>
      </x:c>
      <x:c r="W89" s="189" t="n">
        <x:f>'Equity_CF'!W20-('Energy_Revenue'!W19*0.10000000000000009)*(1-'Dep_Tax'!W24)</x:f>
        <x:v>551.8918056634722</x:v>
      </x:c>
      <x:c r="X89" s="189" t="n">
        <x:f>'Equity_CF'!X20-('Energy_Revenue'!X19*0.10000000000000009)*(1-'Dep_Tax'!X24)</x:f>
        <x:v>545.5564913776414</x:v>
      </x:c>
      <x:c r="Y89" s="189" t="n">
        <x:f>'Equity_CF'!Y20-('Energy_Revenue'!Y19*0.10000000000000009)*(1-'Dep_Tax'!Y24)</x:f>
        <x:v>-1.1368683772161604e-14</x:v>
      </x:c>
      <x:c r="Z89" s="189" t="n">
        <x:f>'Equity_CF'!Z20-('Energy_Revenue'!Z19*0.10000000000000009)*(1-'Dep_Tax'!Z24)</x:f>
        <x:v>-1.1368683772161604e-14</x:v>
      </x:c>
      <x:c r="AA89" s="189" t="n">
        <x:f>'Equity_CF'!AA20-('Energy_Revenue'!AA19*0.10000000000000009)*(1-'Dep_Tax'!AA24)</x:f>
        <x:v>-1.1368683772161604e-14</x:v>
      </x:c>
      <x:c r="AB89" s="189" t="n">
        <x:f>'Equity_CF'!AB20-('Energy_Revenue'!AB19*0.10000000000000009)*(1-'Dep_Tax'!AB24)</x:f>
        <x:v>-1.1368683772161604e-14</x:v>
      </x:c>
      <x:c r="AC89" s="189" t="n">
        <x:f>'Equity_CF'!AC20-('Energy_Revenue'!AC19*0.10000000000000009)*(1-'Dep_Tax'!AC24)</x:f>
        <x:v>-1.1368683772161604e-14</x:v>
      </x:c>
      <x:c r="AD89" s="189" t="n">
        <x:f>'Equity_CF'!AD20-('Energy_Revenue'!AD19*0.10000000000000009)*(1-'Dep_Tax'!AD24)</x:f>
        <x:v>-1.1368683772161604e-14</x:v>
      </x:c>
      <x:c r="AE89" s="189" t="n">
        <x:f>'Equity_CF'!AE20-('Energy_Revenue'!AE19*0.10000000000000009)*(1-'Dep_Tax'!AE24)</x:f>
        <x:v>-1.1368683772161604e-14</x:v>
      </x:c>
      <x:c r="AF89" s="189" t="n">
        <x:f>'Equity_CF'!AF20-('Energy_Revenue'!AF19*0.10000000000000009)*(1-'Dep_Tax'!AF24)</x:f>
        <x:v>-1.1368683772161604e-14</x:v>
      </x:c>
    </x:row>
    <x:row r="90">
      <x:c r="A90" t="str">
        <x:v>SEN-05-1</x:v>
      </x:c>
      <x:c r="B90" t="str">
        <x:v>Equity CF × 90%</x:v>
      </x:c>
      <x:c r="C90" s="189" t="n">
        <x:f>'Equity_CF'!C20-'Debt'!C16*-0.09999999999999998*(1-'Dep_Tax'!C24)</x:f>
        <x:v>-1002.1679999999999</x:v>
      </x:c>
      <x:c r="D90" s="189" t="n">
        <x:f>'Equity_CF'!D20-'Debt'!D16*-0.09999999999999998*(1-'Dep_Tax'!D24)</x:f>
        <x:v>-1362.0780000000004</x:v>
      </x:c>
      <x:c r="E90" s="189" t="n">
        <x:f>'Equity_CF'!E20-'Debt'!E16*-0.09999999999999998*(1-'Dep_Tax'!E24)</x:f>
        <x:v>401.13249599999995</x:v>
      </x:c>
      <x:c r="F90" s="189" t="n">
        <x:f>'Equity_CF'!F20-'Debt'!F16*-0.09999999999999998*(1-'Dep_Tax'!F24)</x:f>
        <x:v>90.569551008</x:v>
      </x:c>
      <x:c r="G90" s="189" t="n">
        <x:f>'Equity_CF'!G20-'Debt'!G16*-0.09999999999999998*(1-'Dep_Tax'!G24)</x:f>
        <x:v>114.7095859059842</x:v>
      </x:c>
      <x:c r="H90" s="189" t="n">
        <x:f>'Equity_CF'!H20-'Debt'!H16*-0.09999999999999998*(1-'Dep_Tax'!H24)</x:f>
        <x:v>138.7495806541722</x:v>
      </x:c>
      <x:c r="I90" s="189" t="n">
        <x:f>'Equity_CF'!I20-'Debt'!I16*-0.09999999999999998*(1-'Dep_Tax'!I24)</x:f>
        <x:v>153.10595358894054</x:v>
      </x:c>
      <x:c r="J90" s="189" t="n">
        <x:f>'Equity_CF'!J20-'Debt'!J16*-0.09999999999999998*(1-'Dep_Tax'!J24)</x:f>
        <x:v>175.74491917260434</x:v>
      </x:c>
      <x:c r="K90" s="189" t="n">
        <x:f>'Equity_CF'!K20-'Debt'!K16*-0.09999999999999998*(1-'Dep_Tax'!K24)</x:f>
        <x:v>198.27971393882618</x:v>
      </x:c>
      <x:c r="L90" s="189" t="n">
        <x:f>'Equity_CF'!L20-'Debt'!L16*-0.09999999999999998*(1-'Dep_Tax'!L24)</x:f>
        <x:v>220.7071096276521</x:v>
      </x:c>
      <x:c r="M90" s="189" t="n">
        <x:f>'Equity_CF'!M20-'Debt'!M16*-0.09999999999999998*(1-'Dep_Tax'!M24)</x:f>
        <x:v>243.02378133760158</x:v>
      </x:c>
      <x:c r="N90" s="189" t="n">
        <x:f>'Equity_CF'!N20-'Debt'!N16*-0.09999999999999998*(1-'Dep_Tax'!N24)</x:f>
        <x:v>265.2263046260079</x:v>
      </x:c>
      <x:c r="O90" s="189" t="n">
        <x:f>'Equity_CF'!O20-'Debt'!O16*-0.09999999999999998*(1-'Dep_Tax'!O24)</x:f>
        <x:v>287.31115252236924</x:v>
      </x:c>
      <x:c r="P90" s="189" t="n">
        <x:f>'Equity_CF'!P20-'Debt'!P16*-0.09999999999999998*(1-'Dep_Tax'!P24)</x:f>
        <x:v>309.2746924521064</x:v>
      </x:c>
      <x:c r="Q90" s="189" t="n">
        <x:f>'Equity_CF'!Q20-'Debt'!Q16*-0.09999999999999998*(1-'Dep_Tax'!Q24)</x:f>
        <x:v>656.6131830680276</x:v>
      </x:c>
      <x:c r="R90" s="189" t="n">
        <x:f>'Equity_CF'!R20-'Debt'!R16*-0.09999999999999998*(1-'Dep_Tax'!R24)</x:f>
        <x:v>631.865388303229</x:v>
      </x:c>
      <x:c r="S90" s="189" t="n">
        <x:f>'Equity_CF'!S20-'Debt'!S16*-0.09999999999999998*(1-'Dep_Tax'!S24)</x:f>
        <x:v>625.940988088892</x:v>
      </x:c>
      <x:c r="T90" s="189" t="n">
        <x:f>'Equity_CF'!T20-'Debt'!T16*-0.09999999999999998*(1-'Dep_Tax'!T24)</x:f>
        <x:v>583.9635218932018</x:v>
      </x:c>
      <x:c r="U90" s="189" t="n">
        <x:f>'Equity_CF'!U20-'Debt'!U16*-0.09999999999999998*(1-'Dep_Tax'!U24)</x:f>
        <x:v>578.4631750588837</x:v>
      </x:c>
      <x:c r="V90" s="189" t="n">
        <x:f>'Equity_CF'!V20-'Debt'!V16*-0.09999999999999998*(1-'Dep_Tax'!V24)</x:f>
        <x:v>572.8402974005182</x:v>
      </x:c>
      <x:c r="W90" s="189" t="n">
        <x:f>'Equity_CF'!W20-'Debt'!W16*-0.09999999999999998*(1-'Dep_Tax'!W24)</x:f>
        <x:v>567.091128034222</x:v>
      </x:c>
      <x:c r="X90" s="189" t="n">
        <x:f>'Equity_CF'!X20-'Debt'!X16*-0.09999999999999998*(1-'Dep_Tax'!X24)</x:f>
        <x:v>561.2117934195137</x:v>
      </x:c>
      <x:c r="Y90" s="189" t="n">
        <x:f>'Equity_CF'!Y20-'Debt'!Y16*-0.09999999999999998*(1-'Dep_Tax'!Y24)</x:f>
        <x:v>-1.0231815394945444e-14</x:v>
      </x:c>
      <x:c r="Z90" s="189" t="n">
        <x:f>'Equity_CF'!Z20-'Debt'!Z16*-0.09999999999999998*(1-'Dep_Tax'!Z24)</x:f>
        <x:v>-1.0231815394945444e-14</x:v>
      </x:c>
      <x:c r="AA90" s="189" t="n">
        <x:f>'Equity_CF'!AA20-'Debt'!AA16*-0.09999999999999998*(1-'Dep_Tax'!AA24)</x:f>
        <x:v>-1.0231815394945444e-14</x:v>
      </x:c>
      <x:c r="AB90" s="189" t="n">
        <x:f>'Equity_CF'!AB20-'Debt'!AB16*-0.09999999999999998*(1-'Dep_Tax'!AB24)</x:f>
        <x:v>-1.0231815394945444e-14</x:v>
      </x:c>
      <x:c r="AC90" s="189" t="n">
        <x:f>'Equity_CF'!AC20-'Debt'!AC16*-0.09999999999999998*(1-'Dep_Tax'!AC24)</x:f>
        <x:v>-1.0231815394945444e-14</x:v>
      </x:c>
      <x:c r="AD90" s="189" t="n">
        <x:f>'Equity_CF'!AD20-'Debt'!AD16*-0.09999999999999998*(1-'Dep_Tax'!AD24)</x:f>
        <x:v>-1.0231815394945444e-14</x:v>
      </x:c>
      <x:c r="AE90" s="189" t="n">
        <x:f>'Equity_CF'!AE20-'Debt'!AE16*-0.09999999999999998*(1-'Dep_Tax'!AE24)</x:f>
        <x:v>-1.0231815394945444e-14</x:v>
      </x:c>
      <x:c r="AF90" s="189" t="n">
        <x:f>'Equity_CF'!AF20-'Debt'!AF16*-0.09999999999999998*(1-'Dep_Tax'!AF24)</x:f>
        <x:v>-1.0231815394945444e-14</x:v>
      </x:c>
    </x:row>
    <x:row r="91">
      <x:c r="A91" t="str">
        <x:v>SEN-05-2</x:v>
      </x:c>
      <x:c r="B91" t="str">
        <x:v>Equity CF × 95%</x:v>
      </x:c>
      <x:c r="C91" s="189" t="n">
        <x:f>'Equity_CF'!C20-'Debt'!C16*-0.050000000000000044*(1-'Dep_Tax'!C24)</x:f>
        <x:v>-1006.074</x:v>
      </x:c>
      <x:c r="D91" s="189" t="n">
        <x:f>'Equity_CF'!D20-'Debt'!D16*-0.050000000000000044*(1-'Dep_Tax'!D24)</x:f>
        <x:v>-1375.7490000000005</x:v>
      </x:c>
      <x:c r="E91" s="189" t="n">
        <x:f>'Equity_CF'!E20-'Debt'!E16*-0.050000000000000044*(1-'Dep_Tax'!E24)</x:f>
        <x:v>381.602496</x:v>
      </x:c>
      <x:c r="F91" s="189" t="n">
        <x:f>'Equity_CF'!F20-'Debt'!F16*-0.050000000000000044*(1-'Dep_Tax'!F24)</x:f>
        <x:v>72.66705100800003</x:v>
      </x:c>
      <x:c r="G91" s="189" t="n">
        <x:f>'Equity_CF'!G20-'Debt'!G16*-0.050000000000000044*(1-'Dep_Tax'!G24)</x:f>
        <x:v>98.43458590598422</x:v>
      </x:c>
      <x:c r="H91" s="189" t="n">
        <x:f>'Equity_CF'!H20-'Debt'!H16*-0.050000000000000044*(1-'Dep_Tax'!H24)</x:f>
        <x:v>124.10208065417223</x:v>
      </x:c>
      <x:c r="I91" s="189" t="n">
        <x:f>'Equity_CF'!I20-'Debt'!I16*-0.050000000000000044*(1-'Dep_Tax'!I24)</x:f>
        <x:v>140.73695358894054</x:v>
      </x:c>
      <x:c r="J91" s="189" t="n">
        <x:f>'Equity_CF'!J20-'Debt'!J16*-0.050000000000000044*(1-'Dep_Tax'!J24)</x:f>
        <x:v>164.92204417260436</x:v>
      </x:c>
      <x:c r="K91" s="189" t="n">
        <x:f>'Equity_CF'!K20-'Debt'!K16*-0.050000000000000044*(1-'Dep_Tax'!K24)</x:f>
        <x:v>189.0029639388262</x:v>
      </x:c>
      <x:c r="L91" s="189" t="n">
        <x:f>'Equity_CF'!L20-'Debt'!L16*-0.050000000000000044*(1-'Dep_Tax'!L24)</x:f>
        <x:v>212.9764846276521</x:v>
      </x:c>
      <x:c r="M91" s="189" t="n">
        <x:f>'Equity_CF'!M20-'Debt'!M16*-0.050000000000000044*(1-'Dep_Tax'!M24)</x:f>
        <x:v>236.8392813376016</x:v>
      </x:c>
      <x:c r="N91" s="189" t="n">
        <x:f>'Equity_CF'!N20-'Debt'!N16*-0.050000000000000044*(1-'Dep_Tax'!N24)</x:f>
        <x:v>260.5879296260079</x:v>
      </x:c>
      <x:c r="O91" s="189" t="n">
        <x:f>'Equity_CF'!O20-'Debt'!O16*-0.050000000000000044*(1-'Dep_Tax'!O24)</x:f>
        <x:v>284.2189025223692</x:v>
      </x:c>
      <x:c r="P91" s="189" t="n">
        <x:f>'Equity_CF'!P20-'Debt'!P16*-0.050000000000000044*(1-'Dep_Tax'!P24)</x:f>
        <x:v>307.72856745210646</x:v>
      </x:c>
      <x:c r="Q91" s="189" t="n">
        <x:f>'Equity_CF'!Q20-'Debt'!Q16*-0.050000000000000044*(1-'Dep_Tax'!Q24)</x:f>
        <x:v>656.6131830680276</x:v>
      </x:c>
      <x:c r="R91" s="189" t="n">
        <x:f>'Equity_CF'!R20-'Debt'!R16*-0.050000000000000044*(1-'Dep_Tax'!R24)</x:f>
        <x:v>631.865388303229</x:v>
      </x:c>
      <x:c r="S91" s="189" t="n">
        <x:f>'Equity_CF'!S20-'Debt'!S16*-0.050000000000000044*(1-'Dep_Tax'!S24)</x:f>
        <x:v>625.940988088892</x:v>
      </x:c>
      <x:c r="T91" s="189" t="n">
        <x:f>'Equity_CF'!T20-'Debt'!T16*-0.050000000000000044*(1-'Dep_Tax'!T24)</x:f>
        <x:v>583.9635218932018</x:v>
      </x:c>
      <x:c r="U91" s="189" t="n">
        <x:f>'Equity_CF'!U20-'Debt'!U16*-0.050000000000000044*(1-'Dep_Tax'!U24)</x:f>
        <x:v>578.4631750588837</x:v>
      </x:c>
      <x:c r="V91" s="189" t="n">
        <x:f>'Equity_CF'!V20-'Debt'!V16*-0.050000000000000044*(1-'Dep_Tax'!V24)</x:f>
        <x:v>572.8402974005182</x:v>
      </x:c>
      <x:c r="W91" s="189" t="n">
        <x:f>'Equity_CF'!W20-'Debt'!W16*-0.050000000000000044*(1-'Dep_Tax'!W24)</x:f>
        <x:v>567.091128034222</x:v>
      </x:c>
      <x:c r="X91" s="189" t="n">
        <x:f>'Equity_CF'!X20-'Debt'!X16*-0.050000000000000044*(1-'Dep_Tax'!X24)</x:f>
        <x:v>561.2117934195137</x:v>
      </x:c>
      <x:c r="Y91" s="189" t="n">
        <x:f>'Equity_CF'!Y20-'Debt'!Y16*-0.050000000000000044*(1-'Dep_Tax'!Y24)</x:f>
        <x:v>-1.0800249583553523e-14</x:v>
      </x:c>
      <x:c r="Z91" s="189" t="n">
        <x:f>'Equity_CF'!Z20-'Debt'!Z16*-0.050000000000000044*(1-'Dep_Tax'!Z24)</x:f>
        <x:v>-1.0800249583553523e-14</x:v>
      </x:c>
      <x:c r="AA91" s="189" t="n">
        <x:f>'Equity_CF'!AA20-'Debt'!AA16*-0.050000000000000044*(1-'Dep_Tax'!AA24)</x:f>
        <x:v>-1.0800249583553523e-14</x:v>
      </x:c>
      <x:c r="AB91" s="189" t="n">
        <x:f>'Equity_CF'!AB20-'Debt'!AB16*-0.050000000000000044*(1-'Dep_Tax'!AB24)</x:f>
        <x:v>-1.0800249583553523e-14</x:v>
      </x:c>
      <x:c r="AC91" s="189" t="n">
        <x:f>'Equity_CF'!AC20-'Debt'!AC16*-0.050000000000000044*(1-'Dep_Tax'!AC24)</x:f>
        <x:v>-1.0800249583553523e-14</x:v>
      </x:c>
      <x:c r="AD91" s="189" t="n">
        <x:f>'Equity_CF'!AD20-'Debt'!AD16*-0.050000000000000044*(1-'Dep_Tax'!AD24)</x:f>
        <x:v>-1.0800249583553523e-14</x:v>
      </x:c>
      <x:c r="AE91" s="189" t="n">
        <x:f>'Equity_CF'!AE20-'Debt'!AE16*-0.050000000000000044*(1-'Dep_Tax'!AE24)</x:f>
        <x:v>-1.0800249583553523e-14</x:v>
      </x:c>
      <x:c r="AF91" s="189" t="n">
        <x:f>'Equity_CF'!AF20-'Debt'!AF16*-0.050000000000000044*(1-'Dep_Tax'!AF24)</x:f>
        <x:v>-1.0800249583553523e-14</x:v>
      </x:c>
    </x:row>
    <x:row r="92">
      <x:c r="A92" t="str">
        <x:v>SEN-05-3</x:v>
      </x:c>
      <x:c r="B92" t="str">
        <x:v>Equity CF × 100%</x:v>
      </x:c>
      <x:c r="C92" s="189" t="n">
        <x:f>'Equity_CF'!C20-'Debt'!C16*0*(1-'Dep_Tax'!C24)</x:f>
        <x:v>-1009.9799999999999</x:v>
      </x:c>
      <x:c r="D92" s="189" t="n">
        <x:f>'Equity_CF'!D20-'Debt'!D16*0*(1-'Dep_Tax'!D24)</x:f>
        <x:v>-1389.4200000000005</x:v>
      </x:c>
      <x:c r="E92" s="189" t="n">
        <x:f>'Equity_CF'!E20-'Debt'!E16*0*(1-'Dep_Tax'!E24)</x:f>
        <x:v>362.07249599999994</x:v>
      </x:c>
      <x:c r="F92" s="189" t="n">
        <x:f>'Equity_CF'!F20-'Debt'!F16*0*(1-'Dep_Tax'!F24)</x:f>
        <x:v>54.76455100800001</x:v>
      </x:c>
      <x:c r="G92" s="189" t="n">
        <x:f>'Equity_CF'!G20-'Debt'!G16*0*(1-'Dep_Tax'!G24)</x:f>
        <x:v>82.15958590598422</x:v>
      </x:c>
      <x:c r="H92" s="189" t="n">
        <x:f>'Equity_CF'!H20-'Debt'!H16*0*(1-'Dep_Tax'!H24)</x:f>
        <x:v>109.45458065417222</x:v>
      </x:c>
      <x:c r="I92" s="189" t="n">
        <x:f>'Equity_CF'!I20-'Debt'!I16*0*(1-'Dep_Tax'!I24)</x:f>
        <x:v>128.36795358894054</x:v>
      </x:c>
      <x:c r="J92" s="189" t="n">
        <x:f>'Equity_CF'!J20-'Debt'!J16*0*(1-'Dep_Tax'!J24)</x:f>
        <x:v>154.09916917260435</x:v>
      </x:c>
      <x:c r="K92" s="189" t="n">
        <x:f>'Equity_CF'!K20-'Debt'!K16*0*(1-'Dep_Tax'!K24)</x:f>
        <x:v>179.7262139388262</x:v>
      </x:c>
      <x:c r="L92" s="189" t="n">
        <x:f>'Equity_CF'!L20-'Debt'!L16*0*(1-'Dep_Tax'!L24)</x:f>
        <x:v>205.2458596276521</x:v>
      </x:c>
      <x:c r="M92" s="189" t="n">
        <x:f>'Equity_CF'!M20-'Debt'!M16*0*(1-'Dep_Tax'!M24)</x:f>
        <x:v>230.65478133760158</x:v>
      </x:c>
      <x:c r="N92" s="189" t="n">
        <x:f>'Equity_CF'!N20-'Debt'!N16*0*(1-'Dep_Tax'!N24)</x:f>
        <x:v>255.94955462600788</x:v>
      </x:c>
      <x:c r="O92" s="189" t="n">
        <x:f>'Equity_CF'!O20-'Debt'!O16*0*(1-'Dep_Tax'!O24)</x:f>
        <x:v>281.1266525223692</x:v>
      </x:c>
      <x:c r="P92" s="189" t="n">
        <x:f>'Equity_CF'!P20-'Debt'!P16*0*(1-'Dep_Tax'!P24)</x:f>
        <x:v>306.18244245210644</x:v>
      </x:c>
      <x:c r="Q92" s="189" t="n">
        <x:f>'Equity_CF'!Q20-'Debt'!Q16*0*(1-'Dep_Tax'!Q24)</x:f>
        <x:v>656.6131830680276</x:v>
      </x:c>
      <x:c r="R92" s="189" t="n">
        <x:f>'Equity_CF'!R20-'Debt'!R16*0*(1-'Dep_Tax'!R24)</x:f>
        <x:v>631.865388303229</x:v>
      </x:c>
      <x:c r="S92" s="189" t="n">
        <x:f>'Equity_CF'!S20-'Debt'!S16*0*(1-'Dep_Tax'!S24)</x:f>
        <x:v>625.940988088892</x:v>
      </x:c>
      <x:c r="T92" s="189" t="n">
        <x:f>'Equity_CF'!T20-'Debt'!T16*0*(1-'Dep_Tax'!T24)</x:f>
        <x:v>583.9635218932018</x:v>
      </x:c>
      <x:c r="U92" s="189" t="n">
        <x:f>'Equity_CF'!U20-'Debt'!U16*0*(1-'Dep_Tax'!U24)</x:f>
        <x:v>578.4631750588837</x:v>
      </x:c>
      <x:c r="V92" s="189" t="n">
        <x:f>'Equity_CF'!V20-'Debt'!V16*0*(1-'Dep_Tax'!V24)</x:f>
        <x:v>572.8402974005182</x:v>
      </x:c>
      <x:c r="W92" s="189" t="n">
        <x:f>'Equity_CF'!W20-'Debt'!W16*0*(1-'Dep_Tax'!W24)</x:f>
        <x:v>567.091128034222</x:v>
      </x:c>
      <x:c r="X92" s="189" t="n">
        <x:f>'Equity_CF'!X20-'Debt'!X16*0*(1-'Dep_Tax'!X24)</x:f>
        <x:v>561.2117934195137</x:v>
      </x:c>
      <x:c r="Y92" s="189" t="n">
        <x:f>'Equity_CF'!Y20-'Debt'!Y16*0*(1-'Dep_Tax'!Y24)</x:f>
        <x:v>-1.1368683772161604e-14</x:v>
      </x:c>
      <x:c r="Z92" s="189" t="n">
        <x:f>'Equity_CF'!Z20-'Debt'!Z16*0*(1-'Dep_Tax'!Z24)</x:f>
        <x:v>-1.1368683772161604e-14</x:v>
      </x:c>
      <x:c r="AA92" s="189" t="n">
        <x:f>'Equity_CF'!AA20-'Debt'!AA16*0*(1-'Dep_Tax'!AA24)</x:f>
        <x:v>-1.1368683772161604e-14</x:v>
      </x:c>
      <x:c r="AB92" s="189" t="n">
        <x:f>'Equity_CF'!AB20-'Debt'!AB16*0*(1-'Dep_Tax'!AB24)</x:f>
        <x:v>-1.1368683772161604e-14</x:v>
      </x:c>
      <x:c r="AC92" s="189" t="n">
        <x:f>'Equity_CF'!AC20-'Debt'!AC16*0*(1-'Dep_Tax'!AC24)</x:f>
        <x:v>-1.1368683772161604e-14</x:v>
      </x:c>
      <x:c r="AD92" s="189" t="n">
        <x:f>'Equity_CF'!AD20-'Debt'!AD16*0*(1-'Dep_Tax'!AD24)</x:f>
        <x:v>-1.1368683772161604e-14</x:v>
      </x:c>
      <x:c r="AE92" s="189" t="n">
        <x:f>'Equity_CF'!AE20-'Debt'!AE16*0*(1-'Dep_Tax'!AE24)</x:f>
        <x:v>-1.1368683772161604e-14</x:v>
      </x:c>
      <x:c r="AF92" s="189" t="n">
        <x:f>'Equity_CF'!AF20-'Debt'!AF16*0*(1-'Dep_Tax'!AF24)</x:f>
        <x:v>-1.1368683772161604e-14</x:v>
      </x:c>
    </x:row>
    <x:row r="93">
      <x:c r="A93" t="str">
        <x:v>SEN-05-4</x:v>
      </x:c>
      <x:c r="B93" t="str">
        <x:v>Equity CF × 105%</x:v>
      </x:c>
      <x:c r="C93" s="189" t="n">
        <x:f>'Equity_CF'!C20-'Debt'!C16*0.050000000000000044*(1-'Dep_Tax'!C24)</x:f>
        <x:v>-1013.8859999999999</x:v>
      </x:c>
      <x:c r="D93" s="189" t="n">
        <x:f>'Equity_CF'!D20-'Debt'!D16*0.050000000000000044*(1-'Dep_Tax'!D24)</x:f>
        <x:v>-1403.0910000000006</x:v>
      </x:c>
      <x:c r="E93" s="189" t="n">
        <x:f>'Equity_CF'!E20-'Debt'!E16*0.050000000000000044*(1-'Dep_Tax'!E24)</x:f>
        <x:v>342.5424959999999</x:v>
      </x:c>
      <x:c r="F93" s="189" t="n">
        <x:f>'Equity_CF'!F20-'Debt'!F16*0.050000000000000044*(1-'Dep_Tax'!F24)</x:f>
        <x:v>36.862051007999995</x:v>
      </x:c>
      <x:c r="G93" s="189" t="n">
        <x:f>'Equity_CF'!G20-'Debt'!G16*0.050000000000000044*(1-'Dep_Tax'!G24)</x:f>
        <x:v>65.88458590598421</x:v>
      </x:c>
      <x:c r="H93" s="189" t="n">
        <x:f>'Equity_CF'!H20-'Debt'!H16*0.050000000000000044*(1-'Dep_Tax'!H24)</x:f>
        <x:v>94.80708065417221</x:v>
      </x:c>
      <x:c r="I93" s="189" t="n">
        <x:f>'Equity_CF'!I20-'Debt'!I16*0.050000000000000044*(1-'Dep_Tax'!I24)</x:f>
        <x:v>115.99895358894052</x:v>
      </x:c>
      <x:c r="J93" s="189" t="n">
        <x:f>'Equity_CF'!J20-'Debt'!J16*0.050000000000000044*(1-'Dep_Tax'!J24)</x:f>
        <x:v>143.27629417260434</x:v>
      </x:c>
      <x:c r="K93" s="189" t="n">
        <x:f>'Equity_CF'!K20-'Debt'!K16*0.050000000000000044*(1-'Dep_Tax'!K24)</x:f>
        <x:v>170.44946393882617</x:v>
      </x:c>
      <x:c r="L93" s="189" t="n">
        <x:f>'Equity_CF'!L20-'Debt'!L16*0.050000000000000044*(1-'Dep_Tax'!L24)</x:f>
        <x:v>197.5152346276521</x:v>
      </x:c>
      <x:c r="M93" s="189" t="n">
        <x:f>'Equity_CF'!M20-'Debt'!M16*0.050000000000000044*(1-'Dep_Tax'!M24)</x:f>
        <x:v>224.47028133760156</x:v>
      </x:c>
      <x:c r="N93" s="189" t="n">
        <x:f>'Equity_CF'!N20-'Debt'!N16*0.050000000000000044*(1-'Dep_Tax'!N24)</x:f>
        <x:v>251.31117962600788</x:v>
      </x:c>
      <x:c r="O93" s="189" t="n">
        <x:f>'Equity_CF'!O20-'Debt'!O16*0.050000000000000044*(1-'Dep_Tax'!O24)</x:f>
        <x:v>278.03440252236925</x:v>
      </x:c>
      <x:c r="P93" s="189" t="n">
        <x:f>'Equity_CF'!P20-'Debt'!P16*0.050000000000000044*(1-'Dep_Tax'!P24)</x:f>
        <x:v>304.6363174521064</x:v>
      </x:c>
      <x:c r="Q93" s="189" t="n">
        <x:f>'Equity_CF'!Q20-'Debt'!Q16*0.050000000000000044*(1-'Dep_Tax'!Q24)</x:f>
        <x:v>656.6131830680276</x:v>
      </x:c>
      <x:c r="R93" s="189" t="n">
        <x:f>'Equity_CF'!R20-'Debt'!R16*0.050000000000000044*(1-'Dep_Tax'!R24)</x:f>
        <x:v>631.865388303229</x:v>
      </x:c>
      <x:c r="S93" s="189" t="n">
        <x:f>'Equity_CF'!S20-'Debt'!S16*0.050000000000000044*(1-'Dep_Tax'!S24)</x:f>
        <x:v>625.940988088892</x:v>
      </x:c>
      <x:c r="T93" s="189" t="n">
        <x:f>'Equity_CF'!T20-'Debt'!T16*0.050000000000000044*(1-'Dep_Tax'!T24)</x:f>
        <x:v>583.9635218932018</x:v>
      </x:c>
      <x:c r="U93" s="189" t="n">
        <x:f>'Equity_CF'!U20-'Debt'!U16*0.050000000000000044*(1-'Dep_Tax'!U24)</x:f>
        <x:v>578.4631750588837</x:v>
      </x:c>
      <x:c r="V93" s="189" t="n">
        <x:f>'Equity_CF'!V20-'Debt'!V16*0.050000000000000044*(1-'Dep_Tax'!V24)</x:f>
        <x:v>572.8402974005182</x:v>
      </x:c>
      <x:c r="W93" s="189" t="n">
        <x:f>'Equity_CF'!W20-'Debt'!W16*0.050000000000000044*(1-'Dep_Tax'!W24)</x:f>
        <x:v>567.091128034222</x:v>
      </x:c>
      <x:c r="X93" s="189" t="n">
        <x:f>'Equity_CF'!X20-'Debt'!X16*0.050000000000000044*(1-'Dep_Tax'!X24)</x:f>
        <x:v>561.2117934195137</x:v>
      </x:c>
      <x:c r="Y93" s="189" t="n">
        <x:f>'Equity_CF'!Y20-'Debt'!Y16*0.050000000000000044*(1-'Dep_Tax'!Y24)</x:f>
        <x:v>-1.1937117960769684e-14</x:v>
      </x:c>
      <x:c r="Z93" s="189" t="n">
        <x:f>'Equity_CF'!Z20-'Debt'!Z16*0.050000000000000044*(1-'Dep_Tax'!Z24)</x:f>
        <x:v>-1.1937117960769684e-14</x:v>
      </x:c>
      <x:c r="AA93" s="189" t="n">
        <x:f>'Equity_CF'!AA20-'Debt'!AA16*0.050000000000000044*(1-'Dep_Tax'!AA24)</x:f>
        <x:v>-1.1937117960769684e-14</x:v>
      </x:c>
      <x:c r="AB93" s="189" t="n">
        <x:f>'Equity_CF'!AB20-'Debt'!AB16*0.050000000000000044*(1-'Dep_Tax'!AB24)</x:f>
        <x:v>-1.1937117960769684e-14</x:v>
      </x:c>
      <x:c r="AC93" s="189" t="n">
        <x:f>'Equity_CF'!AC20-'Debt'!AC16*0.050000000000000044*(1-'Dep_Tax'!AC24)</x:f>
        <x:v>-1.1937117960769684e-14</x:v>
      </x:c>
      <x:c r="AD93" s="189" t="n">
        <x:f>'Equity_CF'!AD20-'Debt'!AD16*0.050000000000000044*(1-'Dep_Tax'!AD24)</x:f>
        <x:v>-1.1937117960769684e-14</x:v>
      </x:c>
      <x:c r="AE93" s="189" t="n">
        <x:f>'Equity_CF'!AE20-'Debt'!AE16*0.050000000000000044*(1-'Dep_Tax'!AE24)</x:f>
        <x:v>-1.1937117960769684e-14</x:v>
      </x:c>
      <x:c r="AF93" s="189" t="n">
        <x:f>'Equity_CF'!AF20-'Debt'!AF16*0.050000000000000044*(1-'Dep_Tax'!AF24)</x:f>
        <x:v>-1.1937117960769684e-14</x:v>
      </x:c>
    </x:row>
    <x:row r="94">
      <x:c r="A94" t="str">
        <x:v>SEN-05-5</x:v>
      </x:c>
      <x:c r="B94" t="str">
        <x:v>Equity CF × 110%</x:v>
      </x:c>
      <x:c r="C94" s="189" t="n">
        <x:f>'Equity_CF'!C20-'Debt'!C16*0.10000000000000009*(1-'Dep_Tax'!C24)</x:f>
        <x:v>-1017.7919999999999</x:v>
      </x:c>
      <x:c r="D94" s="189" t="n">
        <x:f>'Equity_CF'!D20-'Debt'!D16*0.10000000000000009*(1-'Dep_Tax'!D24)</x:f>
        <x:v>-1416.7620000000006</x:v>
      </x:c>
      <x:c r="E94" s="189" t="n">
        <x:f>'Equity_CF'!E20-'Debt'!E16*0.10000000000000009*(1-'Dep_Tax'!E24)</x:f>
        <x:v>323.0124959999999</x:v>
      </x:c>
      <x:c r="F94" s="189" t="n">
        <x:f>'Equity_CF'!F20-'Debt'!F16*0.10000000000000009*(1-'Dep_Tax'!F24)</x:f>
        <x:v>18.959551007999977</x:v>
      </x:c>
      <x:c r="G94" s="189" t="n">
        <x:f>'Equity_CF'!G20-'Debt'!G16*0.10000000000000009*(1-'Dep_Tax'!G24)</x:f>
        <x:v>49.60958590598419</x:v>
      </x:c>
      <x:c r="H94" s="189" t="n">
        <x:f>'Equity_CF'!H20-'Debt'!H16*0.10000000000000009*(1-'Dep_Tax'!H24)</x:f>
        <x:v>80.15958065417219</x:v>
      </x:c>
      <x:c r="I94" s="189" t="n">
        <x:f>'Equity_CF'!I20-'Debt'!I16*0.10000000000000009*(1-'Dep_Tax'!I24)</x:f>
        <x:v>103.62995358894051</x:v>
      </x:c>
      <x:c r="J94" s="189" t="n">
        <x:f>'Equity_CF'!J20-'Debt'!J16*0.10000000000000009*(1-'Dep_Tax'!J24)</x:f>
        <x:v>132.45341917260433</x:v>
      </x:c>
      <x:c r="K94" s="189" t="n">
        <x:f>'Equity_CF'!K20-'Debt'!K16*0.10000000000000009*(1-'Dep_Tax'!K24)</x:f>
        <x:v>161.17271393882618</x:v>
      </x:c>
      <x:c r="L94" s="189" t="n">
        <x:f>'Equity_CF'!L20-'Debt'!L16*0.10000000000000009*(1-'Dep_Tax'!L24)</x:f>
        <x:v>189.7846096276521</x:v>
      </x:c>
      <x:c r="M94" s="189" t="n">
        <x:f>'Equity_CF'!M20-'Debt'!M16*0.10000000000000009*(1-'Dep_Tax'!M24)</x:f>
        <x:v>218.28578133760158</x:v>
      </x:c>
      <x:c r="N94" s="189" t="n">
        <x:f>'Equity_CF'!N20-'Debt'!N16*0.10000000000000009*(1-'Dep_Tax'!N24)</x:f>
        <x:v>246.67280462600786</x:v>
      </x:c>
      <x:c r="O94" s="189" t="n">
        <x:f>'Equity_CF'!O20-'Debt'!O16*0.10000000000000009*(1-'Dep_Tax'!O24)</x:f>
        <x:v>274.9421525223692</x:v>
      </x:c>
      <x:c r="P94" s="189" t="n">
        <x:f>'Equity_CF'!P20-'Debt'!P16*0.10000000000000009*(1-'Dep_Tax'!P24)</x:f>
        <x:v>303.09019245210646</x:v>
      </x:c>
      <x:c r="Q94" s="189" t="n">
        <x:f>'Equity_CF'!Q20-'Debt'!Q16*0.10000000000000009*(1-'Dep_Tax'!Q24)</x:f>
        <x:v>656.6131830680276</x:v>
      </x:c>
      <x:c r="R94" s="189" t="n">
        <x:f>'Equity_CF'!R20-'Debt'!R16*0.10000000000000009*(1-'Dep_Tax'!R24)</x:f>
        <x:v>631.865388303229</x:v>
      </x:c>
      <x:c r="S94" s="189" t="n">
        <x:f>'Equity_CF'!S20-'Debt'!S16*0.10000000000000009*(1-'Dep_Tax'!S24)</x:f>
        <x:v>625.940988088892</x:v>
      </x:c>
      <x:c r="T94" s="189" t="n">
        <x:f>'Equity_CF'!T20-'Debt'!T16*0.10000000000000009*(1-'Dep_Tax'!T24)</x:f>
        <x:v>583.9635218932018</x:v>
      </x:c>
      <x:c r="U94" s="189" t="n">
        <x:f>'Equity_CF'!U20-'Debt'!U16*0.10000000000000009*(1-'Dep_Tax'!U24)</x:f>
        <x:v>578.4631750588837</x:v>
      </x:c>
      <x:c r="V94" s="189" t="n">
        <x:f>'Equity_CF'!V20-'Debt'!V16*0.10000000000000009*(1-'Dep_Tax'!V24)</x:f>
        <x:v>572.8402974005182</x:v>
      </x:c>
      <x:c r="W94" s="189" t="n">
        <x:f>'Equity_CF'!W20-'Debt'!W16*0.10000000000000009*(1-'Dep_Tax'!W24)</x:f>
        <x:v>567.091128034222</x:v>
      </x:c>
      <x:c r="X94" s="189" t="n">
        <x:f>'Equity_CF'!X20-'Debt'!X16*0.10000000000000009*(1-'Dep_Tax'!X24)</x:f>
        <x:v>561.2117934195137</x:v>
      </x:c>
      <x:c r="Y94" s="189" t="n">
        <x:f>'Equity_CF'!Y20-'Debt'!Y16*0.10000000000000009*(1-'Dep_Tax'!Y24)</x:f>
        <x:v>-1.2505552149377765e-14</x:v>
      </x:c>
      <x:c r="Z94" s="189" t="n">
        <x:f>'Equity_CF'!Z20-'Debt'!Z16*0.10000000000000009*(1-'Dep_Tax'!Z24)</x:f>
        <x:v>-1.2505552149377765e-14</x:v>
      </x:c>
      <x:c r="AA94" s="189" t="n">
        <x:f>'Equity_CF'!AA20-'Debt'!AA16*0.10000000000000009*(1-'Dep_Tax'!AA24)</x:f>
        <x:v>-1.2505552149377765e-14</x:v>
      </x:c>
      <x:c r="AB94" s="189" t="n">
        <x:f>'Equity_CF'!AB20-'Debt'!AB16*0.10000000000000009*(1-'Dep_Tax'!AB24)</x:f>
        <x:v>-1.2505552149377765e-14</x:v>
      </x:c>
      <x:c r="AC94" s="189" t="n">
        <x:f>'Equity_CF'!AC20-'Debt'!AC16*0.10000000000000009*(1-'Dep_Tax'!AC24)</x:f>
        <x:v>-1.2505552149377765e-14</x:v>
      </x:c>
      <x:c r="AD94" s="189" t="n">
        <x:f>'Equity_CF'!AD20-'Debt'!AD16*0.10000000000000009*(1-'Dep_Tax'!AD24)</x:f>
        <x:v>-1.2505552149377765e-14</x:v>
      </x:c>
      <x:c r="AE94" s="189" t="n">
        <x:f>'Equity_CF'!AE20-'Debt'!AE16*0.10000000000000009*(1-'Dep_Tax'!AE24)</x:f>
        <x:v>-1.2505552149377765e-14</x:v>
      </x:c>
      <x:c r="AF94" s="189" t="n">
        <x:f>'Equity_CF'!AF20-'Debt'!AF16*0.10000000000000009*(1-'Dep_Tax'!AF24)</x:f>
        <x:v>-1.2505552149377765e-14</x:v>
      </x:c>
    </x:row>
  </x:sheetData>
  <x:mergeCells>
    <x:mergeCell ref="A1:G1"/>
    <x:mergeCell ref="A2:G2"/>
    <x:mergeCell ref="A3:G3"/>
    <x:mergeCell ref="A5:G5"/>
    <x:mergeCell ref="A14:G14"/>
    <x:mergeCell ref="A23:G25"/>
    <x:mergeCell ref="A28:AF28"/>
  </x:mergeCells>
  <x:pageMargins left="0.7" right="0.7" top="0.75" bottom="0.75" header="0.3" footer="0.3"/>
</x:worksheet>
</file>
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14" documentId="6_{DB199FF9-9439-45F4-B17D-CB19DE1C89B0}" xr6:coauthVersionLast="47" xr6:coauthVersionMax="47" xr10:uidLastSave="{32EB2BF2-72A1-40AE-8061-86C72977704C}"/>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20" i="1"/>
  <c r="O19" i="1"/>
  <c r="M19" i="1"/>
  <c r="O18" i="1"/>
  <c r="M18" i="1"/>
  <c r="J18" i="1"/>
  <c r="D16" i="1"/>
  <c r="J8" i="1" s="1"/>
  <c r="J13" i="1"/>
  <c r="J12" i="1"/>
  <c r="J7" i="1"/>
  <c r="B7" i="1"/>
  <c r="C32" i="3" l="1"/>
  <c r="D21" i="1"/>
  <c r="J11" i="1" s="1"/>
  <c r="J16" i="1"/>
  <c r="J15" i="1"/>
  <c r="J14" i="1"/>
  <c r="AF6" i="8"/>
  <c r="AF6" i="9"/>
  <c r="AF6" i="4"/>
  <c r="AF6" i="6"/>
  <c r="AF6" i="5"/>
  <c r="AF6" i="7"/>
  <c r="AF9" i="3"/>
  <c r="AF8" i="3"/>
  <c r="AE6" i="8"/>
  <c r="AE6" i="9"/>
  <c r="AE6" i="5"/>
  <c r="AE6" i="4"/>
  <c r="AE6" i="7"/>
  <c r="AE6" i="6"/>
  <c r="AE8" i="3"/>
  <c r="AE9" i="3"/>
  <c r="AD6" i="8"/>
  <c r="AD6" i="6"/>
  <c r="AD6" i="5"/>
  <c r="AD6" i="9"/>
  <c r="AD6" i="4"/>
  <c r="AD8" i="3"/>
  <c r="AD6" i="7"/>
  <c r="AD9" i="3"/>
  <c r="AC6" i="7"/>
  <c r="AC6" i="6"/>
  <c r="AC6" i="4"/>
  <c r="AC9" i="3"/>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D25" i="1"/>
  <c r="B7" i="2" s="1"/>
  <c r="D26" i="1"/>
  <c r="E6" i="2"/>
  <c r="D18" i="1"/>
  <c r="N9" i="3" l="1"/>
  <c r="R9" i="3"/>
  <c r="Q9" i="3"/>
  <c r="M9" i="3"/>
  <c r="S9" i="3"/>
  <c r="P9" i="3"/>
  <c r="O9" i="3"/>
  <c r="L9" i="3"/>
  <c r="K9" i="3"/>
  <c r="J9" i="3"/>
  <c r="AF25" i="8"/>
  <c r="AF23" i="8"/>
  <c r="AF21" i="9"/>
  <c r="AF19" i="9"/>
  <c r="AF13" i="5"/>
  <c r="AF8" i="4"/>
  <c r="AF8" i="7"/>
  <c r="AF8" i="6"/>
  <c r="AF8" i="8"/>
  <c r="AF8" i="5"/>
  <c r="AF17" i="5" s="1"/>
  <c r="AF8" i="9"/>
  <c r="AF12" i="3"/>
  <c r="AF13" i="3" s="1"/>
  <c r="AF23" i="3"/>
  <c r="AE25" i="8"/>
  <c r="AE23" i="8"/>
  <c r="AE19" i="9"/>
  <c r="AE21" i="9"/>
  <c r="AE13" i="5"/>
  <c r="AE12" i="3"/>
  <c r="AE13" i="3" s="1"/>
  <c r="AE23" i="3"/>
  <c r="AE8" i="4"/>
  <c r="AE8" i="6"/>
  <c r="AE8" i="7"/>
  <c r="AE8" i="8"/>
  <c r="AE8" i="9"/>
  <c r="AE8" i="5"/>
  <c r="AE17" i="5" s="1"/>
  <c r="AD25" i="8"/>
  <c r="AD23" i="8"/>
  <c r="AD13" i="5"/>
  <c r="AD21" i="9"/>
  <c r="AD19" i="9"/>
  <c r="AD12" i="3"/>
  <c r="AD13" i="3" s="1"/>
  <c r="AD23" i="3"/>
  <c r="AD8" i="4"/>
  <c r="AD8" i="7"/>
  <c r="AD8" i="5"/>
  <c r="AD17" i="5" s="1"/>
  <c r="AD8" i="6"/>
  <c r="AD8" i="8"/>
  <c r="AD8" i="9"/>
  <c r="AC8" i="4"/>
  <c r="AC8" i="6"/>
  <c r="AC8" i="7"/>
  <c r="AC8" i="8"/>
  <c r="AC8" i="9"/>
  <c r="AC8" i="5"/>
  <c r="AC17" i="5" s="1"/>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8" i="4"/>
  <c r="S8" i="5"/>
  <c r="S8" i="7"/>
  <c r="S8" i="6"/>
  <c r="S8" i="8"/>
  <c r="S8" i="9"/>
  <c r="S21" i="9"/>
  <c r="S19" i="9"/>
  <c r="S13" i="5"/>
  <c r="S25" i="8"/>
  <c r="S23" i="8"/>
  <c r="S12" i="3"/>
  <c r="S13" i="3" s="1"/>
  <c r="S23" i="3"/>
  <c r="R25" i="8"/>
  <c r="R23" i="8"/>
  <c r="R13" i="5"/>
  <c r="R8" i="4"/>
  <c r="R8" i="5"/>
  <c r="R8" i="7"/>
  <c r="R8" i="6"/>
  <c r="R8" i="8"/>
  <c r="R8" i="9"/>
  <c r="R19" i="9"/>
  <c r="R21" i="9"/>
  <c r="R12" i="3"/>
  <c r="R13" i="3" s="1"/>
  <c r="R23" i="3"/>
  <c r="Q25" i="8"/>
  <c r="Q23" i="8"/>
  <c r="Q19" i="9"/>
  <c r="Q21" i="9"/>
  <c r="Q8" i="4"/>
  <c r="Q8" i="5"/>
  <c r="Q8" i="6"/>
  <c r="Q8" i="7"/>
  <c r="Q8" i="8"/>
  <c r="Q8" i="9"/>
  <c r="Q13" i="5"/>
  <c r="Q12" i="3"/>
  <c r="Q13" i="3" s="1"/>
  <c r="Q23" i="3"/>
  <c r="P25" i="8"/>
  <c r="P23" i="8"/>
  <c r="P13" i="5"/>
  <c r="P8" i="4"/>
  <c r="P8" i="5"/>
  <c r="P8" i="7"/>
  <c r="P8" i="6"/>
  <c r="P8" i="8"/>
  <c r="P8" i="9"/>
  <c r="P19" i="9"/>
  <c r="P21" i="9"/>
  <c r="P12" i="3"/>
  <c r="P13" i="3" s="1"/>
  <c r="P23" i="3"/>
  <c r="O25" i="8"/>
  <c r="O23" i="8"/>
  <c r="O13" i="5"/>
  <c r="O8" i="4"/>
  <c r="O8" i="5"/>
  <c r="O8" i="7"/>
  <c r="O8" i="6"/>
  <c r="O8" i="8"/>
  <c r="O8" i="9"/>
  <c r="O21" i="9"/>
  <c r="O19" i="9"/>
  <c r="O12" i="3"/>
  <c r="O13" i="3" s="1"/>
  <c r="O23" i="3"/>
  <c r="N19" i="9"/>
  <c r="N21" i="9"/>
  <c r="N8" i="4"/>
  <c r="N8" i="5"/>
  <c r="N8" i="6"/>
  <c r="N8" i="7"/>
  <c r="N8" i="8"/>
  <c r="N8" i="9"/>
  <c r="N25" i="8"/>
  <c r="N23" i="8"/>
  <c r="N12" i="3"/>
  <c r="N13" i="3" s="1"/>
  <c r="N23" i="3"/>
  <c r="N13" i="5"/>
  <c r="M8" i="4"/>
  <c r="M8" i="5"/>
  <c r="M8" i="7"/>
  <c r="M8" i="6"/>
  <c r="M8" i="8"/>
  <c r="M8" i="9"/>
  <c r="M13" i="5"/>
  <c r="M12" i="3"/>
  <c r="M13" i="3" s="1"/>
  <c r="M23" i="3"/>
  <c r="M25" i="8"/>
  <c r="M23" i="8"/>
  <c r="M19" i="9"/>
  <c r="M21" i="9"/>
  <c r="L8" i="4"/>
  <c r="L8" i="5"/>
  <c r="L8" i="7"/>
  <c r="L8" i="6"/>
  <c r="L8" i="8"/>
  <c r="L8" i="9"/>
  <c r="L21" i="9"/>
  <c r="L19" i="9"/>
  <c r="L12" i="3"/>
  <c r="L13" i="3" s="1"/>
  <c r="L23" i="3"/>
  <c r="L25" i="8"/>
  <c r="L23" i="8"/>
  <c r="L13" i="5"/>
  <c r="K19" i="9"/>
  <c r="K21" i="9"/>
  <c r="K12" i="3"/>
  <c r="K13" i="3" s="1"/>
  <c r="K23" i="3"/>
  <c r="K13" i="5"/>
  <c r="K8" i="4"/>
  <c r="K8" i="5"/>
  <c r="K8" i="6"/>
  <c r="K8" i="7"/>
  <c r="K8" i="8"/>
  <c r="K8" i="9"/>
  <c r="K25" i="8"/>
  <c r="K23" i="8"/>
  <c r="J12" i="3"/>
  <c r="J13" i="3" s="1"/>
  <c r="J23" i="3"/>
  <c r="J19" i="9"/>
  <c r="J21" i="9"/>
  <c r="J23" i="8"/>
  <c r="J25" i="8"/>
  <c r="J8" i="4"/>
  <c r="J8" i="5"/>
  <c r="J8" i="7"/>
  <c r="J8" i="6"/>
  <c r="J8" i="8"/>
  <c r="J8" i="9"/>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D66" i="1"/>
  <c r="D67" i="1" s="1"/>
  <c r="J9" i="1"/>
  <c r="AB9" i="3"/>
  <c r="T9" i="3"/>
  <c r="AA9" i="3"/>
  <c r="Z9" i="3"/>
  <c r="Y9" i="3"/>
  <c r="X9" i="3"/>
  <c r="W9" i="3"/>
  <c r="V9" i="3"/>
  <c r="U9" i="3"/>
  <c r="I9" i="3"/>
  <c r="H9" i="3"/>
  <c r="G9" i="3"/>
  <c r="F9" i="3"/>
  <c r="E9" i="3"/>
  <c r="D9" i="3"/>
  <c r="C9" i="3"/>
  <c r="J22" i="1" l="1"/>
  <c r="H14" i="2"/>
  <c r="AC14" i="3"/>
  <c r="AB14" i="3"/>
  <c r="AB15" i="3"/>
  <c r="AF15" i="5"/>
  <c r="AF17" i="9" s="1"/>
  <c r="AF14" i="5"/>
  <c r="AF25" i="5"/>
  <c r="AF11" i="4"/>
  <c r="AF12" i="4"/>
  <c r="AF13" i="4"/>
  <c r="AF15" i="4"/>
  <c r="AF19" i="4"/>
  <c r="AF11" i="6"/>
  <c r="AF12" i="6"/>
  <c r="AF24" i="6"/>
  <c r="AF17" i="6"/>
  <c r="AF16" i="7" s="1"/>
  <c r="AF23" i="5"/>
  <c r="AF24" i="5"/>
  <c r="AE15" i="5"/>
  <c r="AE17" i="9" s="1"/>
  <c r="AE14" i="5"/>
  <c r="AE25" i="5"/>
  <c r="AE11" i="4"/>
  <c r="AE12" i="4"/>
  <c r="AE13" i="4"/>
  <c r="AE15" i="4"/>
  <c r="AE19" i="4"/>
  <c r="AE11" i="6"/>
  <c r="AE24" i="6"/>
  <c r="AE12" i="6"/>
  <c r="AE17" i="6"/>
  <c r="AE16" i="7" s="1"/>
  <c r="AE24" i="5"/>
  <c r="AE23" i="5"/>
  <c r="AD14" i="5"/>
  <c r="AD15" i="5"/>
  <c r="AD17" i="9" s="1"/>
  <c r="AD25" i="5"/>
  <c r="AD11" i="4"/>
  <c r="AD12" i="4"/>
  <c r="AD13" i="4"/>
  <c r="AD15" i="4"/>
  <c r="AD19" i="4"/>
  <c r="AD24" i="5"/>
  <c r="AD23" i="5"/>
  <c r="AD12" i="6"/>
  <c r="AD17" i="6"/>
  <c r="AD16" i="7" s="1"/>
  <c r="AD24" i="6"/>
  <c r="AD11" i="6"/>
  <c r="AC11" i="4"/>
  <c r="AC12" i="4"/>
  <c r="AC13" i="4"/>
  <c r="AC15" i="4"/>
  <c r="AC19" i="4"/>
  <c r="AC12" i="6"/>
  <c r="AC24" i="6"/>
  <c r="AC11" i="6"/>
  <c r="AC17" i="6"/>
  <c r="AC16" i="7" s="1"/>
  <c r="AC23" i="5"/>
  <c r="AC24"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R11" i="4"/>
  <c r="R12" i="4"/>
  <c r="R13" i="4"/>
  <c r="R15" i="4"/>
  <c r="R19" i="4"/>
  <c r="R11" i="6"/>
  <c r="R24" i="6"/>
  <c r="Q11" i="4"/>
  <c r="Q12" i="4"/>
  <c r="Q13" i="4"/>
  <c r="Q15" i="4"/>
  <c r="Q19" i="4"/>
  <c r="Q24" i="6"/>
  <c r="Q11" i="6"/>
  <c r="Q14" i="5"/>
  <c r="P14" i="5"/>
  <c r="P11" i="4"/>
  <c r="P12" i="4"/>
  <c r="P13" i="4"/>
  <c r="P15" i="4"/>
  <c r="P19" i="4"/>
  <c r="P11" i="6"/>
  <c r="P24" i="6"/>
  <c r="O14" i="5"/>
  <c r="O11" i="4"/>
  <c r="O12" i="4"/>
  <c r="O13" i="4"/>
  <c r="O15" i="4"/>
  <c r="O19" i="4"/>
  <c r="O11" i="6"/>
  <c r="O24" i="6"/>
  <c r="N11" i="4"/>
  <c r="N12" i="4"/>
  <c r="N13" i="4"/>
  <c r="N15" i="4"/>
  <c r="N19" i="4"/>
  <c r="N11" i="6"/>
  <c r="N24" i="6"/>
  <c r="N14" i="5"/>
  <c r="M11" i="4"/>
  <c r="M12" i="4"/>
  <c r="M13" i="4"/>
  <c r="M15" i="4"/>
  <c r="M19" i="4"/>
  <c r="M24" i="6"/>
  <c r="M11" i="6"/>
  <c r="M14" i="5"/>
  <c r="L11" i="4"/>
  <c r="L12" i="4"/>
  <c r="L13" i="4"/>
  <c r="L15" i="4"/>
  <c r="L19" i="4"/>
  <c r="L24" i="6"/>
  <c r="L11" i="6"/>
  <c r="L14" i="5"/>
  <c r="K14" i="5"/>
  <c r="K11" i="4"/>
  <c r="K12" i="4"/>
  <c r="K13" i="4"/>
  <c r="K15" i="4"/>
  <c r="K19" i="4"/>
  <c r="K24" i="6"/>
  <c r="K11" i="6"/>
  <c r="J11" i="4"/>
  <c r="J12" i="4"/>
  <c r="J13" i="4"/>
  <c r="J15" i="4"/>
  <c r="J19" i="4"/>
  <c r="J11" i="6"/>
  <c r="J24" i="6"/>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c r="T14" i="3"/>
  <c r="T15" i="3" s="1"/>
  <c r="S14" i="3"/>
  <c r="S15" i="3" s="1"/>
  <c r="R14" i="3"/>
  <c r="R15" i="3" s="1"/>
  <c r="Q14" i="3"/>
  <c r="Q15" i="3" s="1"/>
  <c r="P14" i="3"/>
  <c r="P15" i="3" s="1"/>
  <c r="O14" i="3"/>
  <c r="O15" i="3"/>
  <c r="N14" i="3"/>
  <c r="N15" i="3"/>
  <c r="M14" i="3"/>
  <c r="M15" i="3" s="1"/>
  <c r="L14" i="3"/>
  <c r="L15" i="3" s="1"/>
  <c r="K14" i="3"/>
  <c r="K15" i="3" s="1"/>
  <c r="J14" i="3"/>
  <c r="J15" i="3"/>
  <c r="I14" i="3"/>
  <c r="I15" i="3"/>
  <c r="H14" i="3"/>
  <c r="H15" i="3" s="1"/>
  <c r="G14" i="3"/>
  <c r="G15" i="3" s="1"/>
  <c r="F14" i="3"/>
  <c r="F15" i="3"/>
  <c r="E14" i="3"/>
  <c r="E15" i="3" s="1"/>
  <c r="D14" i="3"/>
  <c r="D15" i="3" s="1"/>
  <c r="AC15" i="3" l="1"/>
  <c r="AC16" i="3"/>
  <c r="AD17" i="3" s="1"/>
  <c r="AC18" i="3"/>
  <c r="AC19" i="3" s="1"/>
  <c r="AB16" i="3"/>
  <c r="AC17" i="3" s="1"/>
  <c r="AB18" i="3"/>
  <c r="AB19" i="3" s="1"/>
  <c r="AB12" i="9"/>
  <c r="AB21" i="8"/>
  <c r="AF14" i="4"/>
  <c r="AF16" i="4" s="1"/>
  <c r="AF11" i="8"/>
  <c r="AF12" i="7"/>
  <c r="AF13" i="8"/>
  <c r="AF14" i="7"/>
  <c r="AF15" i="8"/>
  <c r="AE14" i="4"/>
  <c r="AE16" i="4" s="1"/>
  <c r="AE11" i="8"/>
  <c r="AE12" i="7"/>
  <c r="AE13" i="8"/>
  <c r="AE15" i="8"/>
  <c r="AE14" i="7"/>
  <c r="AD14" i="4"/>
  <c r="AD16" i="4" s="1"/>
  <c r="AD11" i="8"/>
  <c r="AD12" i="7"/>
  <c r="AD13" i="8"/>
  <c r="AD14" i="7"/>
  <c r="AD15" i="8"/>
  <c r="AC14" i="4"/>
  <c r="AC16" i="4" s="1"/>
  <c r="AC11" i="8"/>
  <c r="AC12" i="7"/>
  <c r="AC13" i="8"/>
  <c r="AC14" i="7"/>
  <c r="AC15" i="8"/>
  <c r="S14" i="4"/>
  <c r="S16" i="4" s="1"/>
  <c r="S11" i="8"/>
  <c r="S12" i="7"/>
  <c r="S13" i="8"/>
  <c r="R14" i="4"/>
  <c r="R16" i="4" s="1"/>
  <c r="R11" i="8"/>
  <c r="R12" i="7"/>
  <c r="R13" i="8"/>
  <c r="Q14" i="4"/>
  <c r="Q16" i="4" s="1"/>
  <c r="Q11" i="8"/>
  <c r="Q12" i="7"/>
  <c r="Q13" i="8"/>
  <c r="P14" i="4"/>
  <c r="P16" i="4" s="1"/>
  <c r="P11" i="8"/>
  <c r="P12" i="7"/>
  <c r="P13" i="8"/>
  <c r="O14" i="4"/>
  <c r="O16" i="4" s="1"/>
  <c r="O11" i="8"/>
  <c r="O12" i="7"/>
  <c r="O13" i="8"/>
  <c r="N14" i="4"/>
  <c r="N16" i="4" s="1"/>
  <c r="N11" i="8"/>
  <c r="N12" i="7"/>
  <c r="N13" i="8"/>
  <c r="M14" i="4"/>
  <c r="M16" i="4" s="1"/>
  <c r="M11" i="8"/>
  <c r="M12" i="7"/>
  <c r="M13" i="8"/>
  <c r="L14" i="4"/>
  <c r="L16" i="4" s="1"/>
  <c r="L11" i="8"/>
  <c r="L12" i="7"/>
  <c r="L13" i="8"/>
  <c r="K14" i="4"/>
  <c r="K16" i="4" s="1"/>
  <c r="K11" i="8"/>
  <c r="K12" i="7"/>
  <c r="K13" i="8"/>
  <c r="J14" i="4"/>
  <c r="J16" i="4" s="1"/>
  <c r="J11" i="8"/>
  <c r="J12" i="7"/>
  <c r="J13"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AD22" i="8" l="1"/>
  <c r="AD29" i="8" s="1"/>
  <c r="AD13" i="9"/>
  <c r="AC22" i="8"/>
  <c r="AC13" i="9"/>
  <c r="AC21" i="8"/>
  <c r="AC29" i="8" s="1"/>
  <c r="AC12" i="9"/>
  <c r="AC20" i="3"/>
  <c r="AC21" i="3" s="1"/>
  <c r="AB20" i="3"/>
  <c r="AB21" i="3" s="1"/>
  <c r="AF20" i="4"/>
  <c r="AF21" i="4"/>
  <c r="AF11" i="7"/>
  <c r="AF13" i="7" s="1"/>
  <c r="AF15" i="7" s="1"/>
  <c r="AF17" i="7" s="1"/>
  <c r="AF12" i="8"/>
  <c r="AF14" i="8" s="1"/>
  <c r="AF30" i="8"/>
  <c r="AF31" i="8"/>
  <c r="AE20" i="4"/>
  <c r="AE21" i="4"/>
  <c r="AE11" i="7"/>
  <c r="AE13" i="7" s="1"/>
  <c r="AE15" i="7" s="1"/>
  <c r="AE17" i="7" s="1"/>
  <c r="AE12" i="8"/>
  <c r="AE14" i="8" s="1"/>
  <c r="AE30" i="8"/>
  <c r="AE31" i="8"/>
  <c r="AD20" i="4"/>
  <c r="AD21" i="4"/>
  <c r="AD11" i="7"/>
  <c r="AD13" i="7" s="1"/>
  <c r="AD15" i="7" s="1"/>
  <c r="AD17" i="7" s="1"/>
  <c r="AD12" i="8"/>
  <c r="AD14" i="8" s="1"/>
  <c r="AD30" i="8"/>
  <c r="AD31" i="8"/>
  <c r="AC20" i="4"/>
  <c r="AC21" i="4"/>
  <c r="AC11" i="7"/>
  <c r="AC13" i="7" s="1"/>
  <c r="AC15" i="7" s="1"/>
  <c r="AC17" i="7" s="1"/>
  <c r="AC12" i="8"/>
  <c r="AC14" i="8" s="1"/>
  <c r="AC30" i="8"/>
  <c r="AC31" i="8"/>
  <c r="S20" i="4"/>
  <c r="S21" i="4"/>
  <c r="S11" i="7"/>
  <c r="S13" i="7" s="1"/>
  <c r="S12" i="8"/>
  <c r="S14" i="8" s="1"/>
  <c r="S30" i="8"/>
  <c r="S31" i="8"/>
  <c r="R20" i="4"/>
  <c r="R21" i="4" s="1"/>
  <c r="R11" i="7"/>
  <c r="R13" i="7" s="1"/>
  <c r="R12" i="8"/>
  <c r="R14" i="8" s="1"/>
  <c r="R30" i="8"/>
  <c r="R31" i="8"/>
  <c r="Q20" i="4"/>
  <c r="Q21" i="4"/>
  <c r="Q11" i="7"/>
  <c r="Q13" i="7" s="1"/>
  <c r="Q12" i="8"/>
  <c r="Q14" i="8" s="1"/>
  <c r="Q30" i="8"/>
  <c r="Q31" i="8"/>
  <c r="P20" i="4"/>
  <c r="P21" i="4" s="1"/>
  <c r="P11" i="7"/>
  <c r="P13" i="7" s="1"/>
  <c r="P12" i="8"/>
  <c r="P14" i="8" s="1"/>
  <c r="P30" i="8"/>
  <c r="P31" i="8"/>
  <c r="O20" i="4"/>
  <c r="O21" i="4"/>
  <c r="O11" i="7"/>
  <c r="O13" i="7" s="1"/>
  <c r="O12" i="8"/>
  <c r="O14" i="8" s="1"/>
  <c r="O30" i="8"/>
  <c r="O31" i="8"/>
  <c r="N20" i="4"/>
  <c r="N21" i="4"/>
  <c r="N11" i="7"/>
  <c r="N13" i="7" s="1"/>
  <c r="N12" i="8"/>
  <c r="N14" i="8" s="1"/>
  <c r="N30" i="8"/>
  <c r="N31" i="8"/>
  <c r="M20" i="4"/>
  <c r="M21" i="4" s="1"/>
  <c r="M11" i="7"/>
  <c r="M13" i="7" s="1"/>
  <c r="M12" i="8"/>
  <c r="M14" i="8" s="1"/>
  <c r="M30" i="8"/>
  <c r="M31" i="8"/>
  <c r="L20" i="4"/>
  <c r="L21" i="4" s="1"/>
  <c r="L11" i="7"/>
  <c r="L13" i="7" s="1"/>
  <c r="L12" i="8"/>
  <c r="L14" i="8" s="1"/>
  <c r="L30" i="8"/>
  <c r="L31" i="8"/>
  <c r="K20" i="4"/>
  <c r="K21" i="4"/>
  <c r="K11" i="7"/>
  <c r="K13" i="7" s="1"/>
  <c r="K12" i="8"/>
  <c r="K14" i="8" s="1"/>
  <c r="K30" i="8"/>
  <c r="K31" i="8"/>
  <c r="J20" i="4"/>
  <c r="J21" i="4" s="1"/>
  <c r="J11" i="7"/>
  <c r="J13" i="7" s="1"/>
  <c r="J12" i="8"/>
  <c r="J14" i="8" s="1"/>
  <c r="J30" i="8"/>
  <c r="J31" i="8"/>
  <c r="C12" i="9"/>
  <c r="C21" i="8"/>
  <c r="C29" i="8" s="1"/>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AC24" i="3" l="1"/>
  <c r="AC12" i="5"/>
  <c r="AC14" i="9" s="1"/>
  <c r="AB24" i="3"/>
  <c r="AB12" i="5"/>
  <c r="AB14" i="9" s="1"/>
  <c r="AF15" i="6"/>
  <c r="AF16" i="6" s="1"/>
  <c r="AF18" i="6" s="1"/>
  <c r="AF11" i="9"/>
  <c r="AF16" i="8"/>
  <c r="AF17" i="8" s="1"/>
  <c r="AF18" i="8" s="1"/>
  <c r="AE15" i="6"/>
  <c r="AE16" i="6" s="1"/>
  <c r="AE18" i="6" s="1"/>
  <c r="AE11" i="9"/>
  <c r="AE16" i="8"/>
  <c r="AE17" i="8" s="1"/>
  <c r="AE18" i="8" s="1"/>
  <c r="AD15" i="6"/>
  <c r="AD16" i="6" s="1"/>
  <c r="AD18" i="6" s="1"/>
  <c r="AD11" i="9"/>
  <c r="AD16" i="8"/>
  <c r="AD17" i="8" s="1"/>
  <c r="AD18" i="8" s="1"/>
  <c r="AC15" i="6"/>
  <c r="AC16" i="6" s="1"/>
  <c r="AC18" i="6" s="1"/>
  <c r="AC11" i="9"/>
  <c r="AC16" i="8"/>
  <c r="AC17" i="8" s="1"/>
  <c r="AC18" i="8" s="1"/>
  <c r="S15" i="6"/>
  <c r="S11" i="9"/>
  <c r="R15" i="6"/>
  <c r="R11" i="9"/>
  <c r="Q15" i="6"/>
  <c r="Q11" i="9"/>
  <c r="P15" i="6"/>
  <c r="P11" i="9"/>
  <c r="O15" i="6"/>
  <c r="O11" i="9"/>
  <c r="N15" i="6"/>
  <c r="N11" i="9"/>
  <c r="M15" i="6"/>
  <c r="M11" i="9"/>
  <c r="L15" i="6"/>
  <c r="L11" i="9"/>
  <c r="K15" i="6"/>
  <c r="K11" i="9"/>
  <c r="J15" i="6"/>
  <c r="J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c r="W11" i="7"/>
  <c r="W13" i="7" s="1"/>
  <c r="W12" i="8"/>
  <c r="W14" i="8" s="1"/>
  <c r="W30" i="8"/>
  <c r="W31" i="8"/>
  <c r="V20" i="4"/>
  <c r="V21" i="4"/>
  <c r="V11" i="7"/>
  <c r="V13" i="7" s="1"/>
  <c r="V12" i="8"/>
  <c r="V14" i="8" s="1"/>
  <c r="V30" i="8"/>
  <c r="V31" i="8"/>
  <c r="U20" i="4"/>
  <c r="U21" i="4"/>
  <c r="U11" i="7"/>
  <c r="U13" i="7" s="1"/>
  <c r="U12" i="8"/>
  <c r="U14" i="8" s="1"/>
  <c r="U30" i="8"/>
  <c r="U31" i="8"/>
  <c r="I20" i="4"/>
  <c r="I21" i="4"/>
  <c r="I11" i="7"/>
  <c r="I13" i="7" s="1"/>
  <c r="I12" i="8"/>
  <c r="I14" i="8" s="1"/>
  <c r="I30" i="8"/>
  <c r="I31" i="8"/>
  <c r="H20" i="4"/>
  <c r="H21" i="4" s="1"/>
  <c r="H11" i="7"/>
  <c r="H13" i="7" s="1"/>
  <c r="H12" i="8"/>
  <c r="H14" i="8" s="1"/>
  <c r="H30" i="8"/>
  <c r="H31" i="8"/>
  <c r="G20" i="4"/>
  <c r="G21" i="4"/>
  <c r="G11" i="7"/>
  <c r="G13" i="7" s="1"/>
  <c r="G12" i="8"/>
  <c r="G14" i="8" s="1"/>
  <c r="G30" i="8"/>
  <c r="G31" i="8"/>
  <c r="F20" i="4"/>
  <c r="F21" i="4"/>
  <c r="F11" i="7"/>
  <c r="F13" i="7" s="1"/>
  <c r="F12" i="8"/>
  <c r="F14" i="8" s="1"/>
  <c r="F30" i="8"/>
  <c r="F31" i="8"/>
  <c r="E20" i="4"/>
  <c r="E21" i="4"/>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c r="U13" i="9"/>
  <c r="U22" i="8"/>
  <c r="U29" i="8" s="1"/>
  <c r="T20" i="3"/>
  <c r="T21" i="3" s="1"/>
  <c r="T13" i="9"/>
  <c r="T22" i="8"/>
  <c r="T29" i="8" s="1"/>
  <c r="S20" i="3"/>
  <c r="S21" i="3" s="1"/>
  <c r="S13" i="9"/>
  <c r="S22" i="8"/>
  <c r="S29" i="8" s="1"/>
  <c r="R20" i="3"/>
  <c r="R21" i="3"/>
  <c r="R13" i="9"/>
  <c r="R22" i="8"/>
  <c r="R29" i="8" s="1"/>
  <c r="Q20" i="3"/>
  <c r="Q21" i="3" s="1"/>
  <c r="Q13" i="9"/>
  <c r="Q22" i="8"/>
  <c r="Q29" i="8" s="1"/>
  <c r="P20" i="3"/>
  <c r="P21" i="3" s="1"/>
  <c r="P22" i="8"/>
  <c r="P29" i="8" s="1"/>
  <c r="P13" i="9"/>
  <c r="O20" i="3"/>
  <c r="O21" i="3" s="1"/>
  <c r="O13" i="9"/>
  <c r="O22" i="8"/>
  <c r="O29" i="8" s="1"/>
  <c r="N20" i="3"/>
  <c r="N21" i="3"/>
  <c r="N22" i="8"/>
  <c r="N29" i="8" s="1"/>
  <c r="N13" i="9"/>
  <c r="M20" i="3"/>
  <c r="M21" i="3" s="1"/>
  <c r="M13" i="9"/>
  <c r="M22" i="8"/>
  <c r="M29" i="8" s="1"/>
  <c r="L20" i="3"/>
  <c r="L21" i="3"/>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c r="F22" i="8"/>
  <c r="F29" i="8" s="1"/>
  <c r="F13" i="9"/>
  <c r="E20" i="3"/>
  <c r="E21" i="3" s="1"/>
  <c r="E13" i="9"/>
  <c r="E22" i="8"/>
  <c r="E29" i="8" s="1"/>
  <c r="D20" i="3"/>
  <c r="D17" i="3"/>
  <c r="C18" i="3"/>
  <c r="C19" i="3" s="1"/>
  <c r="AF20" i="6" l="1"/>
  <c r="AF22" i="5"/>
  <c r="AF24" i="8"/>
  <c r="AE20" i="6"/>
  <c r="AE24" i="8"/>
  <c r="AE22" i="5"/>
  <c r="AD20" i="6"/>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c r="C21" i="7"/>
  <c r="D28" i="8"/>
  <c r="C24" i="3"/>
  <c r="L12" i="6"/>
  <c r="D23" i="3"/>
  <c r="D16" i="9"/>
  <c r="E15" i="5"/>
  <c r="E18" i="5" s="1"/>
  <c r="F11" i="5" s="1"/>
  <c r="E16" i="5"/>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M22" i="5"/>
  <c r="M25" i="5" s="1"/>
  <c r="M24" i="8"/>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O22" i="5" l="1"/>
  <c r="O25" i="5" s="1"/>
  <c r="O24" i="8"/>
  <c r="O43" i="10"/>
  <c r="O45" i="10"/>
  <c r="O46" i="10"/>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M58" i="10"/>
  <c r="M60" i="10"/>
  <c r="M61" i="10"/>
  <c r="M64" i="10"/>
  <c r="M41" i="10"/>
  <c r="M57" i="10"/>
  <c r="M59" i="10"/>
  <c r="M62" i="10"/>
  <c r="M56" i="10"/>
  <c r="M63" i="10"/>
  <c r="M26" i="8"/>
  <c r="M40" i="10"/>
  <c r="M42" i="10"/>
  <c r="M43" i="10"/>
  <c r="M44" i="10"/>
  <c r="M45" i="10"/>
  <c r="M46" i="10"/>
  <c r="M47" i="10"/>
  <c r="M48" i="10"/>
  <c r="M49" i="10"/>
  <c r="M50" i="10"/>
  <c r="M51" i="10"/>
  <c r="M52" i="10"/>
  <c r="M53" i="10"/>
  <c r="M54" i="10"/>
  <c r="M55"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O47" i="10" l="1"/>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5" i="5"/>
  <c r="I18" i="5" s="1"/>
  <c r="J11" i="5" s="1"/>
  <c r="I16" i="5"/>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5" i="5"/>
  <c r="J18" i="5" s="1"/>
  <c r="K11" i="5" s="1"/>
  <c r="J16" i="5"/>
  <c r="G20" i="6"/>
  <c r="G21" i="6"/>
  <c r="E26" i="6"/>
  <c r="E20" i="7"/>
  <c r="E18" i="9"/>
  <c r="E20" i="9" s="1"/>
  <c r="G22" i="6" l="1"/>
  <c r="H19" i="6" s="1"/>
  <c r="H21" i="6" s="1"/>
  <c r="F26" i="6"/>
  <c r="F20" i="7"/>
  <c r="F21" i="7" s="1"/>
  <c r="F18" i="9"/>
  <c r="F20" i="9" s="1"/>
  <c r="G18" i="7"/>
  <c r="G23" i="6"/>
  <c r="H27" i="8"/>
  <c r="G28" i="8"/>
  <c r="H20" i="6"/>
  <c r="I23" i="5"/>
  <c r="I24" i="5"/>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5" i="5"/>
  <c r="P18" i="5" s="1"/>
  <c r="Q11" i="5" s="1"/>
  <c r="P16" i="5"/>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T16" i="7"/>
  <c r="T17" i="7" s="1"/>
  <c r="T18" i="6"/>
  <c r="V18" i="5"/>
  <c r="W11" i="5" s="1"/>
  <c r="V16" i="5"/>
  <c r="U16" i="9"/>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U17" i="6" l="1"/>
  <c r="U17" i="5"/>
  <c r="U23" i="5" s="1"/>
  <c r="U24" i="5" s="1"/>
  <c r="R23" i="9"/>
  <c r="W18" i="5"/>
  <c r="X11" i="5" s="1"/>
  <c r="W16" i="5"/>
  <c r="V16" i="9"/>
  <c r="V17" i="6"/>
  <c r="V17" i="5"/>
  <c r="S18" i="7"/>
  <c r="S23" i="6"/>
  <c r="S22" i="6"/>
  <c r="T19" i="6" s="1"/>
  <c r="T20" i="6"/>
  <c r="V27" i="8"/>
  <c r="U28" i="8"/>
  <c r="R24" i="9"/>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U16" i="7" l="1"/>
  <c r="U17" i="7" s="1"/>
  <c r="U18" i="6"/>
  <c r="U20" i="6" s="1"/>
  <c r="X18" i="5"/>
  <c r="Y11" i="5" s="1"/>
  <c r="X16" i="5"/>
  <c r="W16" i="9"/>
  <c r="W17" i="6"/>
  <c r="W17" i="5"/>
  <c r="V16" i="7"/>
  <c r="V17" i="7" s="1"/>
  <c r="V18" i="6"/>
  <c r="V23" i="5"/>
  <c r="V24" i="5"/>
  <c r="S25" i="6"/>
  <c r="S19" i="7"/>
  <c r="T21" i="6"/>
  <c r="T22" i="6" s="1"/>
  <c r="U19" i="6" s="1"/>
  <c r="W27" i="8"/>
  <c r="V28" i="8"/>
  <c r="Y18" i="5" l="1"/>
  <c r="Z11" i="5" s="1"/>
  <c r="Y16" i="5"/>
  <c r="Y16" i="9" s="1"/>
  <c r="X17" i="6"/>
  <c r="X16" i="9"/>
  <c r="X17" i="5"/>
  <c r="W18" i="6"/>
  <c r="W16" i="7"/>
  <c r="W17" i="7" s="1"/>
  <c r="W23" i="5"/>
  <c r="W24" i="5" s="1"/>
  <c r="S18" i="9"/>
  <c r="S20" i="9" s="1"/>
  <c r="S26" i="6"/>
  <c r="S20" i="7"/>
  <c r="S21" i="7" s="1"/>
  <c r="U21" i="6"/>
  <c r="U22" i="6" s="1"/>
  <c r="V19" i="6" s="1"/>
  <c r="T23" i="6"/>
  <c r="T18" i="7"/>
  <c r="V20" i="6"/>
  <c r="X27" i="8"/>
  <c r="W28" i="8"/>
  <c r="Z18" i="5" l="1"/>
  <c r="AA11" i="5" s="1"/>
  <c r="Z16" i="5"/>
  <c r="Z16" i="9" s="1"/>
  <c r="X16" i="7"/>
  <c r="X17" i="7" s="1"/>
  <c r="X18" i="6"/>
  <c r="X23" i="5"/>
  <c r="X24" i="5" s="1"/>
  <c r="C31" i="5" s="1"/>
  <c r="C32" i="5"/>
  <c r="E13" i="2"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W20" i="6"/>
  <c r="Y27" i="8"/>
  <c r="X28" i="8"/>
  <c r="AA18" i="5" l="1"/>
  <c r="AB11" i="5" s="1"/>
  <c r="AA16" i="5"/>
  <c r="AA16" i="9" s="1"/>
  <c r="B13" i="2"/>
  <c r="F20" i="2" s="1"/>
  <c r="C31" i="2"/>
  <c r="D31" i="2" s="1"/>
  <c r="W21" i="6"/>
  <c r="W22" i="6" s="1"/>
  <c r="X19" i="6" s="1"/>
  <c r="V23" i="6"/>
  <c r="V18" i="7"/>
  <c r="U25" i="6"/>
  <c r="U19" i="7"/>
  <c r="T18" i="9"/>
  <c r="T20" i="9" s="1"/>
  <c r="T20" i="7"/>
  <c r="T21" i="7" s="1"/>
  <c r="T26" i="6"/>
  <c r="X20" i="6"/>
  <c r="Z27" i="8"/>
  <c r="Y28" i="8"/>
  <c r="AB18" i="5" l="1"/>
  <c r="AC11" i="5" s="1"/>
  <c r="AB16" i="5"/>
  <c r="AB16" i="9"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C18" i="5" l="1"/>
  <c r="AD11" i="5" s="1"/>
  <c r="AC16" i="5"/>
  <c r="AC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Z22" i="6" l="1"/>
  <c r="AA19" i="6" s="1"/>
  <c r="AA21" i="6" s="1"/>
  <c r="Z23" i="6"/>
  <c r="Z18" i="7"/>
  <c r="Y19" i="7"/>
  <c r="Y25" i="6"/>
  <c r="AD18" i="5"/>
  <c r="AE11" i="5" s="1"/>
  <c r="AD16" i="5"/>
  <c r="AD16" i="9" s="1"/>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A22" i="6" l="1"/>
  <c r="AB19" i="6" s="1"/>
  <c r="AB21" i="6" s="1"/>
  <c r="AA23" i="6"/>
  <c r="AA18" i="7"/>
  <c r="Z19" i="7"/>
  <c r="Z25" i="6"/>
  <c r="Y26" i="6"/>
  <c r="Y20" i="7"/>
  <c r="Y21" i="7" s="1"/>
  <c r="Y18" i="9"/>
  <c r="Y20" i="9" s="1"/>
  <c r="Y90" i="10" s="1"/>
  <c r="AE18" i="5"/>
  <c r="AF11" i="5" s="1"/>
  <c r="AE16" i="5"/>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Y73" i="10" l="1"/>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AF16" i="5"/>
  <c r="AF18" i="5"/>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16" i="9"/>
  <c r="AE27" i="8"/>
  <c r="AD28" i="8"/>
  <c r="AB19" i="7" l="1"/>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C29" i="2"/>
  <c r="D29" i="2" s="1"/>
  <c r="F27" i="2" s="1"/>
  <c r="C34" i="5"/>
  <c r="Y23" i="9"/>
  <c r="X24" i="9"/>
  <c r="AF16" i="9"/>
  <c r="C29" i="5"/>
  <c r="B15" i="2" s="1"/>
  <c r="AF27" i="8"/>
  <c r="AF28" i="8" s="1"/>
  <c r="AE28" i="8"/>
  <c r="AA70" i="10"/>
  <c r="AA71" i="10"/>
  <c r="AA72" i="10"/>
  <c r="AA73" i="10"/>
  <c r="AA74" i="10"/>
  <c r="AA75" i="10"/>
  <c r="AB26" i="6" l="1"/>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E26" i="6"/>
  <c r="AE20" i="7"/>
  <c r="AE21" i="7" s="1"/>
  <c r="AE18" i="9"/>
  <c r="AE20" i="9" s="1"/>
  <c r="AB24" i="9"/>
  <c r="AC23" i="9"/>
  <c r="AE94" i="10"/>
  <c r="AE93" i="10"/>
  <c r="AE92" i="10"/>
  <c r="AE91" i="10"/>
  <c r="AE90" i="10"/>
  <c r="AE89" i="10"/>
  <c r="AE88" i="10"/>
  <c r="AE87" i="10"/>
  <c r="AE86" i="10"/>
  <c r="AE85" i="10"/>
  <c r="AE84" i="10"/>
  <c r="AE83" i="10"/>
  <c r="AE82" i="10"/>
  <c r="AE81" i="10"/>
  <c r="AE80" i="10"/>
  <c r="AE79" i="10"/>
  <c r="AE78" i="10"/>
  <c r="AF20" i="7"/>
  <c r="AF26" i="6" l="1"/>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H20" i="2" s="1"/>
  <c r="AE24" i="9"/>
  <c r="AF23" i="9"/>
  <c r="AF24" i="9" s="1"/>
  <c r="G20" i="2"/>
  <c r="C29" i="9" l="1"/>
  <c r="C30" i="9" s="1"/>
  <c r="H12" i="2" s="1"/>
  <c r="A22" i="2"/>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<sst xmlns="http://schemas.openxmlformats.org/spreadsheetml/2006/main" count="1089" uniqueCount="707">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</sst>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
      <b/>
      <sz val="10"/>
      <color rgb="FFFF0000"/>
      <name val="Arial"/>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9" fillId="2" borderId="2" xfId="0" applyFont="1" applyFill="1" applyBorder="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3" fillId="0" borderId="0" xfId="0" applyFont="1" applyAlignment="1">
      <alignmen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8" fillId="0" borderId="0" xfId="0" applyFont="1" applyAlignment="1">
      <alignmen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workbookViewId="0">
      <selection activeCell="M29" sqref="M29"/>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8" t="s">
        <v>146</v>
      </c>
      <c r="B1" s="118"/>
      <c r="C1" s="118"/>
      <c r="D1" s="118"/>
      <c r="E1" s="118"/>
      <c r="F1" s="118"/>
      <c r="G1" s="118"/>
      <c r="H1" s="30"/>
      <c r="I1" s="30"/>
      <c r="J1" s="30"/>
      <c r="K1" s="30"/>
    </row>
    <row r="2" spans="1:11" ht="26" customHeight="1">
      <c r="A2" s="119" t="s">
        <v>147</v>
      </c>
      <c r="B2" s="119"/>
      <c r="C2" s="119"/>
      <c r="D2" s="119"/>
      <c r="E2" s="119"/>
      <c r="F2" s="119"/>
      <c r="G2" s="119"/>
      <c r="H2" s="30"/>
      <c r="I2" s="30"/>
      <c r="J2" s="30"/>
      <c r="K2" s="30"/>
    </row>
    <row r="3" spans="1:11">
      <c r="A3" s="120" t="s">
        <v>148</v>
      </c>
      <c r="B3" s="120"/>
      <c r="C3" s="120"/>
      <c r="D3" s="120"/>
      <c r="E3" s="120"/>
      <c r="F3" s="120"/>
      <c r="G3" s="120"/>
      <c r="H3" s="30"/>
      <c r="I3" s="30"/>
      <c r="J3" s="30"/>
      <c r="K3" s="30"/>
    </row>
    <row r="4" spans="1:11">
      <c r="A4" s="30"/>
      <c r="B4" s="30"/>
      <c r="C4" s="30"/>
      <c r="D4" s="30"/>
      <c r="E4" s="30"/>
      <c r="F4" s="30"/>
      <c r="G4" s="30"/>
      <c r="H4" s="30"/>
      <c r="I4" s="30"/>
      <c r="J4" s="30"/>
      <c r="K4" s="30"/>
    </row>
    <row r="5" spans="1:11">
      <c r="A5" s="112" t="s">
        <v>149</v>
      </c>
      <c r="B5" s="112"/>
      <c r="C5" s="30"/>
      <c r="D5" s="30"/>
      <c r="E5" s="30"/>
      <c r="F5" s="30"/>
      <c r="G5" s="30"/>
      <c r="H5" s="30"/>
      <c r="I5" s="116" t="s">
        <v>150</v>
      </c>
      <c r="J5" s="116"/>
      <c r="K5" s="116"/>
    </row>
    <row r="6" spans="1:11">
      <c r="A6" s="30" t="s">
        <v>151</v>
      </c>
      <c r="B6" s="31" t="s">
        <v>152</v>
      </c>
      <c r="C6" s="30"/>
      <c r="D6" s="121" t="s">
        <v>153</v>
      </c>
      <c r="E6" s="121"/>
      <c r="F6" s="121"/>
      <c r="G6" s="121"/>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2027</v>
      </c>
      <c r="K8" s="26" t="s">
        <v>161</v>
      </c>
    </row>
    <row r="9" spans="1:11" ht="28" customHeight="1">
      <c r="A9" s="2" t="s">
        <v>162</v>
      </c>
      <c r="B9" s="3" t="s">
        <v>163</v>
      </c>
      <c r="C9" s="3" t="s">
        <v>164</v>
      </c>
      <c r="D9" s="3" t="s">
        <v>155</v>
      </c>
      <c r="E9" s="3" t="s">
        <v>156</v>
      </c>
      <c r="F9" s="3" t="s">
        <v>165</v>
      </c>
      <c r="G9" s="4" t="s">
        <v>166</v>
      </c>
      <c r="H9" s="30"/>
      <c r="I9" s="26" t="s">
        <v>167</v>
      </c>
      <c r="J9" s="28">
        <f>IF(D18="","",D18)</f>
        <v>2046</v>
      </c>
      <c r="K9" s="26" t="s">
        <v>161</v>
      </c>
    </row>
    <row r="10" spans="1:11" ht="22" customHeight="1">
      <c r="A10" s="112" t="s">
        <v>168</v>
      </c>
      <c r="B10" s="113"/>
      <c r="C10" s="112"/>
      <c r="D10" s="113"/>
      <c r="E10" s="112"/>
      <c r="F10" s="112"/>
      <c r="G10" s="114"/>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6115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2025</v>
      </c>
      <c r="E13" s="33" t="s">
        <v>161</v>
      </c>
      <c r="F13" s="33" t="s">
        <v>174</v>
      </c>
      <c r="G13" s="5" t="s">
        <v>185</v>
      </c>
      <c r="H13" s="30"/>
      <c r="I13" s="26" t="s">
        <v>186</v>
      </c>
      <c r="J13" s="103">
        <f>Input!$D$29</f>
        <v>535</v>
      </c>
      <c r="K13" s="26" t="s">
        <v>177</v>
      </c>
    </row>
    <row r="14" spans="1:11" ht="15" customHeight="1">
      <c r="A14" s="33" t="s">
        <v>187</v>
      </c>
      <c r="B14" s="7" t="s">
        <v>188</v>
      </c>
      <c r="C14" s="33" t="s">
        <v>189</v>
      </c>
      <c r="D14" s="10">
        <v>2025</v>
      </c>
      <c r="E14" s="33" t="s">
        <v>161</v>
      </c>
      <c r="F14" s="33" t="s">
        <v>174</v>
      </c>
      <c r="G14" s="5" t="s">
        <v>190</v>
      </c>
      <c r="H14" s="30"/>
      <c r="I14" s="26" t="s">
        <v>191</v>
      </c>
      <c r="J14" s="103">
        <f>IF(OR(D21="",D12="",D12=0),"",D21/D12)</f>
        <v>33.972222222222221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4280.5</v>
      </c>
      <c r="K15" s="26" t="s">
        <v>177</v>
      </c>
    </row>
    <row r="16" spans="1:11" ht="15" customHeight="1">
      <c r="A16" s="33" t="s">
        <v>198</v>
      </c>
      <c r="B16" s="7" t="s">
        <v>199</v>
      </c>
      <c r="C16" s="33" t="s">
        <v>200</v>
      </c>
      <c r="D16" s="11">
        <f>IF(OR(D14="",D15=""),"",D14+D15)</f>
        <v>2027</v>
      </c>
      <c r="E16" s="33" t="s">
        <v>161</v>
      </c>
      <c r="F16" s="33" t="s">
        <v>201</v>
      </c>
      <c r="G16" s="5" t="s">
        <v>202</v>
      </c>
      <c r="H16" s="30"/>
      <c r="I16" s="26" t="s">
        <v>203</v>
      </c>
      <c r="J16" s="103">
        <f>Input!$D$21*(1-Input!$D$58)</f>
        <v>1834.5000000000002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473040</v>
      </c>
      <c r="K17" s="26" t="s">
        <v>98</v>
      </c>
      <c r="M17" s="111" t="s">
        <v>209</v>
      </c>
      <c r="N17" s="111"/>
      <c r="O17" s="111"/>
      <c r="P17" s="111"/>
    </row>
    <row r="18" spans="1:16" ht="15" customHeight="1">
      <c r="A18" s="33" t="s">
        <v>210</v>
      </c>
      <c r="B18" s="7" t="s">
        <v>167</v>
      </c>
      <c r="C18" s="33" t="s">
        <v>211</v>
      </c>
      <c r="D18" s="11">
        <f>IF(OR(D16="",D17=""),"",D16+D17-1)</f>
        <v>2046</v>
      </c>
      <c r="E18" s="33" t="s">
        <v>161</v>
      </c>
      <c r="F18" s="33" t="s">
        <v>201</v>
      </c>
      <c r="G18" s="5" t="s">
        <v>212</v>
      </c>
      <c r="H18" s="30"/>
      <c r="I18" s="26" t="s">
        <v>213</v>
      </c>
      <c r="J18" s="103">
        <f>IF(D48="","",D48)</f>
        <v>1807.4</v>
      </c>
      <c r="K18" s="26" t="s">
        <v>214</v>
      </c>
      <c r="M18" s="26" t="str">
        <f>Summary!A11</f>
        <v>Project IRR</v>
      </c>
      <c r="N18" s="77">
        <f>Summary!B11</f>
        <v>0.10715201977654654</v>
      </c>
      <c r="O18" s="26" t="str">
        <f>Summary!D11</f>
        <v>Project NPV</v>
      </c>
      <c r="P18" s="29">
        <f>Summary!E11</f>
        <v>319.26356665966443</v>
      </c>
    </row>
    <row r="19" spans="1:16" ht="15" customHeight="1">
      <c r="A19" s="34"/>
      <c r="B19" s="30"/>
      <c r="C19" s="34"/>
      <c r="D19" s="30"/>
      <c r="E19" s="34"/>
      <c r="F19" s="34"/>
      <c r="G19" s="35"/>
      <c r="H19" s="30"/>
      <c r="I19" s="26" t="s">
        <v>215</v>
      </c>
      <c r="J19" s="103">
        <f>IF(D50="","",D50)</f>
        <v>854.97249599999998</v>
      </c>
      <c r="K19" s="26" t="s">
        <v>177</v>
      </c>
      <c r="M19" s="26" t="str">
        <f>Summary!A12</f>
        <v>Equity IRR</v>
      </c>
      <c r="N19" s="77">
        <f>Summary!B12</f>
        <v>0.11099519861181029</v>
      </c>
      <c r="O19" s="26" t="str">
        <f>Summary!D12</f>
        <v>Equity NPV</v>
      </c>
      <c r="P19" s="29">
        <f>Summary!E12</f>
        <v>-179.90456236054544</v>
      </c>
    </row>
    <row r="20" spans="1:16" ht="22" customHeight="1">
      <c r="A20" s="112" t="s">
        <v>216</v>
      </c>
      <c r="B20" s="113"/>
      <c r="C20" s="112"/>
      <c r="D20" s="113"/>
      <c r="E20" s="112"/>
      <c r="F20" s="112"/>
      <c r="G20" s="114"/>
      <c r="H20" s="30"/>
      <c r="I20" s="26" t="s">
        <v>217</v>
      </c>
      <c r="J20" s="105">
        <f>Input!$D$53</f>
        <v>0.02</v>
      </c>
      <c r="K20" s="26" t="s">
        <v>218</v>
      </c>
    </row>
    <row r="21" spans="1:16" ht="24" customHeight="1">
      <c r="A21" s="33" t="s">
        <v>219</v>
      </c>
      <c r="B21" s="7" t="s">
        <v>220</v>
      </c>
      <c r="C21" s="33" t="s">
        <v>221</v>
      </c>
      <c r="D21" s="12">
        <f>Input!$D$12*Input!$D$22+Input!$D$29</f>
        <v>6115</v>
      </c>
      <c r="E21" s="33" t="s">
        <v>177</v>
      </c>
      <c r="F21" s="33" t="s">
        <v>201</v>
      </c>
      <c r="G21" s="5" t="s">
        <v>222</v>
      </c>
      <c r="H21" s="30"/>
      <c r="I21" s="26" t="s">
        <v>223</v>
      </c>
      <c r="J21" s="103">
        <f>IF(D55="","",D55)</f>
        <v>732.67249600000002</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0.85695446277841436</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6726.5000000000009</v>
      </c>
      <c r="E25" s="33" t="s">
        <v>177</v>
      </c>
      <c r="F25" s="33" t="s">
        <v>201</v>
      </c>
      <c r="G25" s="5" t="s">
        <v>241</v>
      </c>
      <c r="H25" s="30"/>
    </row>
    <row r="26" spans="1:16" ht="15" customHeight="1">
      <c r="A26" s="33" t="s">
        <v>242</v>
      </c>
      <c r="B26" s="7" t="s">
        <v>243</v>
      </c>
      <c r="C26" s="33" t="s">
        <v>244</v>
      </c>
      <c r="D26" s="12">
        <f>IF(OR(D21="",D23="",D24=""),"",D21+D21*D23*(1-D24))</f>
        <v>6115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535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35</v>
      </c>
      <c r="E31" s="33" t="s">
        <v>263</v>
      </c>
      <c r="F31" s="33" t="s">
        <v>174</v>
      </c>
      <c r="G31" s="5"/>
      <c r="H31" s="30"/>
    </row>
    <row r="32" spans="1:16">
      <c r="A32" s="33" t="s">
        <v>264</v>
      </c>
      <c r="B32" s="7" t="s">
        <v>265</v>
      </c>
      <c r="C32" s="33"/>
      <c r="D32" s="13">
        <v>9</v>
      </c>
      <c r="E32" s="33" t="s">
        <v>266</v>
      </c>
      <c r="F32" s="33" t="s">
        <v>174</v>
      </c>
      <c r="G32" s="5"/>
      <c r="H32" s="30"/>
    </row>
    <row r="33" spans="1:11" ht="22" customHeight="1">
      <c r="A33" s="112" t="s">
        <v>267</v>
      </c>
      <c r="B33" s="113"/>
      <c r="C33" s="112"/>
      <c r="D33" s="113"/>
      <c r="E33" s="112"/>
      <c r="F33" s="112"/>
      <c r="G33" s="114"/>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2" t="s">
        <v>292</v>
      </c>
      <c r="B42" s="113"/>
      <c r="C42" s="112"/>
      <c r="D42" s="113"/>
      <c r="E42" s="112"/>
      <c r="F42" s="112"/>
      <c r="G42" s="114"/>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v>
      </c>
      <c r="E44" s="33" t="s">
        <v>228</v>
      </c>
      <c r="F44" s="33" t="s">
        <v>174</v>
      </c>
      <c r="G44" s="5" t="s">
        <v>300</v>
      </c>
      <c r="H44" s="30"/>
      <c r="I44" s="30"/>
      <c r="J44" s="30"/>
      <c r="K44" s="30"/>
    </row>
    <row r="45" spans="1:11">
      <c r="A45" s="33" t="s">
        <v>301</v>
      </c>
      <c r="B45" s="7" t="s">
        <v>302</v>
      </c>
      <c r="C45" s="33" t="s">
        <v>71</v>
      </c>
      <c r="D45" s="95">
        <f>IF(OR(D12="",D12=0,D46=""),"",D46/D12)</f>
        <v>2628</v>
      </c>
      <c r="E45" s="33" t="s">
        <v>303</v>
      </c>
      <c r="F45" s="33" t="s">
        <v>201</v>
      </c>
      <c r="G45" s="5"/>
      <c r="H45" s="30"/>
      <c r="I45" s="30"/>
      <c r="J45" s="30"/>
      <c r="K45" s="30"/>
    </row>
    <row r="46" spans="1:11" ht="15" customHeight="1">
      <c r="A46" s="33" t="s">
        <v>304</v>
      </c>
      <c r="B46" s="7" t="s">
        <v>305</v>
      </c>
      <c r="C46" s="33" t="s">
        <v>306</v>
      </c>
      <c r="D46" s="98">
        <f>IF(OR(D12="",D44=""),"",D12*8760*D44)</f>
        <v>473040</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0.02</v>
      </c>
      <c r="E49" s="33" t="s">
        <v>312</v>
      </c>
      <c r="F49" s="33" t="s">
        <v>174</v>
      </c>
      <c r="G49" s="5" t="s">
        <v>321</v>
      </c>
      <c r="H49" s="30"/>
      <c r="I49" s="30"/>
      <c r="J49" s="30"/>
      <c r="K49" s="30"/>
    </row>
    <row r="50" spans="1:11" ht="15" customHeight="1">
      <c r="A50" s="33" t="s">
        <v>322</v>
      </c>
      <c r="B50" s="7" t="s">
        <v>323</v>
      </c>
      <c r="C50" s="33" t="s">
        <v>324</v>
      </c>
      <c r="D50" s="97">
        <f>IF(OR(D46="",D48=""),"",D46*1000*D48/1000000000+IF(D51="",0,D51))</f>
        <v>854.97249599999998</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2" t="s">
        <v>331</v>
      </c>
      <c r="B52" s="113"/>
      <c r="C52" s="112"/>
      <c r="D52" s="113"/>
      <c r="E52" s="112"/>
      <c r="F52" s="112"/>
      <c r="G52" s="114"/>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732.67249600000002</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2" t="s">
        <v>344</v>
      </c>
      <c r="B57" s="113"/>
      <c r="C57" s="112"/>
      <c r="D57" s="113"/>
      <c r="E57" s="112"/>
      <c r="F57" s="112"/>
      <c r="G57" s="114"/>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4280.5</v>
      </c>
      <c r="E66" s="33" t="s">
        <v>177</v>
      </c>
      <c r="F66" s="33" t="s">
        <v>201</v>
      </c>
      <c r="G66" s="5" t="s">
        <v>382</v>
      </c>
      <c r="H66" s="30"/>
      <c r="I66" s="30"/>
      <c r="J66" s="30"/>
      <c r="K66" s="30"/>
    </row>
    <row r="67" spans="1:11" ht="15" customHeight="1">
      <c r="A67" s="33" t="s">
        <v>383</v>
      </c>
      <c r="B67" s="7" t="s">
        <v>203</v>
      </c>
      <c r="C67" s="33" t="s">
        <v>384</v>
      </c>
      <c r="D67" s="12">
        <f>IF(OR(D26="",D66=""),"",D26-D66)</f>
        <v>1834.5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2" t="s">
        <v>386</v>
      </c>
      <c r="B69" s="113"/>
      <c r="C69" s="112"/>
      <c r="D69" s="113"/>
      <c r="E69" s="112"/>
      <c r="F69" s="112"/>
      <c r="G69" s="114"/>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15" t="s">
        <v>423</v>
      </c>
      <c r="B81" s="115"/>
      <c r="C81" s="115"/>
      <c r="D81" s="115"/>
      <c r="E81" s="115"/>
      <c r="F81" s="115"/>
      <c r="G81" s="115"/>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A1:G1"/>
    <mergeCell ref="A2:G2"/>
    <mergeCell ref="A3:G3"/>
    <mergeCell ref="A5:B5"/>
    <mergeCell ref="D6:G6"/>
    <mergeCell ref="I5:K5"/>
    <mergeCell ref="D7:G7"/>
    <mergeCell ref="A10:G10"/>
    <mergeCell ref="A20:G20"/>
    <mergeCell ref="A33:G33"/>
    <mergeCell ref="M17:P17"/>
    <mergeCell ref="A52:G52"/>
    <mergeCell ref="A57:G57"/>
    <mergeCell ref="A69:G69"/>
    <mergeCell ref="A81:G81"/>
    <mergeCell ref="A42:G42"/>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8" t="s">
        <v>424</v>
      </c>
      <c r="B1" s="118"/>
      <c r="C1" s="118"/>
      <c r="D1" s="118"/>
      <c r="E1" s="118"/>
      <c r="F1" s="118"/>
      <c r="G1" s="118"/>
      <c r="H1" s="118"/>
    </row>
    <row r="2" spans="1:8">
      <c r="A2" s="132" t="str">
        <f>Input!D11</f>
        <v>Dự án Nhà máy điện gió Vân Canh 2</v>
      </c>
      <c r="B2" s="132"/>
      <c r="C2" s="132"/>
      <c r="D2" s="132"/>
      <c r="E2" s="132"/>
      <c r="F2" s="132"/>
      <c r="G2" s="132"/>
      <c r="H2" s="132"/>
    </row>
    <row r="3" spans="1:8">
      <c r="A3" s="133" t="s">
        <v>425</v>
      </c>
      <c r="B3" s="133"/>
      <c r="C3" s="133"/>
      <c r="D3" s="133"/>
      <c r="E3" s="133"/>
      <c r="F3" s="133"/>
      <c r="G3" s="133"/>
      <c r="H3" s="133"/>
    </row>
    <row r="4" spans="1:8">
      <c r="A4" s="1"/>
      <c r="B4" s="1"/>
      <c r="C4" s="1"/>
      <c r="D4" s="1"/>
      <c r="E4" s="1"/>
      <c r="F4" s="1"/>
      <c r="G4" s="1"/>
      <c r="H4" s="1"/>
    </row>
    <row r="5" spans="1:8">
      <c r="A5" s="134" t="s">
        <v>426</v>
      </c>
      <c r="B5" s="134"/>
      <c r="C5" s="134"/>
      <c r="D5" s="134"/>
      <c r="E5" s="134"/>
      <c r="F5" s="134"/>
      <c r="G5" s="134"/>
      <c r="H5" s="134"/>
    </row>
    <row r="6" spans="1:8">
      <c r="A6" s="1" t="s">
        <v>427</v>
      </c>
      <c r="B6" s="57">
        <f>Input!D12</f>
        <v>180</v>
      </c>
      <c r="C6" s="1" t="s">
        <v>95</v>
      </c>
      <c r="D6" s="1" t="s">
        <v>160</v>
      </c>
      <c r="E6" s="58">
        <f>Input!D16</f>
        <v>2027</v>
      </c>
      <c r="F6" s="1" t="s">
        <v>161</v>
      </c>
      <c r="G6" s="1" t="s">
        <v>205</v>
      </c>
      <c r="H6" s="58">
        <f>Input!D17</f>
        <v>20</v>
      </c>
    </row>
    <row r="7" spans="1:8">
      <c r="A7" s="1" t="s">
        <v>428</v>
      </c>
      <c r="B7" s="59">
        <f>Input!D25</f>
        <v>6726.5000000000009</v>
      </c>
      <c r="C7" s="1" t="s">
        <v>177</v>
      </c>
      <c r="D7" s="1" t="s">
        <v>429</v>
      </c>
      <c r="E7" s="60">
        <f>Input!D46</f>
        <v>473040</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34" t="s">
        <v>430</v>
      </c>
      <c r="B10" s="134"/>
      <c r="C10" s="134"/>
      <c r="D10" s="134"/>
      <c r="E10" s="134"/>
      <c r="F10" s="134"/>
      <c r="G10" s="134"/>
      <c r="H10" s="134"/>
    </row>
    <row r="11" spans="1:8">
      <c r="A11" s="1" t="s">
        <v>130</v>
      </c>
      <c r="B11" s="62">
        <f>Project_CF!C34</f>
        <v>0.10715201977654654</v>
      </c>
      <c r="C11" s="1" t="s">
        <v>228</v>
      </c>
      <c r="D11" s="1" t="s">
        <v>134</v>
      </c>
      <c r="E11" s="59">
        <f>Project_CF!C35</f>
        <v>319.26356665966443</v>
      </c>
      <c r="F11" s="1" t="s">
        <v>177</v>
      </c>
      <c r="G11" s="1" t="s">
        <v>431</v>
      </c>
      <c r="H11" s="58">
        <f>Project_CF!C37</f>
        <v>9</v>
      </c>
    </row>
    <row r="12" spans="1:8">
      <c r="A12" s="1" t="s">
        <v>63</v>
      </c>
      <c r="B12" s="62">
        <f>Equity_CF!C27</f>
        <v>0.11099519861181029</v>
      </c>
      <c r="C12" s="1" t="s">
        <v>228</v>
      </c>
      <c r="D12" s="1" t="s">
        <v>67</v>
      </c>
      <c r="E12" s="59">
        <f>Equity_CF!C28</f>
        <v>-179.90456236054544</v>
      </c>
      <c r="F12" s="1" t="s">
        <v>177</v>
      </c>
      <c r="G12" s="1" t="s">
        <v>432</v>
      </c>
      <c r="H12" s="58">
        <f>Equity_CF!C30</f>
        <v>12</v>
      </c>
    </row>
    <row r="13" spans="1:8">
      <c r="A13" s="1" t="s">
        <v>433</v>
      </c>
      <c r="B13" s="63">
        <f>Debt!C31</f>
        <v>1.0774082929826729</v>
      </c>
      <c r="C13" s="1" t="s">
        <v>378</v>
      </c>
      <c r="D13" s="1" t="s">
        <v>434</v>
      </c>
      <c r="E13" s="63">
        <f>Debt!C32</f>
        <v>2.0614675876374373</v>
      </c>
      <c r="F13" s="1" t="s">
        <v>378</v>
      </c>
      <c r="G13" s="1" t="s">
        <v>91</v>
      </c>
      <c r="H13" s="63">
        <f>Debt!C33</f>
        <v>1.4586544472776366</v>
      </c>
    </row>
    <row r="14" spans="1:8">
      <c r="A14" s="1" t="s">
        <v>87</v>
      </c>
      <c r="B14" s="61">
        <f>Project_CF!C38</f>
        <v>1913.920845794192</v>
      </c>
      <c r="C14" s="1" t="s">
        <v>214</v>
      </c>
      <c r="D14" s="1" t="s">
        <v>435</v>
      </c>
      <c r="E14" s="61">
        <f>Project_CF!C39</f>
        <v>1675.0003797224717</v>
      </c>
      <c r="F14" s="1" t="s">
        <v>214</v>
      </c>
      <c r="G14" s="1" t="s">
        <v>227</v>
      </c>
      <c r="H14" s="62">
        <f>IF(Input!D50=0,0,Input!D55/Input!D50)</f>
        <v>0.85695446277841436</v>
      </c>
    </row>
    <row r="15" spans="1:8">
      <c r="A15" s="1" t="s">
        <v>436</v>
      </c>
      <c r="B15" s="59">
        <f>Debt!C29</f>
        <v>4025.8102499999991</v>
      </c>
      <c r="C15" s="1" t="s">
        <v>177</v>
      </c>
      <c r="D15" s="1" t="s">
        <v>437</v>
      </c>
      <c r="E15" s="59">
        <f>Income_Statement!C26</f>
        <v>899.92119428461706</v>
      </c>
      <c r="F15" s="1" t="s">
        <v>177</v>
      </c>
      <c r="G15" s="1" t="s">
        <v>438</v>
      </c>
      <c r="H15" s="59">
        <f>Equity_CF!C31</f>
        <v>2599.4865000000004</v>
      </c>
    </row>
    <row r="16" spans="1:8">
      <c r="A16" s="1" t="s">
        <v>223</v>
      </c>
      <c r="B16" s="59">
        <f>Input!D55</f>
        <v>732.67249600000002</v>
      </c>
      <c r="C16" s="1" t="s">
        <v>177</v>
      </c>
      <c r="D16" s="1" t="s">
        <v>215</v>
      </c>
      <c r="E16" s="59">
        <f>Input!D50</f>
        <v>854.97249599999998</v>
      </c>
      <c r="F16" s="1" t="s">
        <v>177</v>
      </c>
      <c r="G16" s="1" t="s">
        <v>439</v>
      </c>
      <c r="H16" s="59">
        <f>E12-E11</f>
        <v>-499.1681290202099</v>
      </c>
    </row>
    <row r="17" spans="1:8">
      <c r="A17" s="1"/>
      <c r="B17" s="1"/>
      <c r="C17" s="1"/>
      <c r="D17" s="1"/>
      <c r="E17" s="1"/>
      <c r="F17" s="1"/>
      <c r="G17" s="1"/>
      <c r="H17" s="1"/>
    </row>
    <row r="18" spans="1:8" ht="18" customHeight="1">
      <c r="A18" s="126" t="s">
        <v>440</v>
      </c>
      <c r="B18" s="126"/>
      <c r="C18" s="126"/>
      <c r="D18" s="126"/>
      <c r="E18" s="126"/>
      <c r="F18" s="126"/>
      <c r="G18" s="126"/>
      <c r="H18" s="126"/>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ĐẠT</v>
      </c>
      <c r="C20" s="81" t="s">
        <v>447</v>
      </c>
      <c r="D20" s="80" t="str">
        <f>IF(AND(B12&gt;=Input!$D$78,E12&gt;=0),"ĐẠT","KHÔNG ĐẠT")</f>
        <v>KHÔNG ĐẠT</v>
      </c>
      <c r="E20" s="81" t="s">
        <v>448</v>
      </c>
      <c r="F20" s="80" t="str">
        <f>IF(B13&gt;=Input!D65,"ĐẠT","KHÔNG ĐẠT")</f>
        <v>KHÔNG ĐẠT</v>
      </c>
      <c r="G20" s="80" t="str">
        <f>IF(COUNTIF(B20:F20,"KHÔNG ĐẠT")=0,"ĐẠT","KHÔNG ĐẠT")</f>
        <v>KHÔNG ĐẠT</v>
      </c>
      <c r="H20" s="80">
        <f>COUNTIF(B20:F20,"KHÔNG ĐẠT")</f>
        <v>2</v>
      </c>
    </row>
    <row r="21" spans="1:8" ht="30" customHeight="1">
      <c r="A21" s="127" t="str">
        <f>IF(H20=0,"DỰ ÁN HIỆU QUẢ",IF(H20=1,"DỰ ÁN CẦN XEM XÉT","DỰ ÁN KHÔNG HIỆU QUẢ / CHƯA ĐẠT YÊU CẦU ĐẦU TƯ"))</f>
        <v>DỰ ÁN KHÔNG HIỆU QUẢ / CHƯA ĐẠT YÊU CẦU ĐẦU TƯ</v>
      </c>
      <c r="B21" s="128"/>
      <c r="C21" s="128"/>
      <c r="D21" s="128"/>
      <c r="E21" s="128"/>
      <c r="F21" s="128"/>
      <c r="G21" s="128"/>
      <c r="H21" s="129"/>
    </row>
    <row r="22" spans="1:8" ht="26" customHeight="1">
      <c r="A22" s="130"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30"/>
      <c r="C22" s="130"/>
      <c r="D22" s="130"/>
      <c r="E22" s="130"/>
      <c r="F22" s="130"/>
      <c r="G22" s="130"/>
      <c r="H22" s="130"/>
    </row>
    <row r="23" spans="1:8" ht="18" customHeight="1"/>
    <row r="24" spans="1:8" ht="18" customHeight="1">
      <c r="A24" s="126" t="s">
        <v>449</v>
      </c>
      <c r="B24" s="126"/>
      <c r="C24" s="126"/>
      <c r="D24" s="126"/>
      <c r="E24" s="126"/>
      <c r="F24" s="126"/>
      <c r="G24" s="126"/>
      <c r="H24" s="126"/>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1" t="s">
        <v>454</v>
      </c>
      <c r="G26" s="131"/>
      <c r="H26" s="131"/>
    </row>
    <row r="27" spans="1:8" ht="18" customHeight="1">
      <c r="A27" t="s">
        <v>455</v>
      </c>
      <c r="B27" t="s">
        <v>456</v>
      </c>
      <c r="C27" s="86">
        <f>CAPEX!C28-Input!D21</f>
        <v>0</v>
      </c>
      <c r="D27" s="84" t="str">
        <f>IF(ABS(C27)&lt;0.01,"OK","KIỂM TRA")</f>
        <v>OK</v>
      </c>
      <c r="F27" s="124" t="str">
        <f>IF(COUNTIF(D26:D31,"KIỂM TRA")=0,"OK","CẦN KIỂM TRA")</f>
        <v>CẦN KIỂM TRA</v>
      </c>
      <c r="G27" s="124"/>
      <c r="H27" s="124"/>
    </row>
    <row r="28" spans="1:8" ht="18" customHeight="1">
      <c r="A28" t="s">
        <v>457</v>
      </c>
      <c r="B28" t="s">
        <v>458</v>
      </c>
      <c r="C28" s="86">
        <f>Debt!C28-Input!D66</f>
        <v>0</v>
      </c>
      <c r="D28" s="84" t="str">
        <f>IF(ABS(C28)&lt;0.01,"OK","KIỂM TRA")</f>
        <v>OK</v>
      </c>
      <c r="F28" s="124"/>
      <c r="G28" s="124"/>
      <c r="H28" s="124"/>
    </row>
    <row r="29" spans="1:8" ht="18" customHeight="1">
      <c r="A29" t="s">
        <v>459</v>
      </c>
      <c r="B29" t="s">
        <v>460</v>
      </c>
      <c r="C29" s="86">
        <f>Debt!AF18</f>
        <v>0</v>
      </c>
      <c r="D29" s="84" t="str">
        <f>IF(ABS(C29)&lt;0.01,"OK","KIỂM TRA")</f>
        <v>OK</v>
      </c>
      <c r="F29" s="124"/>
      <c r="G29" s="124"/>
      <c r="H29" s="124"/>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-0.12259170701732702</v>
      </c>
      <c r="D31" s="84" t="str">
        <f>IF(C31&gt;=0,"OK","KIỂM TRA")</f>
        <v>KIỂM TRA</v>
      </c>
    </row>
    <row r="32" spans="1:8" ht="18" customHeight="1"/>
    <row r="33" spans="1:8" ht="18" customHeight="1"/>
    <row r="34" spans="1:8" ht="18" customHeight="1">
      <c r="A34" s="125" t="s">
        <v>464</v>
      </c>
      <c r="B34" s="125"/>
      <c r="C34" s="125"/>
      <c r="D34" s="125"/>
      <c r="E34" s="125"/>
      <c r="F34" s="125"/>
      <c r="G34" s="125"/>
      <c r="H34" s="125"/>
    </row>
    <row r="35" spans="1:8" ht="18" customHeight="1">
      <c r="A35" s="125"/>
      <c r="B35" s="125"/>
      <c r="C35" s="125"/>
      <c r="D35" s="125"/>
      <c r="E35" s="125"/>
      <c r="F35" s="125"/>
      <c r="G35" s="125"/>
      <c r="H35" s="125"/>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A1:H1"/>
    <mergeCell ref="A2:H2"/>
    <mergeCell ref="A3:H3"/>
    <mergeCell ref="A5:H5"/>
    <mergeCell ref="A10:H10"/>
    <mergeCell ref="F27:H29"/>
    <mergeCell ref="A34:H35"/>
    <mergeCell ref="A18:H18"/>
    <mergeCell ref="A21:H21"/>
    <mergeCell ref="A22:H22"/>
    <mergeCell ref="A24:H24"/>
    <mergeCell ref="F26:H26"/>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2025</v>
      </c>
      <c r="D6" s="41">
        <f>Input!$D$14+1</f>
        <v>2026</v>
      </c>
      <c r="E6" s="41">
        <f>Input!$D$14+2</f>
        <v>2027</v>
      </c>
      <c r="F6" s="41">
        <f>Input!$D$14+3</f>
        <v>2028</v>
      </c>
      <c r="G6" s="41">
        <f>Input!$D$14+4</f>
        <v>2029</v>
      </c>
      <c r="H6" s="41">
        <f>Input!$D$14+5</f>
        <v>2030</v>
      </c>
      <c r="I6" s="41">
        <f>Input!$D$14+6</f>
        <v>2031</v>
      </c>
      <c r="J6" s="41">
        <f>Input!$D$14+7</f>
        <v>2032</v>
      </c>
      <c r="K6" s="41">
        <f>Input!$D$14+8</f>
        <v>2033</v>
      </c>
      <c r="L6" s="41">
        <f>Input!$D$14+9</f>
        <v>2034</v>
      </c>
      <c r="M6" s="41">
        <f>Input!$D$14+10</f>
        <v>2035</v>
      </c>
      <c r="N6" s="41">
        <f>Input!$D$14+11</f>
        <v>2036</v>
      </c>
      <c r="O6" s="41">
        <f>Input!$D$14+12</f>
        <v>2037</v>
      </c>
      <c r="P6" s="41">
        <f>Input!$D$14+13</f>
        <v>2038</v>
      </c>
      <c r="Q6" s="41">
        <f>Input!$D$14+14</f>
        <v>2039</v>
      </c>
      <c r="R6" s="41">
        <f>Input!$D$14+15</f>
        <v>2040</v>
      </c>
      <c r="S6" s="41">
        <f>Input!$D$14+16</f>
        <v>2041</v>
      </c>
      <c r="T6" s="41">
        <f>Input!$D$14+17</f>
        <v>2042</v>
      </c>
      <c r="U6" s="41">
        <f>Input!$D$14+18</f>
        <v>2043</v>
      </c>
      <c r="V6" s="41">
        <f>Input!$D$14+19</f>
        <v>2044</v>
      </c>
      <c r="W6" s="41">
        <f>Input!$D$14+20</f>
        <v>2045</v>
      </c>
      <c r="X6" s="41">
        <f>Input!$D$14+21</f>
        <v>2046</v>
      </c>
      <c r="Y6" s="41">
        <f>Input!$D$14+22</f>
        <v>2047</v>
      </c>
      <c r="Z6" s="41">
        <f>Input!$D$14+23</f>
        <v>2048</v>
      </c>
      <c r="AA6" s="41">
        <f>Input!$D$14+24</f>
        <v>2049</v>
      </c>
      <c r="AB6" s="41">
        <f>Input!$D$14+25</f>
        <v>2050</v>
      </c>
      <c r="AC6" s="41">
        <f>Input!$D$14+26</f>
        <v>2051</v>
      </c>
      <c r="AD6" s="41">
        <f>Input!$D$14+27</f>
        <v>2052</v>
      </c>
      <c r="AE6" s="41">
        <f>Input!$D$14+28</f>
        <v>2053</v>
      </c>
      <c r="AF6" s="41">
        <f>Input!$D$14+29</f>
        <v>2054</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32.103749999999998</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81.329499999999996</v>
      </c>
      <c r="D23" s="44">
        <f>IF(D$8=1,Debt!D16,0)</f>
        <v>284.65324999999996</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1091.8332500000001</v>
      </c>
      <c r="D24" s="43">
        <f t="shared" si="4"/>
        <v>1507.6532500000003</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365.98274999999995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315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473040</v>
      </c>
      <c r="F11" s="45">
        <f>IF(F$8&gt;0,Input!$D$46*(1-Input!$D$47)^(F$8-1),0)</f>
        <v>472093.92</v>
      </c>
      <c r="G11" s="45">
        <f>IF(G$8&gt;0,Input!$D$46*(1-Input!$D$47)^(G$8-1),0)</f>
        <v>471149.73216000001</v>
      </c>
      <c r="H11" s="45">
        <f>IF(H$8&gt;0,Input!$D$46*(1-Input!$D$47)^(H$8-1),0)</f>
        <v>470207.43269568001</v>
      </c>
      <c r="I11" s="45">
        <f>IF(I$8&gt;0,Input!$D$46*(1-Input!$D$47)^(I$8-1),0)</f>
        <v>469267.01783028862</v>
      </c>
      <c r="J11" s="45">
        <f>IF(J$8&gt;0,Input!$D$46*(1-Input!$D$47)^(J$8-1),0)</f>
        <v>468328.48379462806</v>
      </c>
      <c r="K11" s="45">
        <f>IF(K$8&gt;0,Input!$D$46*(1-Input!$D$47)^(K$8-1),0)</f>
        <v>467391.82682703884</v>
      </c>
      <c r="L11" s="45">
        <f>IF(L$8&gt;0,Input!$D$46*(1-Input!$D$47)^(L$8-1),0)</f>
        <v>466457.04317338474</v>
      </c>
      <c r="M11" s="45">
        <f>IF(M$8&gt;0,Input!$D$46*(1-Input!$D$47)^(M$8-1),0)</f>
        <v>465524.12908703799</v>
      </c>
      <c r="N11" s="45">
        <f>IF(N$8&gt;0,Input!$D$46*(1-Input!$D$47)^(N$8-1),0)</f>
        <v>464593.08082886389</v>
      </c>
      <c r="O11" s="45">
        <f>IF(O$8&gt;0,Input!$D$46*(1-Input!$D$47)^(O$8-1),0)</f>
        <v>463663.89466720622</v>
      </c>
      <c r="P11" s="45">
        <f>IF(P$8&gt;0,Input!$D$46*(1-Input!$D$47)^(P$8-1),0)</f>
        <v>462736.56687787175</v>
      </c>
      <c r="Q11" s="45">
        <f>IF(Q$8&gt;0,Input!$D$46*(1-Input!$D$47)^(Q$8-1),0)</f>
        <v>461811.09374411608</v>
      </c>
      <c r="R11" s="45">
        <f>IF(R$8&gt;0,Input!$D$46*(1-Input!$D$47)^(R$8-1),0)</f>
        <v>460887.47155662777</v>
      </c>
      <c r="S11" s="45">
        <f>IF(S$8&gt;0,Input!$D$46*(1-Input!$D$47)^(S$8-1),0)</f>
        <v>459965.69661351456</v>
      </c>
      <c r="T11" s="45">
        <f>IF(T$8&gt;0,Input!$D$46*(1-Input!$D$47)^(T$8-1),0)</f>
        <v>459045.76522028755</v>
      </c>
      <c r="U11" s="45">
        <f>IF(U$8&gt;0,Input!$D$46*(1-Input!$D$47)^(U$8-1),0)</f>
        <v>458127.673689847</v>
      </c>
      <c r="V11" s="45">
        <f>IF(V$8&gt;0,Input!$D$46*(1-Input!$D$47)^(V$8-1),0)</f>
        <v>457211.41834246728</v>
      </c>
      <c r="W11" s="45">
        <f>IF(W$8&gt;0,Input!$D$46*(1-Input!$D$47)^(W$8-1),0)</f>
        <v>456296.99550578231</v>
      </c>
      <c r="X11" s="45">
        <f>IF(X$8&gt;0,Input!$D$46*(1-Input!$D$47)^(X$8-1),0)</f>
        <v>455384.40151477075</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1843.5480000000002</v>
      </c>
      <c r="G13" s="43">
        <f>IF(G$8&gt;0,Input!$D$48*(1+Input!$D$49)^(G$8-1),0)</f>
        <v>1880.41896</v>
      </c>
      <c r="H13" s="43">
        <f>IF(H$8&gt;0,Input!$D$48*(1+Input!$D$49)^(H$8-1),0)</f>
        <v>1918.0273391999999</v>
      </c>
      <c r="I13" s="43">
        <f>IF(I$8&gt;0,Input!$D$48*(1+Input!$D$49)^(I$8-1),0)</f>
        <v>1956.3878859840001</v>
      </c>
      <c r="J13" s="43">
        <f>IF(J$8&gt;0,Input!$D$48*(1+Input!$D$49)^(J$8-1),0)</f>
        <v>1995.5156437036801</v>
      </c>
      <c r="K13" s="43">
        <f>IF(K$8&gt;0,Input!$D$48*(1+Input!$D$49)^(K$8-1),0)</f>
        <v>2035.4259565777538</v>
      </c>
      <c r="L13" s="43">
        <f>IF(L$8&gt;0,Input!$D$48*(1+Input!$D$49)^(L$8-1),0)</f>
        <v>2076.1344757093084</v>
      </c>
      <c r="M13" s="43">
        <f>IF(M$8&gt;0,Input!$D$48*(1+Input!$D$49)^(M$8-1),0)</f>
        <v>2117.6571652234948</v>
      </c>
      <c r="N13" s="43">
        <f>IF(N$8&gt;0,Input!$D$48*(1+Input!$D$49)^(N$8-1),0)</f>
        <v>2160.0103085279648</v>
      </c>
      <c r="O13" s="43">
        <f>IF(O$8&gt;0,Input!$D$48*(1+Input!$D$49)^(O$8-1),0)</f>
        <v>2203.2105146985241</v>
      </c>
      <c r="P13" s="43">
        <f>IF(P$8&gt;0,Input!$D$48*(1+Input!$D$49)^(P$8-1),0)</f>
        <v>2247.2747249924942</v>
      </c>
      <c r="Q13" s="43">
        <f>IF(Q$8&gt;0,Input!$D$48*(1+Input!$D$49)^(Q$8-1),0)</f>
        <v>2292.2202194923443</v>
      </c>
      <c r="R13" s="43">
        <f>IF(R$8&gt;0,Input!$D$48*(1+Input!$D$49)^(R$8-1),0)</f>
        <v>2338.064623882191</v>
      </c>
      <c r="S13" s="43">
        <f>IF(S$8&gt;0,Input!$D$48*(1+Input!$D$49)^(S$8-1),0)</f>
        <v>2384.8259163598354</v>
      </c>
      <c r="T13" s="43">
        <f>IF(T$8&gt;0,Input!$D$48*(1+Input!$D$49)^(T$8-1),0)</f>
        <v>2432.5224346870314</v>
      </c>
      <c r="U13" s="43">
        <f>IF(U$8&gt;0,Input!$D$48*(1+Input!$D$49)^(U$8-1),0)</f>
        <v>2481.1728833807724</v>
      </c>
      <c r="V13" s="43">
        <f>IF(V$8&gt;0,Input!$D$48*(1+Input!$D$49)^(V$8-1),0)</f>
        <v>2530.7963410483881</v>
      </c>
      <c r="W13" s="43">
        <f>IF(W$8&gt;0,Input!$D$48*(1+Input!$D$49)^(W$8-1),0)</f>
        <v>2581.4122678693552</v>
      </c>
      <c r="X13" s="43">
        <f>IF(X$8&gt;0,Input!$D$48*(1+Input!$D$49)^(X$8-1),0)</f>
        <v>2633.0405132267424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854.97249599999998</v>
      </c>
      <c r="F14" s="44">
        <f t="shared" si="0"/>
        <v>870.32780202816014</v>
      </c>
      <c r="G14" s="44">
        <f t="shared" si="0"/>
        <v>885.95888935258586</v>
      </c>
      <c r="H14" s="44">
        <f t="shared" si="0"/>
        <v>901.8707110053582</v>
      </c>
      <c r="I14" s="44">
        <f t="shared" si="0"/>
        <v>918.06830897501447</v>
      </c>
      <c r="J14" s="44">
        <f t="shared" si="0"/>
        <v>934.55681580420583</v>
      </c>
      <c r="K14" s="44">
        <f t="shared" si="0"/>
        <v>951.34145621604932</v>
      </c>
      <c r="L14" s="44">
        <f t="shared" si="0"/>
        <v>968.42754876968934</v>
      </c>
      <c r="M14" s="44">
        <f t="shared" si="0"/>
        <v>985.82050754559316</v>
      </c>
      <c r="N14" s="44">
        <f t="shared" si="0"/>
        <v>1003.5258438611121</v>
      </c>
      <c r="O14" s="44">
        <f t="shared" si="0"/>
        <v>1021.5491680168577</v>
      </c>
      <c r="P14" s="44">
        <f t="shared" si="0"/>
        <v>1039.8961910744401</v>
      </c>
      <c r="Q14" s="44">
        <f t="shared" si="0"/>
        <v>1058.5727266661374</v>
      </c>
      <c r="R14" s="44">
        <f t="shared" si="0"/>
        <v>1077.5846928370609</v>
      </c>
      <c r="S14" s="44">
        <f t="shared" si="0"/>
        <v>1096.9381139204149</v>
      </c>
      <c r="T14" s="44">
        <f t="shared" si="0"/>
        <v>1116.6391224464253</v>
      </c>
      <c r="U14" s="44">
        <f t="shared" si="0"/>
        <v>1136.6939610855632</v>
      </c>
      <c r="V14" s="44">
        <f t="shared" si="0"/>
        <v>1157.1089846266602</v>
      </c>
      <c r="W14" s="44">
        <f t="shared" si="0"/>
        <v>1177.8906619905545</v>
      </c>
      <c r="X14" s="44">
        <f t="shared" si="0"/>
        <v>1199.0455782799047</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854.97249599999998</v>
      </c>
      <c r="F16" s="43">
        <f t="shared" si="1"/>
        <v>870.32780202816014</v>
      </c>
      <c r="G16" s="43">
        <f t="shared" si="1"/>
        <v>885.95888935258586</v>
      </c>
      <c r="H16" s="43">
        <f t="shared" si="1"/>
        <v>901.8707110053582</v>
      </c>
      <c r="I16" s="43">
        <f t="shared" si="1"/>
        <v>918.06830897501447</v>
      </c>
      <c r="J16" s="43">
        <f t="shared" si="1"/>
        <v>934.55681580420583</v>
      </c>
      <c r="K16" s="43">
        <f t="shared" si="1"/>
        <v>951.34145621604932</v>
      </c>
      <c r="L16" s="43">
        <f t="shared" si="1"/>
        <v>968.42754876968934</v>
      </c>
      <c r="M16" s="43">
        <f t="shared" si="1"/>
        <v>985.82050754559316</v>
      </c>
      <c r="N16" s="43">
        <f t="shared" si="1"/>
        <v>1003.5258438611121</v>
      </c>
      <c r="O16" s="43">
        <f t="shared" si="1"/>
        <v>1021.5491680168577</v>
      </c>
      <c r="P16" s="43">
        <f t="shared" si="1"/>
        <v>1039.8961910744401</v>
      </c>
      <c r="Q16" s="43">
        <f t="shared" si="1"/>
        <v>1058.5727266661374</v>
      </c>
      <c r="R16" s="43">
        <f t="shared" si="1"/>
        <v>1077.5846928370609</v>
      </c>
      <c r="S16" s="43">
        <f t="shared" si="1"/>
        <v>1096.9381139204149</v>
      </c>
      <c r="T16" s="43">
        <f t="shared" si="1"/>
        <v>1116.6391224464253</v>
      </c>
      <c r="U16" s="43">
        <f t="shared" si="1"/>
        <v>1136.6939610855632</v>
      </c>
      <c r="V16" s="43">
        <f t="shared" si="1"/>
        <v>1157.1089846266602</v>
      </c>
      <c r="W16" s="43">
        <f t="shared" si="1"/>
        <v>1177.8906619905545</v>
      </c>
      <c r="X16" s="43">
        <f t="shared" si="1"/>
        <v>1199.0455782799047</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732.67249600000002</v>
      </c>
      <c r="F20" s="43">
        <f t="shared" si="2"/>
        <v>745.58180202816015</v>
      </c>
      <c r="G20" s="43">
        <f t="shared" si="2"/>
        <v>758.7179693525859</v>
      </c>
      <c r="H20" s="43">
        <f t="shared" si="2"/>
        <v>772.08497260535819</v>
      </c>
      <c r="I20" s="43">
        <f t="shared" si="2"/>
        <v>785.68685580701447</v>
      </c>
      <c r="J20" s="43">
        <f t="shared" si="2"/>
        <v>799.52773357284582</v>
      </c>
      <c r="K20" s="43">
        <f t="shared" si="2"/>
        <v>813.61179234006215</v>
      </c>
      <c r="L20" s="43">
        <f t="shared" si="2"/>
        <v>827.94329161618248</v>
      </c>
      <c r="M20" s="43">
        <f t="shared" si="2"/>
        <v>842.52656524901613</v>
      </c>
      <c r="N20" s="43">
        <f t="shared" si="2"/>
        <v>857.36602271860352</v>
      </c>
      <c r="O20" s="43">
        <f t="shared" si="2"/>
        <v>872.46615045149895</v>
      </c>
      <c r="P20" s="43">
        <f t="shared" si="2"/>
        <v>887.83151315777422</v>
      </c>
      <c r="Q20" s="43">
        <f t="shared" si="2"/>
        <v>903.46675519113819</v>
      </c>
      <c r="R20" s="43">
        <f t="shared" si="2"/>
        <v>919.37660193256158</v>
      </c>
      <c r="S20" s="43">
        <f t="shared" si="2"/>
        <v>935.56586119782571</v>
      </c>
      <c r="T20" s="43">
        <f t="shared" si="2"/>
        <v>952.03942466938429</v>
      </c>
      <c r="U20" s="43">
        <f t="shared" si="2"/>
        <v>968.80226935298128</v>
      </c>
      <c r="V20" s="43">
        <f t="shared" si="2"/>
        <v>985.85945905942674</v>
      </c>
      <c r="W20" s="43">
        <f t="shared" si="2"/>
        <v>1003.2161459119764</v>
      </c>
      <c r="X20" s="43">
        <f t="shared" si="2"/>
        <v>1020.877571879755</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0.85695446277841436</v>
      </c>
      <c r="F21" s="46">
        <f t="shared" si="3"/>
        <v>0.85666779837516471</v>
      </c>
      <c r="G21" s="46">
        <f t="shared" si="3"/>
        <v>0.85638055949415304</v>
      </c>
      <c r="H21" s="46">
        <f t="shared" si="3"/>
        <v>0.85609274498412125</v>
      </c>
      <c r="I21" s="46">
        <f t="shared" si="3"/>
        <v>0.8558043536915042</v>
      </c>
      <c r="J21" s="46">
        <f t="shared" si="3"/>
        <v>0.85551538446042508</v>
      </c>
      <c r="K21" s="46">
        <f t="shared" si="3"/>
        <v>0.85522583613269054</v>
      </c>
      <c r="L21" s="46">
        <f t="shared" si="3"/>
        <v>0.85493570754778614</v>
      </c>
      <c r="M21" s="46">
        <f t="shared" si="3"/>
        <v>0.85464499754287182</v>
      </c>
      <c r="N21" s="46">
        <f t="shared" si="3"/>
        <v>0.8543537049527774</v>
      </c>
      <c r="O21" s="46">
        <f t="shared" si="3"/>
        <v>0.85406182860999735</v>
      </c>
      <c r="P21" s="46">
        <f t="shared" si="3"/>
        <v>0.85376936734468678</v>
      </c>
      <c r="Q21" s="46">
        <f t="shared" si="3"/>
        <v>0.85347631998465612</v>
      </c>
      <c r="R21" s="46">
        <f t="shared" si="3"/>
        <v>0.85318268535536668</v>
      </c>
      <c r="S21" s="46">
        <f t="shared" si="3"/>
        <v>0.85288846227992665</v>
      </c>
      <c r="T21" s="46">
        <f t="shared" si="3"/>
        <v>0.85259364957908479</v>
      </c>
      <c r="U21" s="46">
        <f t="shared" si="3"/>
        <v>0.85229824607122717</v>
      </c>
      <c r="V21" s="46">
        <f t="shared" si="3"/>
        <v>0.852002250572372</v>
      </c>
      <c r="W21" s="46">
        <f t="shared" si="3"/>
        <v>0.85170566189616437</v>
      </c>
      <c r="X21" s="46">
        <f t="shared" si="3"/>
        <v>0.85140847885387205</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9283183.6441294141</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20356.789580501787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17385.221254094155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1712.1999999999998</v>
      </c>
      <c r="E11" s="44">
        <f t="shared" si="0"/>
        <v>4280.5</v>
      </c>
      <c r="F11" s="44">
        <f t="shared" si="0"/>
        <v>4280.5</v>
      </c>
      <c r="G11" s="44">
        <f t="shared" si="0"/>
        <v>3995.1333333333332</v>
      </c>
      <c r="H11" s="44">
        <f t="shared" si="0"/>
        <v>3709.7666666666664</v>
      </c>
      <c r="I11" s="44">
        <f t="shared" si="0"/>
        <v>3424.3999999999996</v>
      </c>
      <c r="J11" s="44">
        <f t="shared" si="0"/>
        <v>3139.0333333333328</v>
      </c>
      <c r="K11" s="44">
        <f t="shared" si="0"/>
        <v>2853.6666666666661</v>
      </c>
      <c r="L11" s="44">
        <f t="shared" si="0"/>
        <v>2568.2999999999993</v>
      </c>
      <c r="M11" s="44">
        <f t="shared" si="0"/>
        <v>2282.9333333333325</v>
      </c>
      <c r="N11" s="44">
        <f t="shared" si="0"/>
        <v>1997.5666666666657</v>
      </c>
      <c r="O11" s="44">
        <f t="shared" si="0"/>
        <v>1712.1999999999989</v>
      </c>
      <c r="P11" s="44">
        <f t="shared" si="0"/>
        <v>1426.8333333333321</v>
      </c>
      <c r="Q11" s="44">
        <f t="shared" si="0"/>
        <v>1141.4666666666653</v>
      </c>
      <c r="R11" s="44">
        <f t="shared" si="0"/>
        <v>856.09999999999866</v>
      </c>
      <c r="S11" s="44">
        <f t="shared" si="0"/>
        <v>570.73333333333198</v>
      </c>
      <c r="T11" s="44">
        <f t="shared" si="0"/>
        <v>285.36666666666531</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517</v>
      </c>
      <c r="B12" s="71" t="s">
        <v>479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285.36666666666667</v>
      </c>
      <c r="G15" s="43">
        <f>IF(AND(G13&gt;=1,G13&lt;=Input!$D$61),MIN(G11+G12,IF(Input!$D$63="Gốc đều",Input!$D$66/Input!$D$61,MAX(0,G14-G16))),0)</f>
        <v>285.36666666666667</v>
      </c>
      <c r="H15" s="43">
        <f>IF(AND(H13&gt;=1,H13&lt;=Input!$D$61),MIN(H11+H12,IF(Input!$D$63="Gốc đều",Input!$D$66/Input!$D$61,MAX(0,H14-H16))),0)</f>
        <v>285.36666666666667</v>
      </c>
      <c r="I15" s="43">
        <f>IF(AND(I13&gt;=1,I13&lt;=Input!$D$61),MIN(I11+I12,IF(Input!$D$63="Gốc đều",Input!$D$66/Input!$D$61,MAX(0,I14-I16))),0)</f>
        <v>285.36666666666667</v>
      </c>
      <c r="J15" s="43">
        <f>IF(AND(J13&gt;=1,J13&lt;=Input!$D$61),MIN(J11+J12,IF(Input!$D$63="Gốc đều",Input!$D$66/Input!$D$61,MAX(0,J14-J16))),0)</f>
        <v>285.36666666666667</v>
      </c>
      <c r="K15" s="43">
        <f>IF(AND(K13&gt;=1,K13&lt;=Input!$D$61),MIN(K11+K12,IF(Input!$D$63="Gốc đều",Input!$D$66/Input!$D$61,MAX(0,K14-K16))),0)</f>
        <v>285.36666666666667</v>
      </c>
      <c r="L15" s="43">
        <f>IF(AND(L13&gt;=1,L13&lt;=Input!$D$61),MIN(L11+L12,IF(Input!$D$63="Gốc đều",Input!$D$66/Input!$D$61,MAX(0,L14-L16))),0)</f>
        <v>285.36666666666667</v>
      </c>
      <c r="M15" s="43">
        <f>IF(AND(M13&gt;=1,M13&lt;=Input!$D$61),MIN(M11+M12,IF(Input!$D$63="Gốc đều",Input!$D$66/Input!$D$61,MAX(0,M14-M16))),0)</f>
        <v>285.36666666666667</v>
      </c>
      <c r="N15" s="43">
        <f>IF(AND(N13&gt;=1,N13&lt;=Input!$D$61),MIN(N11+N12,IF(Input!$D$63="Gốc đều",Input!$D$66/Input!$D$61,MAX(0,N14-N16))),0)</f>
        <v>285.36666666666667</v>
      </c>
      <c r="O15" s="43">
        <f>IF(AND(O13&gt;=1,O13&lt;=Input!$D$61),MIN(O11+O12,IF(Input!$D$63="Gốc đều",Input!$D$66/Input!$D$61,MAX(0,O14-O16))),0)</f>
        <v>285.36666666666667</v>
      </c>
      <c r="P15" s="43">
        <f>IF(AND(P13&gt;=1,P13&lt;=Input!$D$61),MIN(P11+P12,IF(Input!$D$63="Gốc đều",Input!$D$66/Input!$D$61,MAX(0,P14-P16))),0)</f>
        <v>285.36666666666667</v>
      </c>
      <c r="Q15" s="43">
        <f>IF(AND(Q13&gt;=1,Q13&lt;=Input!$D$61),MIN(Q11+Q12,IF(Input!$D$63="Gốc đều",Input!$D$66/Input!$D$61,MAX(0,Q14-Q16))),0)</f>
        <v>285.36666666666667</v>
      </c>
      <c r="R15" s="43">
        <f>IF(AND(R13&gt;=1,R13&lt;=Input!$D$61),MIN(R11+R12,IF(Input!$D$63="Gốc đều",Input!$D$66/Input!$D$61,MAX(0,R14-R16))),0)</f>
        <v>285.36666666666667</v>
      </c>
      <c r="S15" s="43">
        <f>IF(AND(S13&gt;=1,S13&lt;=Input!$D$61),MIN(S11+S12,IF(Input!$D$63="Gốc đều",Input!$D$66/Input!$D$61,MAX(0,S14-S16))),0)</f>
        <v>285.36666666666667</v>
      </c>
      <c r="T15" s="43">
        <f>IF(AND(T13&gt;=1,T13&lt;=Input!$D$61),MIN(T11+T12,IF(Input!$D$63="Gốc đều",Input!$D$66/Input!$D$61,MAX(0,T14-T16))),0)</f>
        <v>285.36666666666531</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81.329499999999996</v>
      </c>
      <c r="D16" s="44">
        <f>IF(D$6="",0,IF(D$6&lt;Input!$D$16,(D11+0.5*D12)*Input!$D$60,D11*Input!$D$60))</f>
        <v>284.65324999999996</v>
      </c>
      <c r="E16" s="44">
        <f>IF(E$6="",0,IF(E$6&lt;Input!$D$16,(E11+0.5*E12)*Input!$D$60,E11*Input!$D$60))</f>
        <v>406.64749999999998</v>
      </c>
      <c r="F16" s="44">
        <f>IF(F$6="",0,IF(F$6&lt;Input!$D$16,(F11+0.5*F12)*Input!$D$60,F11*Input!$D$60))</f>
        <v>406.64749999999998</v>
      </c>
      <c r="G16" s="44">
        <f>IF(G$6="",0,IF(G$6&lt;Input!$D$16,(G11+0.5*G12)*Input!$D$60,G11*Input!$D$60))</f>
        <v>379.53766666666667</v>
      </c>
      <c r="H16" s="44">
        <f>IF(H$6="",0,IF(H$6&lt;Input!$D$16,(H11+0.5*H12)*Input!$D$60,H11*Input!$D$60))</f>
        <v>352.4278333333333</v>
      </c>
      <c r="I16" s="44">
        <f>IF(I$6="",0,IF(I$6&lt;Input!$D$16,(I11+0.5*I12)*Input!$D$60,I11*Input!$D$60))</f>
        <v>325.31799999999998</v>
      </c>
      <c r="J16" s="44">
        <f>IF(J$6="",0,IF(J$6&lt;Input!$D$16,(J11+0.5*J12)*Input!$D$60,J11*Input!$D$60))</f>
        <v>298.20816666666661</v>
      </c>
      <c r="K16" s="44">
        <f>IF(K$6="",0,IF(K$6&lt;Input!$D$16,(K11+0.5*K12)*Input!$D$60,K11*Input!$D$60))</f>
        <v>271.0983333333333</v>
      </c>
      <c r="L16" s="44">
        <f>IF(L$6="",0,IF(L$6&lt;Input!$D$16,(L11+0.5*L12)*Input!$D$60,L11*Input!$D$60))</f>
        <v>243.98849999999993</v>
      </c>
      <c r="M16" s="44">
        <f>IF(M$6="",0,IF(M$6&lt;Input!$D$16,(M11+0.5*M12)*Input!$D$60,M11*Input!$D$60))</f>
        <v>216.87866666666659</v>
      </c>
      <c r="N16" s="44">
        <f>IF(N$6="",0,IF(N$6&lt;Input!$D$16,(N11+0.5*N12)*Input!$D$60,N11*Input!$D$60))</f>
        <v>189.76883333333325</v>
      </c>
      <c r="O16" s="44">
        <f>IF(O$6="",0,IF(O$6&lt;Input!$D$16,(O11+0.5*O12)*Input!$D$60,O11*Input!$D$60))</f>
        <v>162.65899999999991</v>
      </c>
      <c r="P16" s="44">
        <f>IF(P$6="",0,IF(P$6&lt;Input!$D$16,(P11+0.5*P12)*Input!$D$60,P11*Input!$D$60))</f>
        <v>135.54916666666657</v>
      </c>
      <c r="Q16" s="44">
        <f>IF(Q$6="",0,IF(Q$6&lt;Input!$D$16,(Q11+0.5*Q12)*Input!$D$60,Q11*Input!$D$60))</f>
        <v>108.43933333333321</v>
      </c>
      <c r="R16" s="44">
        <f>IF(R$6="",0,IF(R$6&lt;Input!$D$16,(R11+0.5*R12)*Input!$D$60,R11*Input!$D$60))</f>
        <v>81.329499999999868</v>
      </c>
      <c r="S16" s="44">
        <f>IF(S$6="",0,IF(S$6&lt;Input!$D$16,(S11+0.5*S12)*Input!$D$60,S11*Input!$D$60))</f>
        <v>54.219666666666541</v>
      </c>
      <c r="T16" s="44">
        <f>IF(T$6="",0,IF(T$6&lt;Input!$D$16,(T11+0.5*T12)*Input!$D$60,T11*Input!$D$60))</f>
        <v>27.109833333333206</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526</v>
      </c>
      <c r="B17" s="72" t="s">
        <v>527</v>
      </c>
      <c r="C17" s="43">
        <f t="shared" ref="C17:AF17" si="1">IF(C$8&gt;0,C15+C16,0)</f>
        <v>0</v>
      </c>
      <c r="D17" s="43">
        <f t="shared" si="1"/>
        <v>0</v>
      </c>
      <c r="E17" s="43">
        <f t="shared" si="1"/>
        <v>406.64749999999998</v>
      </c>
      <c r="F17" s="43">
        <f t="shared" si="1"/>
        <v>692.0141666666666</v>
      </c>
      <c r="G17" s="43">
        <f t="shared" si="1"/>
        <v>664.9043333333334</v>
      </c>
      <c r="H17" s="43">
        <f t="shared" si="1"/>
        <v>637.79449999999997</v>
      </c>
      <c r="I17" s="43">
        <f t="shared" si="1"/>
        <v>610.68466666666666</v>
      </c>
      <c r="J17" s="43">
        <f t="shared" si="1"/>
        <v>583.57483333333334</v>
      </c>
      <c r="K17" s="43">
        <f t="shared" si="1"/>
        <v>556.46499999999992</v>
      </c>
      <c r="L17" s="43">
        <f t="shared" si="1"/>
        <v>529.35516666666661</v>
      </c>
      <c r="M17" s="43">
        <f t="shared" si="1"/>
        <v>502.24533333333329</v>
      </c>
      <c r="N17" s="43">
        <f t="shared" si="1"/>
        <v>475.13549999999992</v>
      </c>
      <c r="O17" s="43">
        <f t="shared" si="1"/>
        <v>448.02566666666655</v>
      </c>
      <c r="P17" s="43">
        <f t="shared" si="1"/>
        <v>420.91583333333324</v>
      </c>
      <c r="Q17" s="43">
        <f t="shared" si="1"/>
        <v>393.80599999999987</v>
      </c>
      <c r="R17" s="43">
        <f t="shared" si="1"/>
        <v>366.69616666666656</v>
      </c>
      <c r="S17" s="43">
        <f t="shared" si="1"/>
        <v>339.58633333333319</v>
      </c>
      <c r="T17" s="43">
        <f t="shared" si="1"/>
        <v>312.47649999999851</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1712.1999999999998</v>
      </c>
      <c r="D18" s="43">
        <f t="shared" si="2"/>
        <v>4280.5</v>
      </c>
      <c r="E18" s="43">
        <f t="shared" si="2"/>
        <v>4280.5</v>
      </c>
      <c r="F18" s="43">
        <f t="shared" si="2"/>
        <v>3995.1333333333332</v>
      </c>
      <c r="G18" s="43">
        <f t="shared" si="2"/>
        <v>3709.7666666666664</v>
      </c>
      <c r="H18" s="43">
        <f t="shared" si="2"/>
        <v>3424.3999999999996</v>
      </c>
      <c r="I18" s="43">
        <f t="shared" si="2"/>
        <v>3139.0333333333328</v>
      </c>
      <c r="J18" s="43">
        <f t="shared" si="2"/>
        <v>2853.6666666666661</v>
      </c>
      <c r="K18" s="43">
        <f t="shared" si="2"/>
        <v>2568.2999999999993</v>
      </c>
      <c r="L18" s="43">
        <f t="shared" si="2"/>
        <v>2282.9333333333325</v>
      </c>
      <c r="M18" s="43">
        <f t="shared" si="2"/>
        <v>1997.5666666666657</v>
      </c>
      <c r="N18" s="43">
        <f t="shared" si="2"/>
        <v>1712.1999999999989</v>
      </c>
      <c r="O18" s="43">
        <f t="shared" si="2"/>
        <v>1426.8333333333321</v>
      </c>
      <c r="P18" s="43">
        <f t="shared" si="2"/>
        <v>1141.4666666666653</v>
      </c>
      <c r="Q18" s="43">
        <f t="shared" si="2"/>
        <v>856.09999999999866</v>
      </c>
      <c r="R18" s="43">
        <f t="shared" si="2"/>
        <v>570.73333333333198</v>
      </c>
      <c r="S18" s="43">
        <f t="shared" si="2"/>
        <v>285.36666666666531</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530</v>
      </c>
      <c r="B19" s="71" t="s">
        <v>371</v>
      </c>
      <c r="C19" s="44">
        <f>Input!$D$66*Input!$D$64</f>
        <v>32.103749999999998</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732.67249600000002</v>
      </c>
      <c r="F22" s="44">
        <f>Project_CF!F18</f>
        <v>745.58180202816015</v>
      </c>
      <c r="G22" s="44">
        <f>Project_CF!G18</f>
        <v>758.7179693525859</v>
      </c>
      <c r="H22" s="44">
        <f>Project_CF!H18</f>
        <v>772.08497260535819</v>
      </c>
      <c r="I22" s="44">
        <f>Project_CF!I18</f>
        <v>762.6049698916637</v>
      </c>
      <c r="J22" s="44">
        <f>Project_CF!J18</f>
        <v>775.7538037692035</v>
      </c>
      <c r="K22" s="44">
        <f>Project_CF!K18</f>
        <v>789.13365959805901</v>
      </c>
      <c r="L22" s="44">
        <f>Project_CF!L18</f>
        <v>802.74858391037333</v>
      </c>
      <c r="M22" s="44">
        <f>Project_CF!M18</f>
        <v>816.60269386156529</v>
      </c>
      <c r="N22" s="44">
        <f>Project_CF!N18</f>
        <v>830.70017845767336</v>
      </c>
      <c r="O22" s="44">
        <f>Project_CF!O18</f>
        <v>845.04529980392397</v>
      </c>
      <c r="P22" s="44">
        <f>Project_CF!P18</f>
        <v>859.6423943748855</v>
      </c>
      <c r="Q22" s="44">
        <f>Project_CF!Q18</f>
        <v>874.4958743065813</v>
      </c>
      <c r="R22" s="44">
        <f>Project_CF!R18</f>
        <v>859.84385548930538</v>
      </c>
      <c r="S22" s="44">
        <f>Project_CF!S18</f>
        <v>874.41418882804317</v>
      </c>
      <c r="T22" s="44">
        <f>Project_CF!T18</f>
        <v>826.44136723550741</v>
      </c>
      <c r="U22" s="44">
        <f>Project_CF!U18</f>
        <v>839.85164298238499</v>
      </c>
      <c r="V22" s="44">
        <f>Project_CF!V18</f>
        <v>853.49739474754142</v>
      </c>
      <c r="W22" s="44">
        <f>Project_CF!W18</f>
        <v>867.38274422958102</v>
      </c>
      <c r="X22" s="44">
        <f>Project_CF!X18</f>
        <v>881.51188500380397</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1.8017385966961559</v>
      </c>
      <c r="F23" s="48">
        <f t="shared" si="3"/>
        <v>1.0774082929826729</v>
      </c>
      <c r="G23" s="48">
        <f t="shared" si="3"/>
        <v>1.1410934345230404</v>
      </c>
      <c r="H23" s="48">
        <f t="shared" si="3"/>
        <v>1.2105544538332618</v>
      </c>
      <c r="I23" s="48">
        <f t="shared" si="3"/>
        <v>1.2487704563702768</v>
      </c>
      <c r="J23" s="48">
        <f t="shared" si="3"/>
        <v>1.3293133278866038</v>
      </c>
      <c r="K23" s="48">
        <f t="shared" si="3"/>
        <v>1.4181191262668076</v>
      </c>
      <c r="L23" s="48">
        <f t="shared" si="3"/>
        <v>1.5164650020613888</v>
      </c>
      <c r="M23" s="48">
        <f t="shared" si="3"/>
        <v>1.6259039948502565</v>
      </c>
      <c r="N23" s="48">
        <f t="shared" si="3"/>
        <v>1.7483437429063362</v>
      </c>
      <c r="O23" s="48">
        <f t="shared" si="3"/>
        <v>1.8861537690264565</v>
      </c>
      <c r="P23" s="48">
        <f t="shared" si="3"/>
        <v>2.0423142260227456</v>
      </c>
      <c r="Q23" s="48">
        <f t="shared" si="3"/>
        <v>2.2206260806249309</v>
      </c>
      <c r="R23" s="48">
        <f t="shared" si="3"/>
        <v>2.3448400437491319</v>
      </c>
      <c r="S23" s="48">
        <f t="shared" si="3"/>
        <v>2.57493928052084</v>
      </c>
      <c r="T23" s="48">
        <f t="shared" si="3"/>
        <v>2.6448112649607616</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1.8017385966961559</v>
      </c>
      <c r="F24" s="49">
        <f t="shared" si="4"/>
        <v>1.0774082929826729</v>
      </c>
      <c r="G24" s="49">
        <f t="shared" si="4"/>
        <v>1.1410934345230404</v>
      </c>
      <c r="H24" s="49">
        <f t="shared" si="4"/>
        <v>1.2105544538332618</v>
      </c>
      <c r="I24" s="49">
        <f t="shared" si="4"/>
        <v>1.2487704563702768</v>
      </c>
      <c r="J24" s="49">
        <f t="shared" si="4"/>
        <v>1.3293133278866038</v>
      </c>
      <c r="K24" s="49">
        <f t="shared" si="4"/>
        <v>1.4181191262668076</v>
      </c>
      <c r="L24" s="49">
        <f t="shared" si="4"/>
        <v>1.5164650020613888</v>
      </c>
      <c r="M24" s="49">
        <f t="shared" si="4"/>
        <v>1.6259039948502565</v>
      </c>
      <c r="N24" s="49">
        <f t="shared" si="4"/>
        <v>1.7483437429063362</v>
      </c>
      <c r="O24" s="49">
        <f t="shared" si="4"/>
        <v>1.8861537690264565</v>
      </c>
      <c r="P24" s="49">
        <f t="shared" si="4"/>
        <v>2.0423142260227456</v>
      </c>
      <c r="Q24" s="49">
        <f t="shared" si="4"/>
        <v>2.2206260806249309</v>
      </c>
      <c r="R24" s="49">
        <f t="shared" si="4"/>
        <v>2.3448400437491319</v>
      </c>
      <c r="S24" s="49">
        <f t="shared" si="4"/>
        <v>2.57493928052084</v>
      </c>
      <c r="T24" s="49">
        <f t="shared" si="4"/>
        <v>2.6448112649607616</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680.89662285676729</v>
      </c>
      <c r="G25" s="44">
        <f>IF(AND(G13&gt;=1,G13&lt;=Input!$D$61),G22/(1+Input!$D$60)^G13,0)</f>
        <v>632.77910748532008</v>
      </c>
      <c r="H25" s="44">
        <f>IF(AND(H13&gt;=1,H13&lt;=Input!$D$61),H22/(1+Input!$D$60)^H13,0)</f>
        <v>588.06149296559022</v>
      </c>
      <c r="I25" s="44">
        <f>IF(AND(I13&gt;=1,I13&lt;=Input!$D$61),I22/(1+Input!$D$60)^I13,0)</f>
        <v>530.44841313950519</v>
      </c>
      <c r="J25" s="44">
        <f>IF(AND(J13&gt;=1,J13&lt;=Input!$D$61),J22/(1+Input!$D$60)^J13,0)</f>
        <v>492.78027760183437</v>
      </c>
      <c r="K25" s="44">
        <f>IF(AND(K13&gt;=1,K13&lt;=Input!$D$61),K22/(1+Input!$D$60)^K13,0)</f>
        <v>457.78952710667227</v>
      </c>
      <c r="L25" s="44">
        <f>IF(AND(L13&gt;=1,L13&lt;=Input!$D$61),L22/(1+Input!$D$60)^L13,0)</f>
        <v>425.28563521670259</v>
      </c>
      <c r="M25" s="44">
        <f>IF(AND(M13&gt;=1,M13&lt;=Input!$D$61),M22/(1+Input!$D$60)^M13,0)</f>
        <v>395.09165328074164</v>
      </c>
      <c r="N25" s="44">
        <f>IF(AND(N13&gt;=1,N13&lt;=Input!$D$61),N22/(1+Input!$D$60)^N13,0)</f>
        <v>367.04324109345214</v>
      </c>
      <c r="O25" s="44">
        <f>IF(AND(O13&gt;=1,O13&lt;=Input!$D$61),O22/(1+Input!$D$60)^O13,0)</f>
        <v>340.98776690837036</v>
      </c>
      <c r="P25" s="44">
        <f>IF(AND(P13&gt;=1,P13&lt;=Input!$D$61),P22/(1+Input!$D$60)^P13,0)</f>
        <v>316.78347182916048</v>
      </c>
      <c r="Q25" s="44">
        <f>IF(AND(Q13&gt;=1,Q13&lt;=Input!$D$61),Q22/(1+Input!$D$60)^Q13,0)</f>
        <v>294.29869396202713</v>
      </c>
      <c r="R25" s="44">
        <f>IF(AND(R13&gt;=1,R13&lt;=Input!$D$61),R22/(1+Input!$D$60)^R13,0)</f>
        <v>264.26280643028207</v>
      </c>
      <c r="S25" s="44">
        <f>IF(AND(S13&gt;=1,S13&lt;=Input!$D$61),S22/(1+Input!$D$60)^S13,0)</f>
        <v>245.42541141218865</v>
      </c>
      <c r="T25" s="44">
        <f>IF(AND(T13&gt;=1,T13&lt;=Input!$D$61),T22/(1+Input!$D$60)^T13,0)</f>
        <v>211.83624028331042</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4025.8102499999991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1.0774082929826729</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2.0614675876374373</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1.4586544472776366</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6480.9827500000001</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324.04913750000003</v>
      </c>
      <c r="F12" s="43">
        <f>IF(AND(F$8&gt;=1,F$8&lt;=Input!$D$75),(Input!$D$26+SUM(CAPEX!$C$23:'CAPEX'!$AF$23))/Input!$D$75,0)</f>
        <v>324.04913750000003</v>
      </c>
      <c r="G12" s="43">
        <f>IF(AND(G$8&gt;=1,G$8&lt;=Input!$D$75),(Input!$D$26+SUM(CAPEX!$C$23:'CAPEX'!$AF$23))/Input!$D$75,0)</f>
        <v>324.04913750000003</v>
      </c>
      <c r="H12" s="43">
        <f>IF(AND(H$8&gt;=1,H$8&lt;=Input!$D$75),(Input!$D$26+SUM(CAPEX!$C$23:'CAPEX'!$AF$23))/Input!$D$75,0)</f>
        <v>324.04913750000003</v>
      </c>
      <c r="I12" s="43">
        <f>IF(AND(I$8&gt;=1,I$8&lt;=Input!$D$75),(Input!$D$26+SUM(CAPEX!$C$23:'CAPEX'!$AF$23))/Input!$D$75,0)</f>
        <v>324.04913750000003</v>
      </c>
      <c r="J12" s="43">
        <f>IF(AND(J$8&gt;=1,J$8&lt;=Input!$D$75),(Input!$D$26+SUM(CAPEX!$C$23:'CAPEX'!$AF$23))/Input!$D$75,0)</f>
        <v>324.04913750000003</v>
      </c>
      <c r="K12" s="43">
        <f>IF(AND(K$8&gt;=1,K$8&lt;=Input!$D$75),(Input!$D$26+SUM(CAPEX!$C$23:'CAPEX'!$AF$23))/Input!$D$75,0)</f>
        <v>324.04913750000003</v>
      </c>
      <c r="L12" s="43">
        <f>IF(AND(L$8&gt;=1,L$8&lt;=Input!$D$75),(Input!$D$26+SUM(CAPEX!$C$23:'CAPEX'!$AF$23))/Input!$D$75,0)</f>
        <v>324.04913750000003</v>
      </c>
      <c r="M12" s="43">
        <f>IF(AND(M$8&gt;=1,M$8&lt;=Input!$D$75),(Input!$D$26+SUM(CAPEX!$C$23:'CAPEX'!$AF$23))/Input!$D$75,0)</f>
        <v>324.04913750000003</v>
      </c>
      <c r="N12" s="43">
        <f>IF(AND(N$8&gt;=1,N$8&lt;=Input!$D$75),(Input!$D$26+SUM(CAPEX!$C$23:'CAPEX'!$AF$23))/Input!$D$75,0)</f>
        <v>324.04913750000003</v>
      </c>
      <c r="O12" s="43">
        <f>IF(AND(O$8&gt;=1,O$8&lt;=Input!$D$75),(Input!$D$26+SUM(CAPEX!$C$23:'CAPEX'!$AF$23))/Input!$D$75,0)</f>
        <v>324.04913750000003</v>
      </c>
      <c r="P12" s="43">
        <f>IF(AND(P$8&gt;=1,P$8&lt;=Input!$D$75),(Input!$D$26+SUM(CAPEX!$C$23:'CAPEX'!$AF$23))/Input!$D$75,0)</f>
        <v>324.04913750000003</v>
      </c>
      <c r="Q12" s="43">
        <f>IF(AND(Q$8&gt;=1,Q$8&lt;=Input!$D$75),(Input!$D$26+SUM(CAPEX!$C$23:'CAPEX'!$AF$23))/Input!$D$75,0)</f>
        <v>324.04913750000003</v>
      </c>
      <c r="R12" s="43">
        <f>IF(AND(R$8&gt;=1,R$8&lt;=Input!$D$75),(Input!$D$26+SUM(CAPEX!$C$23:'CAPEX'!$AF$23))/Input!$D$75,0)</f>
        <v>324.04913750000003</v>
      </c>
      <c r="S12" s="43">
        <f>IF(AND(S$8&gt;=1,S$8&lt;=Input!$D$75),(Input!$D$26+SUM(CAPEX!$C$23:'CAPEX'!$AF$23))/Input!$D$75,0)</f>
        <v>324.04913750000003</v>
      </c>
      <c r="T12" s="43">
        <f>IF(AND(T$8&gt;=1,T$8&lt;=Input!$D$75),(Input!$D$26+SUM(CAPEX!$C$23:'CAPEX'!$AF$23))/Input!$D$75,0)</f>
        <v>324.04913750000003</v>
      </c>
      <c r="U12" s="43">
        <f>IF(AND(U$8&gt;=1,U$8&lt;=Input!$D$75),(Input!$D$26+SUM(CAPEX!$C$23:'CAPEX'!$AF$23))/Input!$D$75,0)</f>
        <v>324.04913750000003</v>
      </c>
      <c r="V12" s="43">
        <f>IF(AND(V$8&gt;=1,V$8&lt;=Input!$D$75),(Input!$D$26+SUM(CAPEX!$C$23:'CAPEX'!$AF$23))/Input!$D$75,0)</f>
        <v>324.04913750000003</v>
      </c>
      <c r="W12" s="43">
        <f>IF(AND(W$8&gt;=1,W$8&lt;=Input!$D$75),(Input!$D$26+SUM(CAPEX!$C$23:'CAPEX'!$AF$23))/Input!$D$75,0)</f>
        <v>324.04913750000003</v>
      </c>
      <c r="X12" s="43">
        <f>IF(AND(X$8&gt;=1,X$8&lt;=Input!$D$75),(Input!$D$26+SUM(CAPEX!$C$23:'CAPEX'!$AF$23))/Input!$D$75,0)</f>
        <v>324.04913750000003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732.67249600000002</v>
      </c>
      <c r="F15" s="44">
        <f>Energy_Revenue!F20</f>
        <v>745.58180202816015</v>
      </c>
      <c r="G15" s="44">
        <f>Energy_Revenue!G20</f>
        <v>758.7179693525859</v>
      </c>
      <c r="H15" s="44">
        <f>Energy_Revenue!H20</f>
        <v>772.08497260535819</v>
      </c>
      <c r="I15" s="44">
        <f>Energy_Revenue!I20</f>
        <v>785.68685580701447</v>
      </c>
      <c r="J15" s="44">
        <f>Energy_Revenue!J20</f>
        <v>799.52773357284582</v>
      </c>
      <c r="K15" s="44">
        <f>Energy_Revenue!K20</f>
        <v>813.61179234006215</v>
      </c>
      <c r="L15" s="44">
        <f>Energy_Revenue!L20</f>
        <v>827.94329161618248</v>
      </c>
      <c r="M15" s="44">
        <f>Energy_Revenue!M20</f>
        <v>842.52656524901613</v>
      </c>
      <c r="N15" s="44">
        <f>Energy_Revenue!N20</f>
        <v>857.36602271860352</v>
      </c>
      <c r="O15" s="44">
        <f>Energy_Revenue!O20</f>
        <v>872.46615045149895</v>
      </c>
      <c r="P15" s="44">
        <f>Energy_Revenue!P20</f>
        <v>887.83151315777422</v>
      </c>
      <c r="Q15" s="44">
        <f>Energy_Revenue!Q20</f>
        <v>903.46675519113819</v>
      </c>
      <c r="R15" s="44">
        <f>Energy_Revenue!R20</f>
        <v>919.37660193256158</v>
      </c>
      <c r="S15" s="44">
        <f>Energy_Revenue!S20</f>
        <v>935.56586119782571</v>
      </c>
      <c r="T15" s="44">
        <f>Energy_Revenue!T20</f>
        <v>952.03942466938429</v>
      </c>
      <c r="U15" s="44">
        <f>Energy_Revenue!U20</f>
        <v>968.80226935298128</v>
      </c>
      <c r="V15" s="44">
        <f>Energy_Revenue!V20</f>
        <v>985.85945905942674</v>
      </c>
      <c r="W15" s="44">
        <f>Energy_Revenue!W20</f>
        <v>1003.2161459119764</v>
      </c>
      <c r="X15" s="44">
        <f>Energy_Revenue!X20</f>
        <v>1020.877571879755</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408.62335849999999</v>
      </c>
      <c r="F16" s="43">
        <f t="shared" si="0"/>
        <v>421.53266452816013</v>
      </c>
      <c r="G16" s="43">
        <f t="shared" si="0"/>
        <v>434.66883185258587</v>
      </c>
      <c r="H16" s="43">
        <f t="shared" si="0"/>
        <v>448.03583510535816</v>
      </c>
      <c r="I16" s="43">
        <f t="shared" si="0"/>
        <v>461.63771830701444</v>
      </c>
      <c r="J16" s="43">
        <f t="shared" si="0"/>
        <v>475.47859607284579</v>
      </c>
      <c r="K16" s="43">
        <f t="shared" si="0"/>
        <v>489.56265484006212</v>
      </c>
      <c r="L16" s="43">
        <f t="shared" si="0"/>
        <v>503.89415411618245</v>
      </c>
      <c r="M16" s="43">
        <f t="shared" si="0"/>
        <v>518.4774277490161</v>
      </c>
      <c r="N16" s="43">
        <f t="shared" si="0"/>
        <v>533.31688521860349</v>
      </c>
      <c r="O16" s="43">
        <f t="shared" si="0"/>
        <v>548.41701295149892</v>
      </c>
      <c r="P16" s="43">
        <f t="shared" si="0"/>
        <v>563.7823756577742</v>
      </c>
      <c r="Q16" s="43">
        <f t="shared" si="0"/>
        <v>579.41761769113816</v>
      </c>
      <c r="R16" s="43">
        <f t="shared" si="0"/>
        <v>595.32746443256156</v>
      </c>
      <c r="S16" s="43">
        <f t="shared" si="0"/>
        <v>611.51672369782568</v>
      </c>
      <c r="T16" s="43">
        <f t="shared" si="0"/>
        <v>627.99028716938426</v>
      </c>
      <c r="U16" s="43">
        <f t="shared" si="0"/>
        <v>644.75313185298126</v>
      </c>
      <c r="V16" s="43">
        <f t="shared" si="0"/>
        <v>661.81032155942671</v>
      </c>
      <c r="W16" s="43">
        <f t="shared" si="0"/>
        <v>679.16700841197633</v>
      </c>
      <c r="X16" s="43">
        <f t="shared" si="0"/>
        <v>696.82843437975498</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406.64749999999998</v>
      </c>
      <c r="F17" s="44">
        <f>IF(F$8&gt;0,Debt!F16,0)</f>
        <v>406.64749999999998</v>
      </c>
      <c r="G17" s="44">
        <f>IF(G$8&gt;0,Debt!G16,0)</f>
        <v>379.53766666666667</v>
      </c>
      <c r="H17" s="44">
        <f>IF(H$8&gt;0,Debt!H16,0)</f>
        <v>352.4278333333333</v>
      </c>
      <c r="I17" s="44">
        <f>IF(I$8&gt;0,Debt!I16,0)</f>
        <v>325.31799999999998</v>
      </c>
      <c r="J17" s="44">
        <f>IF(J$8&gt;0,Debt!J16,0)</f>
        <v>298.20816666666661</v>
      </c>
      <c r="K17" s="44">
        <f>IF(K$8&gt;0,Debt!K16,0)</f>
        <v>271.0983333333333</v>
      </c>
      <c r="L17" s="44">
        <f>IF(L$8&gt;0,Debt!L16,0)</f>
        <v>243.98849999999993</v>
      </c>
      <c r="M17" s="44">
        <f>IF(M$8&gt;0,Debt!M16,0)</f>
        <v>216.87866666666659</v>
      </c>
      <c r="N17" s="44">
        <f>IF(N$8&gt;0,Debt!N16,0)</f>
        <v>189.76883333333325</v>
      </c>
      <c r="O17" s="44">
        <f>IF(O$8&gt;0,Debt!O16,0)</f>
        <v>162.65899999999991</v>
      </c>
      <c r="P17" s="44">
        <f>IF(P$8&gt;0,Debt!P16,0)</f>
        <v>135.54916666666657</v>
      </c>
      <c r="Q17" s="44">
        <f>IF(Q$8&gt;0,Debt!Q16,0)</f>
        <v>108.43933333333321</v>
      </c>
      <c r="R17" s="44">
        <f>IF(R$8&gt;0,Debt!R16,0)</f>
        <v>81.329499999999868</v>
      </c>
      <c r="S17" s="44">
        <f>IF(S$8&gt;0,Debt!S16,0)</f>
        <v>54.219666666666541</v>
      </c>
      <c r="T17" s="44">
        <f>IF(T$8&gt;0,Debt!T16,0)</f>
        <v>27.109833333333206</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1.9758585000000153</v>
      </c>
      <c r="F18" s="44">
        <f t="shared" si="1"/>
        <v>14.885164528160146</v>
      </c>
      <c r="G18" s="44">
        <f t="shared" si="1"/>
        <v>55.131165185919201</v>
      </c>
      <c r="H18" s="44">
        <f t="shared" si="1"/>
        <v>95.608001772024863</v>
      </c>
      <c r="I18" s="44">
        <f t="shared" si="1"/>
        <v>136.31971830701445</v>
      </c>
      <c r="J18" s="44">
        <f t="shared" si="1"/>
        <v>177.27042940617918</v>
      </c>
      <c r="K18" s="44">
        <f t="shared" si="1"/>
        <v>218.46432150672882</v>
      </c>
      <c r="L18" s="44">
        <f t="shared" si="1"/>
        <v>259.90565411618252</v>
      </c>
      <c r="M18" s="44">
        <f t="shared" si="1"/>
        <v>301.59876108234948</v>
      </c>
      <c r="N18" s="44">
        <f t="shared" si="1"/>
        <v>343.54805188527024</v>
      </c>
      <c r="O18" s="44">
        <f t="shared" si="1"/>
        <v>385.75801295149904</v>
      </c>
      <c r="P18" s="44">
        <f t="shared" si="1"/>
        <v>428.23320899110763</v>
      </c>
      <c r="Q18" s="44">
        <f t="shared" si="1"/>
        <v>470.97828435780497</v>
      </c>
      <c r="R18" s="44">
        <f t="shared" si="1"/>
        <v>513.99796443256173</v>
      </c>
      <c r="S18" s="44">
        <f t="shared" si="1"/>
        <v>557.29705703115917</v>
      </c>
      <c r="T18" s="44">
        <f t="shared" si="1"/>
        <v>600.88045383605106</v>
      </c>
      <c r="U18" s="44">
        <f t="shared" si="1"/>
        <v>644.75313185298126</v>
      </c>
      <c r="V18" s="44">
        <f t="shared" si="1"/>
        <v>661.81032155942671</v>
      </c>
      <c r="W18" s="44">
        <f t="shared" si="1"/>
        <v>679.16700841197633</v>
      </c>
      <c r="X18" s="44">
        <f t="shared" si="1"/>
        <v>696.82843437975498</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1.9758585000000153</v>
      </c>
      <c r="F23" s="44">
        <f t="shared" si="6"/>
        <v>14.885164528160146</v>
      </c>
      <c r="G23" s="44">
        <f t="shared" si="6"/>
        <v>55.131165185919201</v>
      </c>
      <c r="H23" s="44">
        <f t="shared" si="6"/>
        <v>95.608001772024863</v>
      </c>
      <c r="I23" s="44">
        <f t="shared" si="6"/>
        <v>136.31971830701445</v>
      </c>
      <c r="J23" s="44">
        <f t="shared" si="6"/>
        <v>177.27042940617918</v>
      </c>
      <c r="K23" s="44">
        <f t="shared" si="6"/>
        <v>218.46432150672882</v>
      </c>
      <c r="L23" s="44">
        <f t="shared" si="6"/>
        <v>259.90565411618252</v>
      </c>
      <c r="M23" s="44">
        <f t="shared" si="6"/>
        <v>301.59876108234948</v>
      </c>
      <c r="N23" s="44">
        <f t="shared" si="6"/>
        <v>343.54805188527024</v>
      </c>
      <c r="O23" s="44">
        <f t="shared" si="6"/>
        <v>385.75801295149904</v>
      </c>
      <c r="P23" s="44">
        <f t="shared" si="6"/>
        <v>428.23320899110763</v>
      </c>
      <c r="Q23" s="44">
        <f t="shared" si="6"/>
        <v>470.97828435780497</v>
      </c>
      <c r="R23" s="44">
        <f t="shared" si="6"/>
        <v>513.99796443256173</v>
      </c>
      <c r="S23" s="44">
        <f t="shared" si="6"/>
        <v>557.29705703115917</v>
      </c>
      <c r="T23" s="44">
        <f t="shared" si="6"/>
        <v>600.88045383605106</v>
      </c>
      <c r="U23" s="44">
        <f t="shared" si="6"/>
        <v>644.75313185298126</v>
      </c>
      <c r="V23" s="44">
        <f t="shared" si="6"/>
        <v>661.81032155942671</v>
      </c>
      <c r="W23" s="44">
        <f t="shared" si="6"/>
        <v>679.16700841197633</v>
      </c>
      <c r="X23" s="44">
        <f t="shared" si="6"/>
        <v>696.82843437975498</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6.8159859153507227</v>
      </c>
      <c r="J25" s="43">
        <f t="shared" si="7"/>
        <v>8.8635214703089584</v>
      </c>
      <c r="K25" s="43">
        <f t="shared" si="7"/>
        <v>10.923216075336441</v>
      </c>
      <c r="L25" s="43">
        <f t="shared" si="7"/>
        <v>12.995282705809126</v>
      </c>
      <c r="M25" s="43">
        <f t="shared" si="7"/>
        <v>15.079938054117475</v>
      </c>
      <c r="N25" s="43">
        <f t="shared" si="7"/>
        <v>17.177402594263512</v>
      </c>
      <c r="O25" s="43">
        <f t="shared" si="7"/>
        <v>19.287900647574954</v>
      </c>
      <c r="P25" s="43">
        <f t="shared" si="7"/>
        <v>21.411660449555384</v>
      </c>
      <c r="Q25" s="43">
        <f t="shared" si="7"/>
        <v>23.54891421789025</v>
      </c>
      <c r="R25" s="43">
        <f t="shared" si="7"/>
        <v>51.399796443256179</v>
      </c>
      <c r="S25" s="43">
        <f t="shared" si="7"/>
        <v>55.729705703115918</v>
      </c>
      <c r="T25" s="43">
        <f t="shared" si="7"/>
        <v>120.17609076721021</v>
      </c>
      <c r="U25" s="43">
        <f t="shared" si="7"/>
        <v>128.95062637059627</v>
      </c>
      <c r="V25" s="43">
        <f t="shared" si="7"/>
        <v>132.36206431188535</v>
      </c>
      <c r="W25" s="43">
        <f t="shared" si="7"/>
        <v>135.83340168239528</v>
      </c>
      <c r="X25" s="43">
        <f t="shared" si="7"/>
        <v>139.36568687595101</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1.9758585000000153</v>
      </c>
      <c r="F26" s="43">
        <f t="shared" si="8"/>
        <v>14.885164528160146</v>
      </c>
      <c r="G26" s="43">
        <f t="shared" si="8"/>
        <v>55.131165185919201</v>
      </c>
      <c r="H26" s="43">
        <f t="shared" si="8"/>
        <v>95.608001772024863</v>
      </c>
      <c r="I26" s="43">
        <f t="shared" si="8"/>
        <v>129.50373239166373</v>
      </c>
      <c r="J26" s="43">
        <f t="shared" si="8"/>
        <v>168.40690793587021</v>
      </c>
      <c r="K26" s="43">
        <f t="shared" si="8"/>
        <v>207.5411054313924</v>
      </c>
      <c r="L26" s="43">
        <f t="shared" si="8"/>
        <v>246.91037141037339</v>
      </c>
      <c r="M26" s="43">
        <f t="shared" si="8"/>
        <v>286.51882302823202</v>
      </c>
      <c r="N26" s="43">
        <f t="shared" si="8"/>
        <v>326.37064929100671</v>
      </c>
      <c r="O26" s="43">
        <f t="shared" si="8"/>
        <v>366.47011230392411</v>
      </c>
      <c r="P26" s="43">
        <f t="shared" si="8"/>
        <v>406.82154854155226</v>
      </c>
      <c r="Q26" s="43">
        <f t="shared" si="8"/>
        <v>447.42937013991474</v>
      </c>
      <c r="R26" s="43">
        <f t="shared" si="8"/>
        <v>462.59816798930558</v>
      </c>
      <c r="S26" s="43">
        <f t="shared" si="8"/>
        <v>501.56735132804323</v>
      </c>
      <c r="T26" s="43">
        <f t="shared" si="8"/>
        <v>480.70436306884085</v>
      </c>
      <c r="U26" s="43">
        <f t="shared" si="8"/>
        <v>515.80250548238496</v>
      </c>
      <c r="V26" s="43">
        <f t="shared" si="8"/>
        <v>529.44825724754139</v>
      </c>
      <c r="W26" s="43">
        <f t="shared" si="8"/>
        <v>543.33360672958111</v>
      </c>
      <c r="X26" s="43">
        <f t="shared" si="8"/>
        <v>557.46274750380394</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854.97249599999998</v>
      </c>
      <c r="F11" s="43">
        <f>Energy_Revenue!F16</f>
        <v>870.32780202816014</v>
      </c>
      <c r="G11" s="43">
        <f>Energy_Revenue!G16</f>
        <v>885.95888935258586</v>
      </c>
      <c r="H11" s="43">
        <f>Energy_Revenue!H16</f>
        <v>901.8707110053582</v>
      </c>
      <c r="I11" s="43">
        <f>Energy_Revenue!I16</f>
        <v>918.06830897501447</v>
      </c>
      <c r="J11" s="43">
        <f>Energy_Revenue!J16</f>
        <v>934.55681580420583</v>
      </c>
      <c r="K11" s="43">
        <f>Energy_Revenue!K16</f>
        <v>951.34145621604932</v>
      </c>
      <c r="L11" s="43">
        <f>Energy_Revenue!L16</f>
        <v>968.42754876968934</v>
      </c>
      <c r="M11" s="43">
        <f>Energy_Revenue!M16</f>
        <v>985.82050754559316</v>
      </c>
      <c r="N11" s="43">
        <f>Energy_Revenue!N16</f>
        <v>1003.5258438611121</v>
      </c>
      <c r="O11" s="43">
        <f>Energy_Revenue!O16</f>
        <v>1021.5491680168577</v>
      </c>
      <c r="P11" s="43">
        <f>Energy_Revenue!P16</f>
        <v>1039.8961910744401</v>
      </c>
      <c r="Q11" s="43">
        <f>Energy_Revenue!Q16</f>
        <v>1058.5727266661374</v>
      </c>
      <c r="R11" s="43">
        <f>Energy_Revenue!R16</f>
        <v>1077.5846928370609</v>
      </c>
      <c r="S11" s="43">
        <f>Energy_Revenue!S16</f>
        <v>1096.9381139204149</v>
      </c>
      <c r="T11" s="43">
        <f>Energy_Revenue!T16</f>
        <v>1116.6391224464253</v>
      </c>
      <c r="U11" s="43">
        <f>Energy_Revenue!U16</f>
        <v>1136.6939610855632</v>
      </c>
      <c r="V11" s="43">
        <f>Energy_Revenue!V16</f>
        <v>1157.1089846266602</v>
      </c>
      <c r="W11" s="43">
        <f>Energy_Revenue!W16</f>
        <v>1177.8906619905545</v>
      </c>
      <c r="X11" s="43">
        <f>Energy_Revenue!X16</f>
        <v>1199.0455782799047</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732.67249600000002</v>
      </c>
      <c r="F13" s="43">
        <f t="shared" si="0"/>
        <v>745.58180202816015</v>
      </c>
      <c r="G13" s="43">
        <f t="shared" si="0"/>
        <v>758.7179693525859</v>
      </c>
      <c r="H13" s="43">
        <f t="shared" si="0"/>
        <v>772.08497260535819</v>
      </c>
      <c r="I13" s="43">
        <f t="shared" si="0"/>
        <v>785.68685580701447</v>
      </c>
      <c r="J13" s="43">
        <f t="shared" si="0"/>
        <v>799.52773357284582</v>
      </c>
      <c r="K13" s="43">
        <f t="shared" si="0"/>
        <v>813.61179234006215</v>
      </c>
      <c r="L13" s="43">
        <f t="shared" si="0"/>
        <v>827.94329161618248</v>
      </c>
      <c r="M13" s="43">
        <f t="shared" si="0"/>
        <v>842.52656524901613</v>
      </c>
      <c r="N13" s="43">
        <f t="shared" si="0"/>
        <v>857.36602271860352</v>
      </c>
      <c r="O13" s="43">
        <f t="shared" si="0"/>
        <v>872.46615045149895</v>
      </c>
      <c r="P13" s="43">
        <f t="shared" si="0"/>
        <v>887.83151315777422</v>
      </c>
      <c r="Q13" s="43">
        <f t="shared" si="0"/>
        <v>903.46675519113819</v>
      </c>
      <c r="R13" s="43">
        <f t="shared" si="0"/>
        <v>919.37660193256158</v>
      </c>
      <c r="S13" s="43">
        <f t="shared" si="0"/>
        <v>935.56586119782571</v>
      </c>
      <c r="T13" s="43">
        <f t="shared" si="0"/>
        <v>952.03942466938429</v>
      </c>
      <c r="U13" s="43">
        <f t="shared" si="0"/>
        <v>968.80226935298128</v>
      </c>
      <c r="V13" s="43">
        <f t="shared" si="0"/>
        <v>985.85945905942674</v>
      </c>
      <c r="W13" s="43">
        <f t="shared" si="0"/>
        <v>1003.2161459119764</v>
      </c>
      <c r="X13" s="43">
        <f t="shared" si="0"/>
        <v>1020.877571879755</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324.04913750000003</v>
      </c>
      <c r="F14" s="44">
        <f>Dep_Tax!F12</f>
        <v>324.04913750000003</v>
      </c>
      <c r="G14" s="44">
        <f>Dep_Tax!G12</f>
        <v>324.04913750000003</v>
      </c>
      <c r="H14" s="44">
        <f>Dep_Tax!H12</f>
        <v>324.04913750000003</v>
      </c>
      <c r="I14" s="44">
        <f>Dep_Tax!I12</f>
        <v>324.04913750000003</v>
      </c>
      <c r="J14" s="44">
        <f>Dep_Tax!J12</f>
        <v>324.04913750000003</v>
      </c>
      <c r="K14" s="44">
        <f>Dep_Tax!K12</f>
        <v>324.04913750000003</v>
      </c>
      <c r="L14" s="44">
        <f>Dep_Tax!L12</f>
        <v>324.04913750000003</v>
      </c>
      <c r="M14" s="44">
        <f>Dep_Tax!M12</f>
        <v>324.04913750000003</v>
      </c>
      <c r="N14" s="44">
        <f>Dep_Tax!N12</f>
        <v>324.04913750000003</v>
      </c>
      <c r="O14" s="44">
        <f>Dep_Tax!O12</f>
        <v>324.04913750000003</v>
      </c>
      <c r="P14" s="44">
        <f>Dep_Tax!P12</f>
        <v>324.04913750000003</v>
      </c>
      <c r="Q14" s="44">
        <f>Dep_Tax!Q12</f>
        <v>324.04913750000003</v>
      </c>
      <c r="R14" s="44">
        <f>Dep_Tax!R12</f>
        <v>324.04913750000003</v>
      </c>
      <c r="S14" s="44">
        <f>Dep_Tax!S12</f>
        <v>324.04913750000003</v>
      </c>
      <c r="T14" s="44">
        <f>Dep_Tax!T12</f>
        <v>324.04913750000003</v>
      </c>
      <c r="U14" s="44">
        <f>Dep_Tax!U12</f>
        <v>324.04913750000003</v>
      </c>
      <c r="V14" s="44">
        <f>Dep_Tax!V12</f>
        <v>324.04913750000003</v>
      </c>
      <c r="W14" s="44">
        <f>Dep_Tax!W12</f>
        <v>324.04913750000003</v>
      </c>
      <c r="X14" s="44">
        <f>Dep_Tax!X12</f>
        <v>324.04913750000003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408.62335849999999</v>
      </c>
      <c r="F15" s="43">
        <f t="shared" si="1"/>
        <v>421.53266452816013</v>
      </c>
      <c r="G15" s="43">
        <f t="shared" si="1"/>
        <v>434.66883185258587</v>
      </c>
      <c r="H15" s="43">
        <f t="shared" si="1"/>
        <v>448.03583510535816</v>
      </c>
      <c r="I15" s="43">
        <f t="shared" si="1"/>
        <v>461.63771830701444</v>
      </c>
      <c r="J15" s="43">
        <f t="shared" si="1"/>
        <v>475.47859607284579</v>
      </c>
      <c r="K15" s="43">
        <f t="shared" si="1"/>
        <v>489.56265484006212</v>
      </c>
      <c r="L15" s="43">
        <f t="shared" si="1"/>
        <v>503.89415411618245</v>
      </c>
      <c r="M15" s="43">
        <f t="shared" si="1"/>
        <v>518.4774277490161</v>
      </c>
      <c r="N15" s="43">
        <f t="shared" si="1"/>
        <v>533.31688521860349</v>
      </c>
      <c r="O15" s="43">
        <f t="shared" si="1"/>
        <v>548.41701295149892</v>
      </c>
      <c r="P15" s="43">
        <f t="shared" si="1"/>
        <v>563.7823756577742</v>
      </c>
      <c r="Q15" s="43">
        <f t="shared" si="1"/>
        <v>579.41761769113816</v>
      </c>
      <c r="R15" s="43">
        <f t="shared" si="1"/>
        <v>595.32746443256156</v>
      </c>
      <c r="S15" s="43">
        <f t="shared" si="1"/>
        <v>611.51672369782568</v>
      </c>
      <c r="T15" s="43">
        <f t="shared" si="1"/>
        <v>627.99028716938426</v>
      </c>
      <c r="U15" s="43">
        <f t="shared" si="1"/>
        <v>644.75313185298126</v>
      </c>
      <c r="V15" s="43">
        <f t="shared" si="1"/>
        <v>661.81032155942671</v>
      </c>
      <c r="W15" s="43">
        <f t="shared" si="1"/>
        <v>679.16700841197633</v>
      </c>
      <c r="X15" s="43">
        <f t="shared" si="1"/>
        <v>696.82843437975498</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406.64749999999998</v>
      </c>
      <c r="F16" s="44">
        <f>Dep_Tax!F17</f>
        <v>406.64749999999998</v>
      </c>
      <c r="G16" s="44">
        <f>Dep_Tax!G17</f>
        <v>379.53766666666667</v>
      </c>
      <c r="H16" s="44">
        <f>Dep_Tax!H17</f>
        <v>352.4278333333333</v>
      </c>
      <c r="I16" s="44">
        <f>Dep_Tax!I17</f>
        <v>325.31799999999998</v>
      </c>
      <c r="J16" s="44">
        <f>Dep_Tax!J17</f>
        <v>298.20816666666661</v>
      </c>
      <c r="K16" s="44">
        <f>Dep_Tax!K17</f>
        <v>271.0983333333333</v>
      </c>
      <c r="L16" s="44">
        <f>Dep_Tax!L17</f>
        <v>243.98849999999993</v>
      </c>
      <c r="M16" s="44">
        <f>Dep_Tax!M17</f>
        <v>216.87866666666659</v>
      </c>
      <c r="N16" s="44">
        <f>Dep_Tax!N17</f>
        <v>189.76883333333325</v>
      </c>
      <c r="O16" s="44">
        <f>Dep_Tax!O17</f>
        <v>162.65899999999991</v>
      </c>
      <c r="P16" s="44">
        <f>Dep_Tax!P17</f>
        <v>135.54916666666657</v>
      </c>
      <c r="Q16" s="44">
        <f>Dep_Tax!Q17</f>
        <v>108.43933333333321</v>
      </c>
      <c r="R16" s="44">
        <f>Dep_Tax!R17</f>
        <v>81.329499999999868</v>
      </c>
      <c r="S16" s="44">
        <f>Dep_Tax!S17</f>
        <v>54.219666666666541</v>
      </c>
      <c r="T16" s="44">
        <f>Dep_Tax!T17</f>
        <v>27.109833333333206</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1.9758585000000153</v>
      </c>
      <c r="F17" s="43">
        <f t="shared" si="2"/>
        <v>14.885164528160146</v>
      </c>
      <c r="G17" s="43">
        <f t="shared" si="2"/>
        <v>55.131165185919201</v>
      </c>
      <c r="H17" s="43">
        <f t="shared" si="2"/>
        <v>95.608001772024863</v>
      </c>
      <c r="I17" s="43">
        <f t="shared" si="2"/>
        <v>136.31971830701445</v>
      </c>
      <c r="J17" s="43">
        <f t="shared" si="2"/>
        <v>177.27042940617918</v>
      </c>
      <c r="K17" s="43">
        <f t="shared" si="2"/>
        <v>218.46432150672882</v>
      </c>
      <c r="L17" s="43">
        <f t="shared" si="2"/>
        <v>259.90565411618252</v>
      </c>
      <c r="M17" s="43">
        <f t="shared" si="2"/>
        <v>301.59876108234948</v>
      </c>
      <c r="N17" s="43">
        <f t="shared" si="2"/>
        <v>343.54805188527024</v>
      </c>
      <c r="O17" s="43">
        <f t="shared" si="2"/>
        <v>385.75801295149904</v>
      </c>
      <c r="P17" s="43">
        <f t="shared" si="2"/>
        <v>428.23320899110763</v>
      </c>
      <c r="Q17" s="43">
        <f t="shared" si="2"/>
        <v>470.97828435780497</v>
      </c>
      <c r="R17" s="43">
        <f t="shared" si="2"/>
        <v>513.99796443256173</v>
      </c>
      <c r="S17" s="43">
        <f t="shared" si="2"/>
        <v>557.29705703115917</v>
      </c>
      <c r="T17" s="43">
        <f t="shared" si="2"/>
        <v>600.88045383605106</v>
      </c>
      <c r="U17" s="43">
        <f t="shared" si="2"/>
        <v>644.75313185298126</v>
      </c>
      <c r="V17" s="43">
        <f t="shared" si="2"/>
        <v>661.81032155942671</v>
      </c>
      <c r="W17" s="43">
        <f t="shared" si="2"/>
        <v>679.16700841197633</v>
      </c>
      <c r="X17" s="43">
        <f t="shared" si="2"/>
        <v>696.82843437975498</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1.9758585000000153</v>
      </c>
      <c r="F19" s="44">
        <f>Dep_Tax!F23</f>
        <v>14.885164528160146</v>
      </c>
      <c r="G19" s="44">
        <f>Dep_Tax!G23</f>
        <v>55.131165185919201</v>
      </c>
      <c r="H19" s="44">
        <f>Dep_Tax!H23</f>
        <v>95.608001772024863</v>
      </c>
      <c r="I19" s="44">
        <f>Dep_Tax!I23</f>
        <v>136.31971830701445</v>
      </c>
      <c r="J19" s="44">
        <f>Dep_Tax!J23</f>
        <v>177.27042940617918</v>
      </c>
      <c r="K19" s="44">
        <f>Dep_Tax!K23</f>
        <v>218.46432150672882</v>
      </c>
      <c r="L19" s="44">
        <f>Dep_Tax!L23</f>
        <v>259.90565411618252</v>
      </c>
      <c r="M19" s="44">
        <f>Dep_Tax!M23</f>
        <v>301.59876108234948</v>
      </c>
      <c r="N19" s="44">
        <f>Dep_Tax!N23</f>
        <v>343.54805188527024</v>
      </c>
      <c r="O19" s="44">
        <f>Dep_Tax!O23</f>
        <v>385.75801295149904</v>
      </c>
      <c r="P19" s="44">
        <f>Dep_Tax!P23</f>
        <v>428.23320899110763</v>
      </c>
      <c r="Q19" s="44">
        <f>Dep_Tax!Q23</f>
        <v>470.97828435780497</v>
      </c>
      <c r="R19" s="44">
        <f>Dep_Tax!R23</f>
        <v>513.99796443256173</v>
      </c>
      <c r="S19" s="44">
        <f>Dep_Tax!S23</f>
        <v>557.29705703115917</v>
      </c>
      <c r="T19" s="44">
        <f>Dep_Tax!T23</f>
        <v>600.88045383605106</v>
      </c>
      <c r="U19" s="44">
        <f>Dep_Tax!U23</f>
        <v>644.75313185298126</v>
      </c>
      <c r="V19" s="44">
        <f>Dep_Tax!V23</f>
        <v>661.81032155942671</v>
      </c>
      <c r="W19" s="44">
        <f>Dep_Tax!W23</f>
        <v>679.16700841197633</v>
      </c>
      <c r="X19" s="44">
        <f>Dep_Tax!X23</f>
        <v>696.82843437975498</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6.8159859153507227</v>
      </c>
      <c r="J20" s="44">
        <f>Dep_Tax!J25</f>
        <v>8.8635214703089584</v>
      </c>
      <c r="K20" s="44">
        <f>Dep_Tax!K25</f>
        <v>10.923216075336441</v>
      </c>
      <c r="L20" s="44">
        <f>Dep_Tax!L25</f>
        <v>12.995282705809126</v>
      </c>
      <c r="M20" s="44">
        <f>Dep_Tax!M25</f>
        <v>15.079938054117475</v>
      </c>
      <c r="N20" s="44">
        <f>Dep_Tax!N25</f>
        <v>17.177402594263512</v>
      </c>
      <c r="O20" s="44">
        <f>Dep_Tax!O25</f>
        <v>19.287900647574954</v>
      </c>
      <c r="P20" s="44">
        <f>Dep_Tax!P25</f>
        <v>21.411660449555384</v>
      </c>
      <c r="Q20" s="44">
        <f>Dep_Tax!Q25</f>
        <v>23.54891421789025</v>
      </c>
      <c r="R20" s="44">
        <f>Dep_Tax!R25</f>
        <v>51.399796443256179</v>
      </c>
      <c r="S20" s="44">
        <f>Dep_Tax!S25</f>
        <v>55.729705703115918</v>
      </c>
      <c r="T20" s="44">
        <f>Dep_Tax!T25</f>
        <v>120.17609076721021</v>
      </c>
      <c r="U20" s="44">
        <f>Dep_Tax!U25</f>
        <v>128.95062637059627</v>
      </c>
      <c r="V20" s="44">
        <f>Dep_Tax!V25</f>
        <v>132.36206431188535</v>
      </c>
      <c r="W20" s="44">
        <f>Dep_Tax!W25</f>
        <v>135.83340168239528</v>
      </c>
      <c r="X20" s="44">
        <f>Dep_Tax!X25</f>
        <v>139.36568687595101</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1.9758585000000153</v>
      </c>
      <c r="F21" s="43">
        <f t="shared" si="3"/>
        <v>14.885164528160146</v>
      </c>
      <c r="G21" s="43">
        <f t="shared" si="3"/>
        <v>55.131165185919201</v>
      </c>
      <c r="H21" s="43">
        <f t="shared" si="3"/>
        <v>95.608001772024863</v>
      </c>
      <c r="I21" s="43">
        <f t="shared" si="3"/>
        <v>129.50373239166373</v>
      </c>
      <c r="J21" s="43">
        <f t="shared" si="3"/>
        <v>168.40690793587021</v>
      </c>
      <c r="K21" s="43">
        <f t="shared" si="3"/>
        <v>207.5411054313924</v>
      </c>
      <c r="L21" s="43">
        <f t="shared" si="3"/>
        <v>246.91037141037339</v>
      </c>
      <c r="M21" s="43">
        <f t="shared" si="3"/>
        <v>286.51882302823202</v>
      </c>
      <c r="N21" s="43">
        <f t="shared" si="3"/>
        <v>326.37064929100671</v>
      </c>
      <c r="O21" s="43">
        <f t="shared" si="3"/>
        <v>366.47011230392411</v>
      </c>
      <c r="P21" s="43">
        <f t="shared" si="3"/>
        <v>406.82154854155226</v>
      </c>
      <c r="Q21" s="43">
        <f t="shared" si="3"/>
        <v>447.42937013991474</v>
      </c>
      <c r="R21" s="43">
        <f t="shared" si="3"/>
        <v>462.59816798930558</v>
      </c>
      <c r="S21" s="43">
        <f t="shared" si="3"/>
        <v>501.56735132804323</v>
      </c>
      <c r="T21" s="43">
        <f t="shared" si="3"/>
        <v>480.70436306884085</v>
      </c>
      <c r="U21" s="43">
        <f t="shared" si="3"/>
        <v>515.80250548238496</v>
      </c>
      <c r="V21" s="43">
        <f t="shared" si="3"/>
        <v>529.44825724754139</v>
      </c>
      <c r="W21" s="43">
        <f t="shared" si="3"/>
        <v>543.33360672958111</v>
      </c>
      <c r="X21" s="43">
        <f t="shared" si="3"/>
        <v>557.46274750380394</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20356.789580501787</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17385.221254094155</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899.92119428461706</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6344.4898098095355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473040</v>
      </c>
      <c r="F11" s="51">
        <f>Energy_Revenue!F11</f>
        <v>472093.92</v>
      </c>
      <c r="G11" s="51">
        <f>Energy_Revenue!G11</f>
        <v>471149.73216000001</v>
      </c>
      <c r="H11" s="51">
        <f>Energy_Revenue!H11</f>
        <v>470207.43269568001</v>
      </c>
      <c r="I11" s="51">
        <f>Energy_Revenue!I11</f>
        <v>469267.01783028862</v>
      </c>
      <c r="J11" s="51">
        <f>Energy_Revenue!J11</f>
        <v>468328.48379462806</v>
      </c>
      <c r="K11" s="51">
        <f>Energy_Revenue!K11</f>
        <v>467391.82682703884</v>
      </c>
      <c r="L11" s="51">
        <f>Energy_Revenue!L11</f>
        <v>466457.04317338474</v>
      </c>
      <c r="M11" s="51">
        <f>Energy_Revenue!M11</f>
        <v>465524.12908703799</v>
      </c>
      <c r="N11" s="51">
        <f>Energy_Revenue!N11</f>
        <v>464593.08082886389</v>
      </c>
      <c r="O11" s="51">
        <f>Energy_Revenue!O11</f>
        <v>463663.89466720622</v>
      </c>
      <c r="P11" s="51">
        <f>Energy_Revenue!P11</f>
        <v>462736.56687787175</v>
      </c>
      <c r="Q11" s="51">
        <f>Energy_Revenue!Q11</f>
        <v>461811.09374411608</v>
      </c>
      <c r="R11" s="51">
        <f>Energy_Revenue!R11</f>
        <v>460887.47155662777</v>
      </c>
      <c r="S11" s="51">
        <f>Energy_Revenue!S11</f>
        <v>459965.69661351456</v>
      </c>
      <c r="T11" s="51">
        <f>Energy_Revenue!T11</f>
        <v>459045.76522028755</v>
      </c>
      <c r="U11" s="51">
        <f>Energy_Revenue!U11</f>
        <v>458127.673689847</v>
      </c>
      <c r="V11" s="51">
        <f>Energy_Revenue!V11</f>
        <v>457211.41834246728</v>
      </c>
      <c r="W11" s="51">
        <f>Energy_Revenue!W11</f>
        <v>456296.99550578231</v>
      </c>
      <c r="X11" s="51">
        <f>Energy_Revenue!X11</f>
        <v>455384.40151477075</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854.97249599999998</v>
      </c>
      <c r="F12" s="44">
        <f>Energy_Revenue!F16</f>
        <v>870.32780202816014</v>
      </c>
      <c r="G12" s="44">
        <f>Energy_Revenue!G16</f>
        <v>885.95888935258586</v>
      </c>
      <c r="H12" s="44">
        <f>Energy_Revenue!H16</f>
        <v>901.8707110053582</v>
      </c>
      <c r="I12" s="44">
        <f>Energy_Revenue!I16</f>
        <v>918.06830897501447</v>
      </c>
      <c r="J12" s="44">
        <f>Energy_Revenue!J16</f>
        <v>934.55681580420583</v>
      </c>
      <c r="K12" s="44">
        <f>Energy_Revenue!K16</f>
        <v>951.34145621604932</v>
      </c>
      <c r="L12" s="44">
        <f>Energy_Revenue!L16</f>
        <v>968.42754876968934</v>
      </c>
      <c r="M12" s="44">
        <f>Energy_Revenue!M16</f>
        <v>985.82050754559316</v>
      </c>
      <c r="N12" s="44">
        <f>Energy_Revenue!N16</f>
        <v>1003.5258438611121</v>
      </c>
      <c r="O12" s="44">
        <f>Energy_Revenue!O16</f>
        <v>1021.5491680168577</v>
      </c>
      <c r="P12" s="44">
        <f>Energy_Revenue!P16</f>
        <v>1039.8961910744401</v>
      </c>
      <c r="Q12" s="44">
        <f>Energy_Revenue!Q16</f>
        <v>1058.5727266661374</v>
      </c>
      <c r="R12" s="44">
        <f>Energy_Revenue!R16</f>
        <v>1077.5846928370609</v>
      </c>
      <c r="S12" s="44">
        <f>Energy_Revenue!S16</f>
        <v>1096.9381139204149</v>
      </c>
      <c r="T12" s="44">
        <f>Energy_Revenue!T16</f>
        <v>1116.6391224464253</v>
      </c>
      <c r="U12" s="44">
        <f>Energy_Revenue!U16</f>
        <v>1136.6939610855632</v>
      </c>
      <c r="V12" s="44">
        <f>Energy_Revenue!V16</f>
        <v>1157.1089846266602</v>
      </c>
      <c r="W12" s="44">
        <f>Energy_Revenue!W16</f>
        <v>1177.8906619905545</v>
      </c>
      <c r="X12" s="44">
        <f>Energy_Revenue!X16</f>
        <v>1199.0455782799047</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732.67249600000002</v>
      </c>
      <c r="F14" s="43">
        <f t="shared" si="0"/>
        <v>745.58180202816015</v>
      </c>
      <c r="G14" s="43">
        <f t="shared" si="0"/>
        <v>758.7179693525859</v>
      </c>
      <c r="H14" s="43">
        <f t="shared" si="0"/>
        <v>772.08497260535819</v>
      </c>
      <c r="I14" s="43">
        <f t="shared" si="0"/>
        <v>785.68685580701447</v>
      </c>
      <c r="J14" s="43">
        <f t="shared" si="0"/>
        <v>799.52773357284582</v>
      </c>
      <c r="K14" s="43">
        <f t="shared" si="0"/>
        <v>813.61179234006215</v>
      </c>
      <c r="L14" s="43">
        <f t="shared" si="0"/>
        <v>827.94329161618248</v>
      </c>
      <c r="M14" s="43">
        <f t="shared" si="0"/>
        <v>842.52656524901613</v>
      </c>
      <c r="N14" s="43">
        <f t="shared" si="0"/>
        <v>857.36602271860352</v>
      </c>
      <c r="O14" s="43">
        <f t="shared" si="0"/>
        <v>872.46615045149895</v>
      </c>
      <c r="P14" s="43">
        <f t="shared" si="0"/>
        <v>887.83151315777422</v>
      </c>
      <c r="Q14" s="43">
        <f t="shared" si="0"/>
        <v>903.46675519113819</v>
      </c>
      <c r="R14" s="43">
        <f t="shared" si="0"/>
        <v>919.37660193256158</v>
      </c>
      <c r="S14" s="43">
        <f t="shared" si="0"/>
        <v>935.56586119782571</v>
      </c>
      <c r="T14" s="43">
        <f t="shared" si="0"/>
        <v>952.03942466938429</v>
      </c>
      <c r="U14" s="43">
        <f t="shared" si="0"/>
        <v>968.80226935298128</v>
      </c>
      <c r="V14" s="43">
        <f t="shared" si="0"/>
        <v>985.85945905942674</v>
      </c>
      <c r="W14" s="43">
        <f t="shared" si="0"/>
        <v>1003.2161459119764</v>
      </c>
      <c r="X14" s="43">
        <f t="shared" si="0"/>
        <v>1020.877571879755</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324.04913750000003</v>
      </c>
      <c r="F15" s="44">
        <f>Dep_Tax!F12</f>
        <v>324.04913750000003</v>
      </c>
      <c r="G15" s="44">
        <f>Dep_Tax!G12</f>
        <v>324.04913750000003</v>
      </c>
      <c r="H15" s="44">
        <f>Dep_Tax!H12</f>
        <v>324.04913750000003</v>
      </c>
      <c r="I15" s="44">
        <f>Dep_Tax!I12</f>
        <v>324.04913750000003</v>
      </c>
      <c r="J15" s="44">
        <f>Dep_Tax!J12</f>
        <v>324.04913750000003</v>
      </c>
      <c r="K15" s="44">
        <f>Dep_Tax!K12</f>
        <v>324.04913750000003</v>
      </c>
      <c r="L15" s="44">
        <f>Dep_Tax!L12</f>
        <v>324.04913750000003</v>
      </c>
      <c r="M15" s="44">
        <f>Dep_Tax!M12</f>
        <v>324.04913750000003</v>
      </c>
      <c r="N15" s="44">
        <f>Dep_Tax!N12</f>
        <v>324.04913750000003</v>
      </c>
      <c r="O15" s="44">
        <f>Dep_Tax!O12</f>
        <v>324.04913750000003</v>
      </c>
      <c r="P15" s="44">
        <f>Dep_Tax!P12</f>
        <v>324.04913750000003</v>
      </c>
      <c r="Q15" s="44">
        <f>Dep_Tax!Q12</f>
        <v>324.04913750000003</v>
      </c>
      <c r="R15" s="44">
        <f>Dep_Tax!R12</f>
        <v>324.04913750000003</v>
      </c>
      <c r="S15" s="44">
        <f>Dep_Tax!S12</f>
        <v>324.04913750000003</v>
      </c>
      <c r="T15" s="44">
        <f>Dep_Tax!T12</f>
        <v>324.04913750000003</v>
      </c>
      <c r="U15" s="44">
        <f>Dep_Tax!U12</f>
        <v>324.04913750000003</v>
      </c>
      <c r="V15" s="44">
        <f>Dep_Tax!V12</f>
        <v>324.04913750000003</v>
      </c>
      <c r="W15" s="44">
        <f>Dep_Tax!W12</f>
        <v>324.04913750000003</v>
      </c>
      <c r="X15" s="44">
        <f>Dep_Tax!X12</f>
        <v>324.04913750000003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408.62335849999999</v>
      </c>
      <c r="F16" s="44">
        <f t="shared" si="1"/>
        <v>421.53266452816013</v>
      </c>
      <c r="G16" s="44">
        <f t="shared" si="1"/>
        <v>434.66883185258587</v>
      </c>
      <c r="H16" s="44">
        <f t="shared" si="1"/>
        <v>448.03583510535816</v>
      </c>
      <c r="I16" s="44">
        <f t="shared" si="1"/>
        <v>461.63771830701444</v>
      </c>
      <c r="J16" s="44">
        <f t="shared" si="1"/>
        <v>475.47859607284579</v>
      </c>
      <c r="K16" s="44">
        <f t="shared" si="1"/>
        <v>489.56265484006212</v>
      </c>
      <c r="L16" s="44">
        <f t="shared" si="1"/>
        <v>503.89415411618245</v>
      </c>
      <c r="M16" s="44">
        <f t="shared" si="1"/>
        <v>518.4774277490161</v>
      </c>
      <c r="N16" s="44">
        <f t="shared" si="1"/>
        <v>533.31688521860349</v>
      </c>
      <c r="O16" s="44">
        <f t="shared" si="1"/>
        <v>548.41701295149892</v>
      </c>
      <c r="P16" s="44">
        <f t="shared" si="1"/>
        <v>563.7823756577742</v>
      </c>
      <c r="Q16" s="44">
        <f t="shared" si="1"/>
        <v>579.41761769113816</v>
      </c>
      <c r="R16" s="44">
        <f t="shared" si="1"/>
        <v>595.32746443256156</v>
      </c>
      <c r="S16" s="44">
        <f t="shared" si="1"/>
        <v>611.51672369782568</v>
      </c>
      <c r="T16" s="44">
        <f t="shared" si="1"/>
        <v>627.99028716938426</v>
      </c>
      <c r="U16" s="44">
        <f t="shared" si="1"/>
        <v>644.75313185298126</v>
      </c>
      <c r="V16" s="44">
        <f t="shared" si="1"/>
        <v>661.81032155942671</v>
      </c>
      <c r="W16" s="44">
        <f t="shared" si="1"/>
        <v>679.16700841197633</v>
      </c>
      <c r="X16" s="44">
        <f t="shared" si="1"/>
        <v>696.82843437975498</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23.081885915350725</v>
      </c>
      <c r="J17" s="44">
        <f>MAX(0,J16)*Dep_Tax!J24</f>
        <v>23.773929803642289</v>
      </c>
      <c r="K17" s="44">
        <f>MAX(0,K16)*Dep_Tax!K24</f>
        <v>24.478132742003108</v>
      </c>
      <c r="L17" s="44">
        <f>MAX(0,L16)*Dep_Tax!L24</f>
        <v>25.194707705809122</v>
      </c>
      <c r="M17" s="44">
        <f>MAX(0,M16)*Dep_Tax!M24</f>
        <v>25.923871387450806</v>
      </c>
      <c r="N17" s="44">
        <f>MAX(0,N16)*Dep_Tax!N24</f>
        <v>26.665844260930175</v>
      </c>
      <c r="O17" s="44">
        <f>MAX(0,O16)*Dep_Tax!O24</f>
        <v>27.420850647574948</v>
      </c>
      <c r="P17" s="44">
        <f>MAX(0,P16)*Dep_Tax!P24</f>
        <v>28.189118782888713</v>
      </c>
      <c r="Q17" s="44">
        <f>MAX(0,Q16)*Dep_Tax!Q24</f>
        <v>28.970880884556909</v>
      </c>
      <c r="R17" s="44">
        <f>MAX(0,R16)*Dep_Tax!R24</f>
        <v>59.532746443256158</v>
      </c>
      <c r="S17" s="44">
        <f>MAX(0,S16)*Dep_Tax!S24</f>
        <v>61.151672369782574</v>
      </c>
      <c r="T17" s="44">
        <f>MAX(0,T16)*Dep_Tax!T24</f>
        <v>125.59805743387686</v>
      </c>
      <c r="U17" s="44">
        <f>MAX(0,U16)*Dep_Tax!U24</f>
        <v>128.95062637059627</v>
      </c>
      <c r="V17" s="44">
        <f>MAX(0,V16)*Dep_Tax!V24</f>
        <v>132.36206431188535</v>
      </c>
      <c r="W17" s="44">
        <f>MAX(0,W16)*Dep_Tax!W24</f>
        <v>135.83340168239528</v>
      </c>
      <c r="X17" s="44">
        <f>MAX(0,X16)*Dep_Tax!X24</f>
        <v>139.36568687595101</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732.67249600000002</v>
      </c>
      <c r="F18" s="43">
        <f t="shared" si="2"/>
        <v>745.58180202816015</v>
      </c>
      <c r="G18" s="43">
        <f t="shared" si="2"/>
        <v>758.7179693525859</v>
      </c>
      <c r="H18" s="43">
        <f t="shared" si="2"/>
        <v>772.08497260535819</v>
      </c>
      <c r="I18" s="43">
        <f t="shared" si="2"/>
        <v>762.6049698916637</v>
      </c>
      <c r="J18" s="43">
        <f t="shared" si="2"/>
        <v>775.7538037692035</v>
      </c>
      <c r="K18" s="43">
        <f t="shared" si="2"/>
        <v>789.13365959805901</v>
      </c>
      <c r="L18" s="43">
        <f t="shared" si="2"/>
        <v>802.74858391037333</v>
      </c>
      <c r="M18" s="43">
        <f t="shared" si="2"/>
        <v>816.60269386156529</v>
      </c>
      <c r="N18" s="43">
        <f t="shared" si="2"/>
        <v>830.70017845767336</v>
      </c>
      <c r="O18" s="43">
        <f t="shared" si="2"/>
        <v>845.04529980392397</v>
      </c>
      <c r="P18" s="43">
        <f t="shared" si="2"/>
        <v>859.6423943748855</v>
      </c>
      <c r="Q18" s="43">
        <f t="shared" si="2"/>
        <v>874.4958743065813</v>
      </c>
      <c r="R18" s="43">
        <f t="shared" si="2"/>
        <v>859.84385548930538</v>
      </c>
      <c r="S18" s="43">
        <f t="shared" si="2"/>
        <v>874.41418882804317</v>
      </c>
      <c r="T18" s="43">
        <f t="shared" si="2"/>
        <v>826.44136723550741</v>
      </c>
      <c r="U18" s="43">
        <f t="shared" si="2"/>
        <v>839.85164298238499</v>
      </c>
      <c r="V18" s="43">
        <f t="shared" si="2"/>
        <v>853.49739474754142</v>
      </c>
      <c r="W18" s="43">
        <f t="shared" si="2"/>
        <v>867.38274422958102</v>
      </c>
      <c r="X18" s="43">
        <f t="shared" si="2"/>
        <v>881.51188500380397</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-2690.6</v>
      </c>
      <c r="D24" s="43">
        <f t="shared" si="3"/>
        <v>-3791.3</v>
      </c>
      <c r="E24" s="43">
        <f t="shared" si="3"/>
        <v>1099.572496</v>
      </c>
      <c r="F24" s="43">
        <f t="shared" si="3"/>
        <v>745.58180202816015</v>
      </c>
      <c r="G24" s="43">
        <f t="shared" si="3"/>
        <v>758.7179693525859</v>
      </c>
      <c r="H24" s="43">
        <f t="shared" si="3"/>
        <v>772.08497260535819</v>
      </c>
      <c r="I24" s="43">
        <f t="shared" si="3"/>
        <v>762.6049698916637</v>
      </c>
      <c r="J24" s="43">
        <f t="shared" si="3"/>
        <v>775.7538037692035</v>
      </c>
      <c r="K24" s="43">
        <f t="shared" si="3"/>
        <v>789.13365959805901</v>
      </c>
      <c r="L24" s="43">
        <f t="shared" si="3"/>
        <v>802.74858391037333</v>
      </c>
      <c r="M24" s="43">
        <f t="shared" si="3"/>
        <v>816.60269386156529</v>
      </c>
      <c r="N24" s="43">
        <f t="shared" si="3"/>
        <v>830.70017845767336</v>
      </c>
      <c r="O24" s="43">
        <f t="shared" si="3"/>
        <v>845.04529980392397</v>
      </c>
      <c r="P24" s="43">
        <f t="shared" si="3"/>
        <v>859.6423943748855</v>
      </c>
      <c r="Q24" s="43">
        <f t="shared" si="3"/>
        <v>874.4958743065813</v>
      </c>
      <c r="R24" s="43">
        <f t="shared" si="3"/>
        <v>859.84385548930538</v>
      </c>
      <c r="S24" s="43">
        <f t="shared" si="3"/>
        <v>874.41418882804317</v>
      </c>
      <c r="T24" s="43">
        <f t="shared" si="3"/>
        <v>826.44136723550741</v>
      </c>
      <c r="U24" s="43">
        <f t="shared" si="3"/>
        <v>839.85164298238499</v>
      </c>
      <c r="V24" s="43">
        <f t="shared" si="3"/>
        <v>853.49739474754142</v>
      </c>
      <c r="W24" s="43">
        <f t="shared" si="3"/>
        <v>867.38274422958102</v>
      </c>
      <c r="X24" s="43">
        <f t="shared" si="3"/>
        <v>881.51188500380397</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-2690.6</v>
      </c>
      <c r="D26" s="43">
        <f t="shared" si="4"/>
        <v>-3446.6363636363635</v>
      </c>
      <c r="E26" s="43">
        <f t="shared" si="4"/>
        <v>908.73759999999993</v>
      </c>
      <c r="F26" s="43">
        <f t="shared" si="4"/>
        <v>560.1666431466266</v>
      </c>
      <c r="G26" s="43">
        <f t="shared" si="4"/>
        <v>518.21458189507939</v>
      </c>
      <c r="H26" s="43">
        <f t="shared" si="4"/>
        <v>479.40402270421038</v>
      </c>
      <c r="I26" s="43">
        <f t="shared" si="4"/>
        <v>430.47062443328986</v>
      </c>
      <c r="J26" s="43">
        <f t="shared" si="4"/>
        <v>398.0843621525172</v>
      </c>
      <c r="K26" s="43">
        <f t="shared" si="4"/>
        <v>368.13667617440984</v>
      </c>
      <c r="L26" s="43">
        <f t="shared" si="4"/>
        <v>340.44376258827401</v>
      </c>
      <c r="M26" s="43">
        <f t="shared" si="4"/>
        <v>314.83568874840455</v>
      </c>
      <c r="N26" s="43">
        <f t="shared" si="4"/>
        <v>291.15534484751834</v>
      </c>
      <c r="O26" s="43">
        <f t="shared" si="4"/>
        <v>269.25747487881773</v>
      </c>
      <c r="P26" s="43">
        <f t="shared" si="4"/>
        <v>249.00778096196237</v>
      </c>
      <c r="Q26" s="43">
        <f t="shared" si="4"/>
        <v>230.28209546664391</v>
      </c>
      <c r="R26" s="43">
        <f t="shared" si="4"/>
        <v>205.83978270306758</v>
      </c>
      <c r="S26" s="43">
        <f t="shared" si="4"/>
        <v>190.2980042372908</v>
      </c>
      <c r="T26" s="43">
        <f t="shared" si="4"/>
        <v>163.50701866608387</v>
      </c>
      <c r="U26" s="43">
        <f t="shared" si="4"/>
        <v>151.05470021007667</v>
      </c>
      <c r="V26" s="43">
        <f t="shared" si="4"/>
        <v>139.55364419087201</v>
      </c>
      <c r="W26" s="43">
        <f t="shared" si="4"/>
        <v>128.93091798782262</v>
      </c>
      <c r="X26" s="43">
        <f t="shared" si="4"/>
        <v>119.1192043030609</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-2690.6</v>
      </c>
      <c r="D27" s="43">
        <f t="shared" ref="D27:AF27" si="5">C27+D24</f>
        <v>-6481.9</v>
      </c>
      <c r="E27" s="43">
        <f t="shared" si="5"/>
        <v>-5382.3275039999999</v>
      </c>
      <c r="F27" s="43">
        <f t="shared" si="5"/>
        <v>-4636.7457019718395</v>
      </c>
      <c r="G27" s="43">
        <f t="shared" si="5"/>
        <v>-3878.0277326192536</v>
      </c>
      <c r="H27" s="43">
        <f t="shared" si="5"/>
        <v>-3105.9427600138952</v>
      </c>
      <c r="I27" s="43">
        <f t="shared" si="5"/>
        <v>-2343.3377901222316</v>
      </c>
      <c r="J27" s="43">
        <f t="shared" si="5"/>
        <v>-1567.5839863530282</v>
      </c>
      <c r="K27" s="43">
        <f t="shared" si="5"/>
        <v>-778.45032675496918</v>
      </c>
      <c r="L27" s="43">
        <f t="shared" si="5"/>
        <v>24.298257155404144</v>
      </c>
      <c r="M27" s="43">
        <f t="shared" si="5"/>
        <v>840.90095101696943</v>
      </c>
      <c r="N27" s="43">
        <f t="shared" si="5"/>
        <v>1671.6011294746427</v>
      </c>
      <c r="O27" s="43">
        <f t="shared" si="5"/>
        <v>2516.6464292785668</v>
      </c>
      <c r="P27" s="43">
        <f t="shared" si="5"/>
        <v>3376.2888236534523</v>
      </c>
      <c r="Q27" s="43">
        <f t="shared" si="5"/>
        <v>4250.7846979600336</v>
      </c>
      <c r="R27" s="43">
        <f t="shared" si="5"/>
        <v>5110.6285534493391</v>
      </c>
      <c r="S27" s="43">
        <f t="shared" si="5"/>
        <v>5985.0427422773819</v>
      </c>
      <c r="T27" s="43">
        <f t="shared" si="5"/>
        <v>6811.4841095128895</v>
      </c>
      <c r="U27" s="43">
        <f t="shared" si="5"/>
        <v>7651.3357524952744</v>
      </c>
      <c r="V27" s="43">
        <f t="shared" si="5"/>
        <v>8504.8331472428163</v>
      </c>
      <c r="W27" s="43">
        <f t="shared" si="5"/>
        <v>9372.2158914723968</v>
      </c>
      <c r="X27" s="43">
        <f t="shared" si="5"/>
        <v>10253.7277764762</v>
      </c>
      <c r="Y27" s="43">
        <f t="shared" si="5"/>
        <v>10253.7277764762</v>
      </c>
      <c r="Z27" s="43">
        <f t="shared" si="5"/>
        <v>10253.7277764762</v>
      </c>
      <c r="AA27" s="43">
        <f t="shared" si="5"/>
        <v>10253.7277764762</v>
      </c>
      <c r="AB27" s="43">
        <f t="shared" si="5"/>
        <v>10253.7277764762</v>
      </c>
      <c r="AC27" s="43">
        <f t="shared" si="5"/>
        <v>10253.7277764762</v>
      </c>
      <c r="AD27" s="43">
        <f t="shared" si="5"/>
        <v>10253.7277764762</v>
      </c>
      <c r="AE27" s="43">
        <f t="shared" si="5"/>
        <v>10253.7277764762</v>
      </c>
      <c r="AF27" s="43">
        <f t="shared" si="5"/>
        <v>10253.7277764762</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2034</v>
      </c>
      <c r="M28" s="47">
        <f t="shared" si="6"/>
        <v>2035</v>
      </c>
      <c r="N28" s="47">
        <f t="shared" si="6"/>
        <v>2036</v>
      </c>
      <c r="O28" s="47">
        <f t="shared" si="6"/>
        <v>2037</v>
      </c>
      <c r="P28" s="47">
        <f t="shared" si="6"/>
        <v>2038</v>
      </c>
      <c r="Q28" s="47">
        <f t="shared" si="6"/>
        <v>2039</v>
      </c>
      <c r="R28" s="47">
        <f t="shared" si="6"/>
        <v>2040</v>
      </c>
      <c r="S28" s="47">
        <f t="shared" si="6"/>
        <v>2041</v>
      </c>
      <c r="T28" s="47">
        <f t="shared" si="6"/>
        <v>2042</v>
      </c>
      <c r="U28" s="47">
        <f t="shared" si="6"/>
        <v>2043</v>
      </c>
      <c r="V28" s="47">
        <f t="shared" si="6"/>
        <v>2044</v>
      </c>
      <c r="W28" s="47">
        <f t="shared" si="6"/>
        <v>2045</v>
      </c>
      <c r="X28" s="47">
        <f t="shared" si="6"/>
        <v>2046</v>
      </c>
      <c r="Y28" s="47">
        <f t="shared" si="6"/>
        <v>2047</v>
      </c>
      <c r="Z28" s="47">
        <f t="shared" si="6"/>
        <v>2048</v>
      </c>
      <c r="AA28" s="47">
        <f t="shared" si="6"/>
        <v>2049</v>
      </c>
      <c r="AB28" s="47">
        <f t="shared" si="6"/>
        <v>2050</v>
      </c>
      <c r="AC28" s="47">
        <f t="shared" si="6"/>
        <v>2051</v>
      </c>
      <c r="AD28" s="47">
        <f t="shared" si="6"/>
        <v>2052</v>
      </c>
      <c r="AE28" s="47">
        <f t="shared" si="6"/>
        <v>2053</v>
      </c>
      <c r="AF28" s="47">
        <f t="shared" si="6"/>
        <v>2054</v>
      </c>
    </row>
    <row r="29" spans="1:32" ht="15" customHeight="1">
      <c r="A29" s="71" t="s">
        <v>622</v>
      </c>
      <c r="B29" s="71" t="s">
        <v>623</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390942.14876033051</v>
      </c>
      <c r="F30" s="51">
        <f t="shared" si="8"/>
        <v>354691.14951164526</v>
      </c>
      <c r="G30" s="51">
        <f t="shared" si="8"/>
        <v>321801.60655692912</v>
      </c>
      <c r="H30" s="51">
        <f t="shared" si="8"/>
        <v>291961.82122165017</v>
      </c>
      <c r="I30" s="51">
        <f t="shared" si="8"/>
        <v>264888.99779927899</v>
      </c>
      <c r="J30" s="51">
        <f t="shared" si="8"/>
        <v>240326.56345789123</v>
      </c>
      <c r="K30" s="51">
        <f t="shared" si="8"/>
        <v>218041.73666452317</v>
      </c>
      <c r="L30" s="51">
        <f t="shared" si="8"/>
        <v>197823.32108290371</v>
      </c>
      <c r="M30" s="51">
        <f t="shared" si="8"/>
        <v>179479.70403703445</v>
      </c>
      <c r="N30" s="51">
        <f t="shared" si="8"/>
        <v>162837.04057178216</v>
      </c>
      <c r="O30" s="51">
        <f t="shared" si="8"/>
        <v>147737.60590058056</v>
      </c>
      <c r="P30" s="51">
        <f t="shared" si="8"/>
        <v>134038.30062616308</v>
      </c>
      <c r="Q30" s="51">
        <f t="shared" si="8"/>
        <v>121609.29456810065</v>
      </c>
      <c r="R30" s="51">
        <f t="shared" si="8"/>
        <v>110332.79634451312</v>
      </c>
      <c r="S30" s="51">
        <f t="shared" si="8"/>
        <v>100101.93704711282</v>
      </c>
      <c r="T30" s="51">
        <f t="shared" si="8"/>
        <v>90819.757430016907</v>
      </c>
      <c r="U30" s="51">
        <f t="shared" si="8"/>
        <v>82398.289013778965</v>
      </c>
      <c r="V30" s="51">
        <f t="shared" si="8"/>
        <v>74757.720396137622</v>
      </c>
      <c r="W30" s="51">
        <f t="shared" si="8"/>
        <v>67825.640868495786</v>
      </c>
      <c r="X30" s="51">
        <f t="shared" si="8"/>
        <v>61536.354169780716</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390942148.76033056</v>
      </c>
      <c r="F31" s="51">
        <f>F11*1000*(1+Input!$D$49)^MAX(0,F$8-1)*F25</f>
        <v>361784972.5018782</v>
      </c>
      <c r="G31" s="51">
        <f>G11*1000*(1+Input!$D$49)^MAX(0,G$8-1)*G25</f>
        <v>334802391.46182907</v>
      </c>
      <c r="H31" s="51">
        <f>H11*1000*(1+Input!$D$49)^MAX(0,H$8-1)*H25</f>
        <v>309832220.37498492</v>
      </c>
      <c r="I31" s="51">
        <f>I11*1000*(1+Input!$D$49)^MAX(0,I$8-1)*I25</f>
        <v>286724370.04810876</v>
      </c>
      <c r="J31" s="51">
        <f>J11*1000*(1+Input!$D$49)^MAX(0,J$8-1)*J25</f>
        <v>265339945.21288434</v>
      </c>
      <c r="K31" s="51">
        <f>K11*1000*(1+Input!$D$49)^MAX(0,K$8-1)*K25</f>
        <v>245550409.6626434</v>
      </c>
      <c r="L31" s="51">
        <f>L11*1000*(1+Input!$D$49)^MAX(0,L$8-1)*L25</f>
        <v>227236813.65471312</v>
      </c>
      <c r="M31" s="51">
        <f>M11*1000*(1+Input!$D$49)^MAX(0,M$8-1)*M25</f>
        <v>210289078.93450162</v>
      </c>
      <c r="N31" s="51">
        <f>N11*1000*(1+Input!$D$49)^MAX(0,N$8-1)*N25</f>
        <v>194605337.08378661</v>
      </c>
      <c r="O31" s="51">
        <f>O11*1000*(1+Input!$D$49)^MAX(0,O$8-1)*O25</f>
        <v>180091317.21619219</v>
      </c>
      <c r="P31" s="51">
        <f>P11*1000*(1+Input!$D$49)^MAX(0,P$8-1)*P25</f>
        <v>166659779.33944997</v>
      </c>
      <c r="Q31" s="51">
        <f>Q11*1000*(1+Input!$D$49)^MAX(0,Q$8-1)*Q25</f>
        <v>154229989.97853318</v>
      </c>
      <c r="R31" s="51">
        <f>R11*1000*(1+Input!$D$49)^MAX(0,R$8-1)*R25</f>
        <v>142727236.90777051</v>
      </c>
      <c r="S31" s="51">
        <f>S11*1000*(1+Input!$D$49)^MAX(0,S$8-1)*S25</f>
        <v>132082380.07512191</v>
      </c>
      <c r="T31" s="51">
        <f>T11*1000*(1+Input!$D$49)^MAX(0,T$8-1)*T25</f>
        <v>122231436.01933736</v>
      </c>
      <c r="U31" s="51">
        <f>U11*1000*(1+Input!$D$49)^MAX(0,U$8-1)*U25</f>
        <v>113115193.2820406</v>
      </c>
      <c r="V31" s="51">
        <f>V11*1000*(1+Input!$D$49)^MAX(0,V$8-1)*V25</f>
        <v>104678856.50307821</v>
      </c>
      <c r="W31" s="51">
        <f>W11*1000*(1+Input!$D$49)^MAX(0,W$8-1)*W25</f>
        <v>96871717.05988498</v>
      </c>
      <c r="X31" s="51">
        <f>X11*1000*(1+Input!$D$49)^MAX(0,X$8-1)*X25</f>
        <v>89646848.271164089</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0.10715201977654654</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319.26356665966443</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2034</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1913.920845794192</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1675.0003797224717</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732.67249600000002</v>
      </c>
      <c r="F11" s="44">
        <f>Energy_Revenue!F20</f>
        <v>745.58180202816015</v>
      </c>
      <c r="G11" s="44">
        <f>Energy_Revenue!G20</f>
        <v>758.7179693525859</v>
      </c>
      <c r="H11" s="44">
        <f>Energy_Revenue!H20</f>
        <v>772.08497260535819</v>
      </c>
      <c r="I11" s="44">
        <f>Energy_Revenue!I20</f>
        <v>785.68685580701447</v>
      </c>
      <c r="J11" s="44">
        <f>Energy_Revenue!J20</f>
        <v>799.52773357284582</v>
      </c>
      <c r="K11" s="44">
        <f>Energy_Revenue!K20</f>
        <v>813.61179234006215</v>
      </c>
      <c r="L11" s="44">
        <f>Energy_Revenue!L20</f>
        <v>827.94329161618248</v>
      </c>
      <c r="M11" s="44">
        <f>Energy_Revenue!M20</f>
        <v>842.52656524901613</v>
      </c>
      <c r="N11" s="44">
        <f>Energy_Revenue!N20</f>
        <v>857.36602271860352</v>
      </c>
      <c r="O11" s="44">
        <f>Energy_Revenue!O20</f>
        <v>872.46615045149895</v>
      </c>
      <c r="P11" s="44">
        <f>Energy_Revenue!P20</f>
        <v>887.83151315777422</v>
      </c>
      <c r="Q11" s="44">
        <f>Energy_Revenue!Q20</f>
        <v>903.46675519113819</v>
      </c>
      <c r="R11" s="44">
        <f>Energy_Revenue!R20</f>
        <v>919.37660193256158</v>
      </c>
      <c r="S11" s="44">
        <f>Energy_Revenue!S20</f>
        <v>935.56586119782571</v>
      </c>
      <c r="T11" s="44">
        <f>Energy_Revenue!T20</f>
        <v>952.03942466938429</v>
      </c>
      <c r="U11" s="44">
        <f>Energy_Revenue!U20</f>
        <v>968.80226935298128</v>
      </c>
      <c r="V11" s="44">
        <f>Energy_Revenue!V20</f>
        <v>985.85945905942674</v>
      </c>
      <c r="W11" s="44">
        <f>Energy_Revenue!W20</f>
        <v>1003.2161459119764</v>
      </c>
      <c r="X11" s="44">
        <f>Energy_Revenue!X20</f>
        <v>1020.877571879755</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32.103749999999998</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81.329499999999996</v>
      </c>
      <c r="D16" s="44">
        <f>Debt!D16</f>
        <v>284.65324999999996</v>
      </c>
      <c r="E16" s="44">
        <f>Debt!E16</f>
        <v>406.64749999999998</v>
      </c>
      <c r="F16" s="44">
        <f>Debt!F16</f>
        <v>406.64749999999998</v>
      </c>
      <c r="G16" s="44">
        <f>Debt!G16</f>
        <v>379.53766666666667</v>
      </c>
      <c r="H16" s="44">
        <f>Debt!H16</f>
        <v>352.4278333333333</v>
      </c>
      <c r="I16" s="44">
        <f>Debt!I16</f>
        <v>325.31799999999998</v>
      </c>
      <c r="J16" s="44">
        <f>Debt!J16</f>
        <v>298.20816666666661</v>
      </c>
      <c r="K16" s="44">
        <f>Debt!K16</f>
        <v>271.0983333333333</v>
      </c>
      <c r="L16" s="44">
        <f>Debt!L16</f>
        <v>243.98849999999993</v>
      </c>
      <c r="M16" s="44">
        <f>Debt!M16</f>
        <v>216.87866666666659</v>
      </c>
      <c r="N16" s="44">
        <f>Debt!N16</f>
        <v>189.76883333333325</v>
      </c>
      <c r="O16" s="44">
        <f>Debt!O16</f>
        <v>162.65899999999991</v>
      </c>
      <c r="P16" s="44">
        <f>Debt!P16</f>
        <v>135.54916666666657</v>
      </c>
      <c r="Q16" s="44">
        <f>Debt!Q16</f>
        <v>108.43933333333321</v>
      </c>
      <c r="R16" s="44">
        <f>Debt!R16</f>
        <v>81.329499999999868</v>
      </c>
      <c r="S16" s="44">
        <f>Debt!S16</f>
        <v>54.219666666666541</v>
      </c>
      <c r="T16" s="44">
        <f>Debt!T16</f>
        <v>27.109833333333206</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641</v>
      </c>
      <c r="B17" s="71" t="s">
        <v>523</v>
      </c>
      <c r="C17" s="44">
        <f>Debt!C15</f>
        <v>0</v>
      </c>
      <c r="D17" s="44">
        <f>Debt!D15</f>
        <v>0</v>
      </c>
      <c r="E17" s="44">
        <f>Debt!E15</f>
        <v>0</v>
      </c>
      <c r="F17" s="44">
        <f>Debt!F15</f>
        <v>285.36666666666667</v>
      </c>
      <c r="G17" s="44">
        <f>Debt!G15</f>
        <v>285.36666666666667</v>
      </c>
      <c r="H17" s="44">
        <f>Debt!H15</f>
        <v>285.36666666666667</v>
      </c>
      <c r="I17" s="44">
        <f>Debt!I15</f>
        <v>285.36666666666667</v>
      </c>
      <c r="J17" s="44">
        <f>Debt!J15</f>
        <v>285.36666666666667</v>
      </c>
      <c r="K17" s="44">
        <f>Debt!K15</f>
        <v>285.36666666666667</v>
      </c>
      <c r="L17" s="44">
        <f>Debt!L15</f>
        <v>285.36666666666667</v>
      </c>
      <c r="M17" s="44">
        <f>Debt!M15</f>
        <v>285.36666666666667</v>
      </c>
      <c r="N17" s="44">
        <f>Debt!N15</f>
        <v>285.36666666666667</v>
      </c>
      <c r="O17" s="44">
        <f>Debt!O15</f>
        <v>285.36666666666667</v>
      </c>
      <c r="P17" s="44">
        <f>Debt!P15</f>
        <v>285.36666666666667</v>
      </c>
      <c r="Q17" s="44">
        <f>Debt!Q15</f>
        <v>285.36666666666667</v>
      </c>
      <c r="R17" s="44">
        <f>Debt!R15</f>
        <v>285.36666666666667</v>
      </c>
      <c r="S17" s="44">
        <f>Debt!S15</f>
        <v>285.36666666666667</v>
      </c>
      <c r="T17" s="44">
        <f>Debt!T15</f>
        <v>285.36666666666531</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6.8159859153507227</v>
      </c>
      <c r="J18" s="44">
        <f>Dep_Tax!J25</f>
        <v>8.8635214703089584</v>
      </c>
      <c r="K18" s="44">
        <f>Dep_Tax!K25</f>
        <v>10.923216075336441</v>
      </c>
      <c r="L18" s="44">
        <f>Dep_Tax!L25</f>
        <v>12.995282705809126</v>
      </c>
      <c r="M18" s="44">
        <f>Dep_Tax!M25</f>
        <v>15.079938054117475</v>
      </c>
      <c r="N18" s="44">
        <f>Dep_Tax!N25</f>
        <v>17.177402594263512</v>
      </c>
      <c r="O18" s="44">
        <f>Dep_Tax!O25</f>
        <v>19.287900647574954</v>
      </c>
      <c r="P18" s="44">
        <f>Dep_Tax!P25</f>
        <v>21.411660449555384</v>
      </c>
      <c r="Q18" s="44">
        <f>Dep_Tax!Q25</f>
        <v>23.54891421789025</v>
      </c>
      <c r="R18" s="44">
        <f>Dep_Tax!R25</f>
        <v>51.399796443256179</v>
      </c>
      <c r="S18" s="44">
        <f>Dep_Tax!S25</f>
        <v>55.729705703115918</v>
      </c>
      <c r="T18" s="44">
        <f>Dep_Tax!T25</f>
        <v>120.17609076721021</v>
      </c>
      <c r="U18" s="44">
        <f>Dep_Tax!U25</f>
        <v>128.95062637059627</v>
      </c>
      <c r="V18" s="44">
        <f>Dep_Tax!V25</f>
        <v>132.36206431188535</v>
      </c>
      <c r="W18" s="44">
        <f>Dep_Tax!W25</f>
        <v>135.83340168239528</v>
      </c>
      <c r="X18" s="44">
        <f>Dep_Tax!X25</f>
        <v>139.36568687595101</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-1091.8332500000001</v>
      </c>
      <c r="D20" s="43">
        <f t="shared" si="0"/>
        <v>-1507.6532500000003</v>
      </c>
      <c r="E20" s="43">
        <f t="shared" si="0"/>
        <v>692.92499599999996</v>
      </c>
      <c r="F20" s="43">
        <f t="shared" si="0"/>
        <v>53.567635361493501</v>
      </c>
      <c r="G20" s="43">
        <f t="shared" si="0"/>
        <v>93.813636019252556</v>
      </c>
      <c r="H20" s="43">
        <f t="shared" si="0"/>
        <v>134.29047260535822</v>
      </c>
      <c r="I20" s="43">
        <f t="shared" si="0"/>
        <v>168.18620322499709</v>
      </c>
      <c r="J20" s="43">
        <f t="shared" si="0"/>
        <v>207.08937876920356</v>
      </c>
      <c r="K20" s="43">
        <f t="shared" si="0"/>
        <v>246.22357626472581</v>
      </c>
      <c r="L20" s="43">
        <f t="shared" si="0"/>
        <v>285.59284224370674</v>
      </c>
      <c r="M20" s="43">
        <f t="shared" si="0"/>
        <v>325.20129386156538</v>
      </c>
      <c r="N20" s="43">
        <f t="shared" si="0"/>
        <v>365.05312012434001</v>
      </c>
      <c r="O20" s="43">
        <f t="shared" si="0"/>
        <v>405.15258313725747</v>
      </c>
      <c r="P20" s="43">
        <f t="shared" si="0"/>
        <v>445.50401937488562</v>
      </c>
      <c r="Q20" s="43">
        <f t="shared" si="0"/>
        <v>486.11184097324804</v>
      </c>
      <c r="R20" s="43">
        <f t="shared" si="0"/>
        <v>501.28063882263893</v>
      </c>
      <c r="S20" s="43">
        <f t="shared" si="0"/>
        <v>540.24982216137664</v>
      </c>
      <c r="T20" s="43">
        <f t="shared" si="0"/>
        <v>519.38683390217557</v>
      </c>
      <c r="U20" s="43">
        <f t="shared" si="0"/>
        <v>839.85164298238499</v>
      </c>
      <c r="V20" s="43">
        <f t="shared" si="0"/>
        <v>853.49739474754142</v>
      </c>
      <c r="W20" s="43">
        <f t="shared" si="0"/>
        <v>867.38274422958102</v>
      </c>
      <c r="X20" s="43">
        <f t="shared" si="0"/>
        <v>881.51188500380397</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-1091.8332500000001</v>
      </c>
      <c r="D22" s="43">
        <f t="shared" si="1"/>
        <v>-1346.1189732142859</v>
      </c>
      <c r="E22" s="43">
        <f t="shared" si="1"/>
        <v>552.39556441326522</v>
      </c>
      <c r="F22" s="43">
        <f t="shared" si="1"/>
        <v>38.128384772382276</v>
      </c>
      <c r="G22" s="43">
        <f t="shared" si="1"/>
        <v>59.620261691125641</v>
      </c>
      <c r="H22" s="43">
        <f t="shared" si="1"/>
        <v>76.2000206234231</v>
      </c>
      <c r="I22" s="43">
        <f t="shared" si="1"/>
        <v>85.208364706436981</v>
      </c>
      <c r="J22" s="43">
        <f t="shared" si="1"/>
        <v>93.676717990853945</v>
      </c>
      <c r="K22" s="43">
        <f t="shared" si="1"/>
        <v>99.44557278642182</v>
      </c>
      <c r="L22" s="43">
        <f t="shared" si="1"/>
        <v>102.9876419760634</v>
      </c>
      <c r="M22" s="43">
        <f t="shared" si="1"/>
        <v>104.70611312809024</v>
      </c>
      <c r="N22" s="43">
        <f t="shared" si="1"/>
        <v>104.94404876246954</v>
      </c>
      <c r="O22" s="43">
        <f t="shared" si="1"/>
        <v>103.99257693382002</v>
      </c>
      <c r="P22" s="43">
        <f t="shared" si="1"/>
        <v>102.0980228398153</v>
      </c>
      <c r="Q22" s="43">
        <f t="shared" si="1"/>
        <v>99.468113810317732</v>
      </c>
      <c r="R22" s="43">
        <f t="shared" si="1"/>
        <v>91.58209855702556</v>
      </c>
      <c r="S22" s="43">
        <f t="shared" si="1"/>
        <v>88.1264488013679</v>
      </c>
      <c r="T22" s="43">
        <f t="shared" si="1"/>
        <v>75.645753112067226</v>
      </c>
      <c r="U22" s="43">
        <f t="shared" si="1"/>
        <v>109.21396341269929</v>
      </c>
      <c r="V22" s="43">
        <f t="shared" si="1"/>
        <v>99.096831588465605</v>
      </c>
      <c r="W22" s="43">
        <f t="shared" si="1"/>
        <v>89.918763181090725</v>
      </c>
      <c r="X22" s="43">
        <f t="shared" si="1"/>
        <v>81.592397766539335</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648</v>
      </c>
      <c r="B23" s="72" t="s">
        <v>619</v>
      </c>
      <c r="C23" s="43">
        <f>C20</f>
        <v>-1091.8332500000001</v>
      </c>
      <c r="D23" s="43">
        <f t="shared" ref="D23:AF23" si="2">C23+D20</f>
        <v>-2599.4865000000004</v>
      </c>
      <c r="E23" s="43">
        <f t="shared" si="2"/>
        <v>-1906.5615040000005</v>
      </c>
      <c r="F23" s="43">
        <f t="shared" si="2"/>
        <v>-1852.9938686385069</v>
      </c>
      <c r="G23" s="43">
        <f t="shared" si="2"/>
        <v>-1759.1802326192544</v>
      </c>
      <c r="H23" s="43">
        <f t="shared" si="2"/>
        <v>-1624.8897600138962</v>
      </c>
      <c r="I23" s="43">
        <f t="shared" si="2"/>
        <v>-1456.703556788899</v>
      </c>
      <c r="J23" s="43">
        <f t="shared" si="2"/>
        <v>-1249.6141780196954</v>
      </c>
      <c r="K23" s="43">
        <f t="shared" si="2"/>
        <v>-1003.3906017549696</v>
      </c>
      <c r="L23" s="43">
        <f t="shared" si="2"/>
        <v>-717.79775951126283</v>
      </c>
      <c r="M23" s="43">
        <f t="shared" si="2"/>
        <v>-392.59646564969745</v>
      </c>
      <c r="N23" s="43">
        <f t="shared" si="2"/>
        <v>-27.543345525357438</v>
      </c>
      <c r="O23" s="43">
        <f t="shared" si="2"/>
        <v>377.60923761190003</v>
      </c>
      <c r="P23" s="43">
        <f t="shared" si="2"/>
        <v>823.1132569867857</v>
      </c>
      <c r="Q23" s="43">
        <f t="shared" si="2"/>
        <v>1309.2250979600337</v>
      </c>
      <c r="R23" s="43">
        <f t="shared" si="2"/>
        <v>1810.5057367826726</v>
      </c>
      <c r="S23" s="43">
        <f t="shared" si="2"/>
        <v>2350.755558944049</v>
      </c>
      <c r="T23" s="43">
        <f t="shared" si="2"/>
        <v>2870.1423928462245</v>
      </c>
      <c r="U23" s="43">
        <f t="shared" si="2"/>
        <v>3709.9940358286094</v>
      </c>
      <c r="V23" s="43">
        <f t="shared" si="2"/>
        <v>4563.4914305761504</v>
      </c>
      <c r="W23" s="43">
        <f t="shared" si="2"/>
        <v>5430.8741748057309</v>
      </c>
      <c r="X23" s="43">
        <f t="shared" si="2"/>
        <v>6312.3860598095353</v>
      </c>
      <c r="Y23" s="43">
        <f t="shared" si="2"/>
        <v>6312.3860598095353</v>
      </c>
      <c r="Z23" s="43">
        <f t="shared" si="2"/>
        <v>6312.3860598095353</v>
      </c>
      <c r="AA23" s="43">
        <f t="shared" si="2"/>
        <v>6312.3860598095353</v>
      </c>
      <c r="AB23" s="43">
        <f t="shared" si="2"/>
        <v>6312.3860598095353</v>
      </c>
      <c r="AC23" s="43">
        <f t="shared" si="2"/>
        <v>6312.3860598095353</v>
      </c>
      <c r="AD23" s="43">
        <f t="shared" si="2"/>
        <v>6312.3860598095353</v>
      </c>
      <c r="AE23" s="43">
        <f t="shared" si="2"/>
        <v>6312.3860598095353</v>
      </c>
      <c r="AF23" s="43">
        <f t="shared" si="2"/>
        <v>6312.3860598095353</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t="str">
        <f t="shared" si="3"/>
        <v/>
      </c>
      <c r="N24" s="47" t="str">
        <f t="shared" si="3"/>
        <v/>
      </c>
      <c r="O24" s="47">
        <f t="shared" si="3"/>
        <v>2037</v>
      </c>
      <c r="P24" s="47">
        <f t="shared" si="3"/>
        <v>2038</v>
      </c>
      <c r="Q24" s="47">
        <f t="shared" si="3"/>
        <v>2039</v>
      </c>
      <c r="R24" s="47">
        <f t="shared" si="3"/>
        <v>2040</v>
      </c>
      <c r="S24" s="47">
        <f t="shared" si="3"/>
        <v>2041</v>
      </c>
      <c r="T24" s="47">
        <f t="shared" si="3"/>
        <v>2042</v>
      </c>
      <c r="U24" s="47">
        <f t="shared" si="3"/>
        <v>2043</v>
      </c>
      <c r="V24" s="47">
        <f t="shared" si="3"/>
        <v>2044</v>
      </c>
      <c r="W24" s="47">
        <f t="shared" si="3"/>
        <v>2045</v>
      </c>
      <c r="X24" s="47">
        <f t="shared" si="3"/>
        <v>2046</v>
      </c>
      <c r="Y24" s="47">
        <f t="shared" si="3"/>
        <v>2047</v>
      </c>
      <c r="Z24" s="47">
        <f t="shared" si="3"/>
        <v>2048</v>
      </c>
      <c r="AA24" s="47">
        <f t="shared" si="3"/>
        <v>2049</v>
      </c>
      <c r="AB24" s="47">
        <f t="shared" si="3"/>
        <v>2050</v>
      </c>
      <c r="AC24" s="47">
        <f t="shared" si="3"/>
        <v>2051</v>
      </c>
      <c r="AD24" s="47">
        <f t="shared" si="3"/>
        <v>2052</v>
      </c>
      <c r="AE24" s="47">
        <f t="shared" si="3"/>
        <v>2053</v>
      </c>
      <c r="AF24" s="47">
        <f t="shared" si="3"/>
        <v>2054</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0.11099519861181029</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-179.90456236054544</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2037</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12</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2599.4865000000004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9.1124984641024032E-2</v>
      </c>
      <c r="D7" s="53">
        <f>IF(COUNTIF(C41:AF41,"&lt;0")*COUNTIF(C41:AF41,"&gt;0")=0,0,IRR(C41:AF41))</f>
        <v>9.9246728748084267E-2</v>
      </c>
      <c r="E7" s="53">
        <f>IF(COUNTIF(C42:AF42,"&lt;0")*COUNTIF(C42:AF42,"&gt;0")=0,0,IRR(C42:AF42))</f>
        <v>0.10715201977654654</v>
      </c>
      <c r="F7" s="53">
        <f>IF(COUNTIF(C43:AF43,"&lt;0")*COUNTIF(C43:AF43,"&gt;0")=0,0,IRR(C43:AF43))</f>
        <v>0.11486394858855453</v>
      </c>
      <c r="G7" s="53">
        <f>IF(COUNTIF(C44:AF44,"&lt;0")*COUNTIF(C44:AF44,"&gt;0")=0,0,IRR(C44:AF44))</f>
        <v>0.12240213043383918</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9.1124984641024032E-2</v>
      </c>
      <c r="D8" s="53">
        <f>IF(COUNTIF(C46:AF46,"&lt;0")*COUNTIF(C46:AF46,"&gt;0")=0,0,IRR(C46:AF46))</f>
        <v>9.9246728748084267E-2</v>
      </c>
      <c r="E8" s="53">
        <f>IF(COUNTIF(C47:AF47,"&lt;0")*COUNTIF(C47:AF47,"&gt;0")=0,0,IRR(C47:AF47))</f>
        <v>0.10715201977654654</v>
      </c>
      <c r="F8" s="53">
        <f>IF(COUNTIF(C48:AF48,"&lt;0")*COUNTIF(C48:AF48,"&gt;0")=0,0,IRR(C48:AF48))</f>
        <v>0.11486394858855453</v>
      </c>
      <c r="G8" s="53">
        <f>IF(COUNTIF(C49:AF49,"&lt;0")*COUNTIF(C49:AF49,"&gt;0")=0,0,IRR(C49:AF49))</f>
        <v>0.12240213043383918</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0.12165844862129682</v>
      </c>
      <c r="D9" s="53">
        <f>IF(COUNTIF(C51:AF51,"&lt;0")*COUNTIF(C51:AF51,"&gt;0")=0,0,IRR(C51:AF51))</f>
        <v>0.11410181649376705</v>
      </c>
      <c r="E9" s="53">
        <f>IF(COUNTIF(C52:AF52,"&lt;0")*COUNTIF(C52:AF52,"&gt;0")=0,0,IRR(C52:AF52))</f>
        <v>0.10715201977654654</v>
      </c>
      <c r="F9" s="53">
        <f>IF(COUNTIF(C53:AF53,"&lt;0")*COUNTIF(C53:AF53,"&gt;0")=0,0,IRR(C53:AF53))</f>
        <v>0.10073032184552133</v>
      </c>
      <c r="G9" s="53">
        <f>IF(COUNTIF(C54:AF54,"&lt;0")*COUNTIF(C54:AF54,"&gt;0")=0,0,IRR(C54:AF54))</f>
        <v>9.4771587956867354E-2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0.10940615855123492</v>
      </c>
      <c r="D10" s="53">
        <f>IF(COUNTIF(C56:AF56,"&lt;0")*COUNTIF(C56:AF56,"&gt;0")=0,0,IRR(C56:AF56))</f>
        <v>0.10828114764876551</v>
      </c>
      <c r="E10" s="53">
        <f>IF(COUNTIF(C57:AF57,"&lt;0")*COUNTIF(C57:AF57,"&gt;0")=0,0,IRR(C57:AF57))</f>
        <v>0.10715201977654654</v>
      </c>
      <c r="F10" s="53">
        <f>IF(COUNTIF(C58:AF58,"&lt;0")*COUNTIF(C58:AF58,"&gt;0")=0,0,IRR(C58:AF58))</f>
        <v>0.10601870835146565</v>
      </c>
      <c r="G10" s="53">
        <f>IF(COUNTIF(C59:AF59,"&lt;0")*COUNTIF(C59:AF59,"&gt;0")=0,0,IRR(C59:AF59))</f>
        <v>0.10488114517098746</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0.10715201977654654</v>
      </c>
      <c r="D11" s="53">
        <f>IF(COUNTIF(C61:AF61,"&lt;0")*COUNTIF(C61:AF61,"&gt;0")=0,0,IRR(C61:AF61))</f>
        <v>0.10715201977654654</v>
      </c>
      <c r="E11" s="53">
        <f>IF(COUNTIF(C62:AF62,"&lt;0")*COUNTIF(C62:AF62,"&gt;0")=0,0,IRR(C62:AF62))</f>
        <v>0.10715201977654654</v>
      </c>
      <c r="F11" s="53">
        <f>IF(COUNTIF(C63:AF63,"&lt;0")*COUNTIF(C63:AF63,"&gt;0")=0,0,IRR(C63:AF63))</f>
        <v>0.10715201977654654</v>
      </c>
      <c r="G11" s="53">
        <f>IF(COUNTIF(C64:AF64,"&lt;0")*COUNTIF(C64:AF64,"&gt;0")=0,0,IRR(C64:AF64))</f>
        <v>0.10715201977654654</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8.01362678381774E-2</v>
      </c>
      <c r="D16" s="53">
        <f>IF(COUNTIF(C71:AF71,"&lt;0")*COUNTIF(C71:AF71,"&gt;0")=0,0,IRR(C71:AF71))</f>
        <v>9.5683779322078166E-2</v>
      </c>
      <c r="E16" s="53">
        <f>IF(COUNTIF(C72:AF72,"&lt;0")*COUNTIF(C72:AF72,"&gt;0")=0,0,IRR(C72:AF72))</f>
        <v>0.11099519861181029</v>
      </c>
      <c r="F16" s="53">
        <f>IF(COUNTIF(C73:AF73,"&lt;0")*COUNTIF(C73:AF73,"&gt;0")=0,0,IRR(C73:AF73))</f>
        <v>0.12610829053105643</v>
      </c>
      <c r="G16" s="53">
        <f>IF(COUNTIF(C74:AF74,"&lt;0")*COUNTIF(C74:AF74,"&gt;0")=0,0,IRR(C74:AF74))</f>
        <v>0.14105205101147544</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8.01362678381774E-2</v>
      </c>
      <c r="D17" s="53">
        <f>IF(COUNTIF(C76:AF76,"&lt;0")*COUNTIF(C76:AF76,"&gt;0")=0,0,IRR(C76:AF76))</f>
        <v>9.5683779322078166E-2</v>
      </c>
      <c r="E17" s="53">
        <f>IF(COUNTIF(C77:AF77,"&lt;0")*COUNTIF(C77:AF77,"&gt;0")=0,0,IRR(C77:AF77))</f>
        <v>0.11099519861181029</v>
      </c>
      <c r="F17" s="53">
        <f>IF(COUNTIF(C78:AF78,"&lt;0")*COUNTIF(C78:AF78,"&gt;0")=0,0,IRR(C78:AF78))</f>
        <v>0.12610829053105643</v>
      </c>
      <c r="G17" s="53">
        <f>IF(COUNTIF(C79:AF79,"&lt;0")*COUNTIF(C79:AF79,"&gt;0")=0,0,IRR(C79:AF79))</f>
        <v>0.14105205101147544</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0.11988734530751866</v>
      </c>
      <c r="D18" s="53">
        <f>IF(COUNTIF(C81:AF81,"&lt;0")*COUNTIF(C81:AF81,"&gt;0")=0,0,IRR(C81:AF81))</f>
        <v>0.11530631931908952</v>
      </c>
      <c r="E18" s="53">
        <f>IF(COUNTIF(C82:AF82,"&lt;0")*COUNTIF(C82:AF82,"&gt;0")=0,0,IRR(C82:AF82))</f>
        <v>0.11099519861181029</v>
      </c>
      <c r="F18" s="53">
        <f>IF(COUNTIF(C83:AF83,"&lt;0")*COUNTIF(C83:AF83,"&gt;0")=0,0,IRR(C83:AF83))</f>
        <v>0.10692614913587173</v>
      </c>
      <c r="G18" s="53">
        <f>IF(COUNTIF(C84:AF84,"&lt;0")*COUNTIF(C84:AF84,"&gt;0")=0,0,IRR(C84:AF84))</f>
        <v>0.10307529949539962</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0.11539315447516185</v>
      </c>
      <c r="D19" s="53">
        <f>IF(COUNTIF(C86:AF86,"&lt;0")*COUNTIF(C86:AF86,"&gt;0")=0,0,IRR(C86:AF86))</f>
        <v>0.11319643583991446</v>
      </c>
      <c r="E19" s="53">
        <f>IF(COUNTIF(C87:AF87,"&lt;0")*COUNTIF(C87:AF87,"&gt;0")=0,0,IRR(C87:AF87))</f>
        <v>0.11099519861181029</v>
      </c>
      <c r="F19" s="53">
        <f>IF(COUNTIF(C88:AF88,"&lt;0")*COUNTIF(C88:AF88,"&gt;0")=0,0,IRR(C88:AF88))</f>
        <v>0.10878933422331194</v>
      </c>
      <c r="G19" s="53">
        <f>IF(COUNTIF(C89:AF89,"&lt;0")*COUNTIF(C89:AF89,"&gt;0")=0,0,IRR(C89:AF89))</f>
        <v>0.10657872999222384</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0.12152703015106026</v>
      </c>
      <c r="D20" s="53">
        <f>IF(COUNTIF(C91:AF91,"&lt;0")*COUNTIF(C91:AF91,"&gt;0")=0,0,IRR(C91:AF91))</f>
        <v>0.11618552942891092</v>
      </c>
      <c r="E20" s="53">
        <f>IF(COUNTIF(C92:AF92,"&lt;0")*COUNTIF(C92:AF92,"&gt;0")=0,0,IRR(C92:AF92))</f>
        <v>0.11099519861181029</v>
      </c>
      <c r="F20" s="53">
        <f>IF(COUNTIF(C93:AF93,"&lt;0")*COUNTIF(C93:AF93,"&gt;0")=0,0,IRR(C93:AF93))</f>
        <v>0.10595159476566507</v>
      </c>
      <c r="G20" s="53">
        <f>IF(COUNTIF(C94:AF94,"&lt;0")*COUNTIF(C94:AF94,"&gt;0")=0,0,IRR(C94:AF94))</f>
        <v>0.10105023115945344</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-2690.6</v>
      </c>
      <c r="D40" s="55">
        <f>Project_CF!D24+(Energy_Revenue!D14*-0.0999999999999999)*(1-Dep_Tax!D24)</f>
        <v>-3791.3</v>
      </c>
      <c r="E40" s="55">
        <f>Project_CF!E24+(Energy_Revenue!E14*-0.0999999999999999)*(1-Dep_Tax!E24)</f>
        <v>1014.0752464000001</v>
      </c>
      <c r="F40" s="55">
        <f>Project_CF!F24+(Energy_Revenue!F14*-0.0999999999999999)*(1-Dep_Tax!F24)</f>
        <v>658.5490218253442</v>
      </c>
      <c r="G40" s="55">
        <f>Project_CF!G24+(Energy_Revenue!G14*-0.0999999999999999)*(1-Dep_Tax!G24)</f>
        <v>670.12208041732742</v>
      </c>
      <c r="H40" s="55">
        <f>Project_CF!H24+(Energy_Revenue!H14*-0.0999999999999999)*(1-Dep_Tax!H24)</f>
        <v>681.89790150482247</v>
      </c>
      <c r="I40" s="55">
        <f>Project_CF!I24+(Energy_Revenue!I14*-0.0999999999999999)*(1-Dep_Tax!I24)</f>
        <v>675.38848053903746</v>
      </c>
      <c r="J40" s="55">
        <f>Project_CF!J24+(Energy_Revenue!J14*-0.0999999999999999)*(1-Dep_Tax!J24)</f>
        <v>686.97090626780403</v>
      </c>
      <c r="K40" s="55">
        <f>Project_CF!K24+(Energy_Revenue!K14*-0.0999999999999999)*(1-Dep_Tax!K24)</f>
        <v>698.75622125753443</v>
      </c>
      <c r="L40" s="55">
        <f>Project_CF!L24+(Energy_Revenue!L14*-0.0999999999999999)*(1-Dep_Tax!L24)</f>
        <v>710.74796677725294</v>
      </c>
      <c r="M40" s="55">
        <f>Project_CF!M24+(Energy_Revenue!M14*-0.0999999999999999)*(1-Dep_Tax!M24)</f>
        <v>722.94974564473409</v>
      </c>
      <c r="N40" s="55">
        <f>Project_CF!N24+(Energy_Revenue!N14*-0.0999999999999999)*(1-Dep_Tax!N24)</f>
        <v>735.36522329086779</v>
      </c>
      <c r="O40" s="55">
        <f>Project_CF!O24+(Energy_Revenue!O14*-0.0999999999999999)*(1-Dep_Tax!O24)</f>
        <v>747.99812884232256</v>
      </c>
      <c r="P40" s="55">
        <f>Project_CF!P24+(Energy_Revenue!P14*-0.0999999999999999)*(1-Dep_Tax!P24)</f>
        <v>760.85225622281382</v>
      </c>
      <c r="Q40" s="55">
        <f>Project_CF!Q24+(Energy_Revenue!Q14*-0.0999999999999999)*(1-Dep_Tax!Q24)</f>
        <v>773.93146527329839</v>
      </c>
      <c r="R40" s="55">
        <f>Project_CF!R24+(Energy_Revenue!R14*-0.0999999999999999)*(1-Dep_Tax!R24)</f>
        <v>762.86123313397002</v>
      </c>
      <c r="S40" s="55">
        <f>Project_CF!S24+(Energy_Revenue!S14*-0.0999999999999999)*(1-Dep_Tax!S24)</f>
        <v>775.68975857520593</v>
      </c>
      <c r="T40" s="55">
        <f>Project_CF!T24+(Energy_Revenue!T14*-0.0999999999999999)*(1-Dep_Tax!T24)</f>
        <v>737.11023743979354</v>
      </c>
      <c r="U40" s="55">
        <f>Project_CF!U24+(Energy_Revenue!U14*-0.0999999999999999)*(1-Dep_Tax!U24)</f>
        <v>748.91612609553999</v>
      </c>
      <c r="V40" s="55">
        <f>Project_CF!V24+(Energy_Revenue!V14*-0.0999999999999999)*(1-Dep_Tax!V24)</f>
        <v>760.92867597740872</v>
      </c>
      <c r="W40" s="55">
        <f>Project_CF!W24+(Energy_Revenue!W14*-0.0999999999999999)*(1-Dep_Tax!W24)</f>
        <v>773.15149127033669</v>
      </c>
      <c r="X40" s="55">
        <f>Project_CF!X24+(Energy_Revenue!X14*-0.0999999999999999)*(1-Dep_Tax!X24)</f>
        <v>785.58823874141171</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-2690.6</v>
      </c>
      <c r="D41" s="55">
        <f>Project_CF!D24+(Energy_Revenue!D14*-0.05)*(1-Dep_Tax!D24)</f>
        <v>-3791.3</v>
      </c>
      <c r="E41" s="55">
        <f>Project_CF!E24+(Energy_Revenue!E14*-0.05)*(1-Dep_Tax!E24)</f>
        <v>1056.8238712</v>
      </c>
      <c r="F41" s="55">
        <f>Project_CF!F24+(Energy_Revenue!F14*-0.05)*(1-Dep_Tax!F24)</f>
        <v>702.06541192675218</v>
      </c>
      <c r="G41" s="55">
        <f>Project_CF!G24+(Energy_Revenue!G14*-0.05)*(1-Dep_Tax!G24)</f>
        <v>714.42002488495655</v>
      </c>
      <c r="H41" s="55">
        <f>Project_CF!H24+(Energy_Revenue!H14*-0.05)*(1-Dep_Tax!H24)</f>
        <v>726.99143705509027</v>
      </c>
      <c r="I41" s="55">
        <f>Project_CF!I24+(Energy_Revenue!I14*-0.05)*(1-Dep_Tax!I24)</f>
        <v>718.99672521535047</v>
      </c>
      <c r="J41" s="55">
        <f>Project_CF!J24+(Energy_Revenue!J14*-0.05)*(1-Dep_Tax!J24)</f>
        <v>731.36235501850376</v>
      </c>
      <c r="K41" s="55">
        <f>Project_CF!K24+(Energy_Revenue!K14*-0.05)*(1-Dep_Tax!K24)</f>
        <v>743.94494042779661</v>
      </c>
      <c r="L41" s="55">
        <f>Project_CF!L24+(Energy_Revenue!L14*-0.05)*(1-Dep_Tax!L24)</f>
        <v>756.74827534381313</v>
      </c>
      <c r="M41" s="55">
        <f>Project_CF!M24+(Energy_Revenue!M14*-0.05)*(1-Dep_Tax!M24)</f>
        <v>769.77621975314958</v>
      </c>
      <c r="N41" s="55">
        <f>Project_CF!N24+(Energy_Revenue!N14*-0.05)*(1-Dep_Tax!N24)</f>
        <v>783.03270087427052</v>
      </c>
      <c r="O41" s="55">
        <f>Project_CF!O24+(Energy_Revenue!O14*-0.05)*(1-Dep_Tax!O24)</f>
        <v>796.52171432312321</v>
      </c>
      <c r="P41" s="55">
        <f>Project_CF!P24+(Energy_Revenue!P14*-0.05)*(1-Dep_Tax!P24)</f>
        <v>810.24732529884955</v>
      </c>
      <c r="Q41" s="55">
        <f>Project_CF!Q24+(Energy_Revenue!Q14*-0.05)*(1-Dep_Tax!Q24)</f>
        <v>824.21366978993979</v>
      </c>
      <c r="R41" s="55">
        <f>Project_CF!R24+(Energy_Revenue!R14*-0.05)*(1-Dep_Tax!R24)</f>
        <v>811.35254431163764</v>
      </c>
      <c r="S41" s="55">
        <f>Project_CF!S24+(Energy_Revenue!S14*-0.05)*(1-Dep_Tax!S24)</f>
        <v>825.05197370162455</v>
      </c>
      <c r="T41" s="55">
        <f>Project_CF!T24+(Energy_Revenue!T14*-0.05)*(1-Dep_Tax!T24)</f>
        <v>781.77580233765036</v>
      </c>
      <c r="U41" s="55">
        <f>Project_CF!U24+(Energy_Revenue!U14*-0.05)*(1-Dep_Tax!U24)</f>
        <v>794.38388453896243</v>
      </c>
      <c r="V41" s="55">
        <f>Project_CF!V24+(Energy_Revenue!V14*-0.05)*(1-Dep_Tax!V24)</f>
        <v>807.21303536247501</v>
      </c>
      <c r="W41" s="55">
        <f>Project_CF!W24+(Energy_Revenue!W14*-0.05)*(1-Dep_Tax!W24)</f>
        <v>820.26711774995886</v>
      </c>
      <c r="X41" s="55">
        <f>Project_CF!X24+(Energy_Revenue!X14*-0.05)*(1-Dep_Tax!X24)</f>
        <v>833.55006187260778</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-2690.6</v>
      </c>
      <c r="D42" s="55">
        <f>Project_CF!D24+(Energy_Revenue!D14*0)*(1-Dep_Tax!D24)</f>
        <v>-3791.3</v>
      </c>
      <c r="E42" s="55">
        <f>Project_CF!E24+(Energy_Revenue!E14*0)*(1-Dep_Tax!E24)</f>
        <v>1099.572496</v>
      </c>
      <c r="F42" s="55">
        <f>Project_CF!F24+(Energy_Revenue!F14*0)*(1-Dep_Tax!F24)</f>
        <v>745.58180202816015</v>
      </c>
      <c r="G42" s="55">
        <f>Project_CF!G24+(Energy_Revenue!G14*0)*(1-Dep_Tax!G24)</f>
        <v>758.7179693525859</v>
      </c>
      <c r="H42" s="55">
        <f>Project_CF!H24+(Energy_Revenue!H14*0)*(1-Dep_Tax!H24)</f>
        <v>772.08497260535819</v>
      </c>
      <c r="I42" s="55">
        <f>Project_CF!I24+(Energy_Revenue!I14*0)*(1-Dep_Tax!I24)</f>
        <v>762.6049698916637</v>
      </c>
      <c r="J42" s="55">
        <f>Project_CF!J24+(Energy_Revenue!J14*0)*(1-Dep_Tax!J24)</f>
        <v>775.7538037692035</v>
      </c>
      <c r="K42" s="55">
        <f>Project_CF!K24+(Energy_Revenue!K14*0)*(1-Dep_Tax!K24)</f>
        <v>789.13365959805901</v>
      </c>
      <c r="L42" s="55">
        <f>Project_CF!L24+(Energy_Revenue!L14*0)*(1-Dep_Tax!L24)</f>
        <v>802.74858391037333</v>
      </c>
      <c r="M42" s="55">
        <f>Project_CF!M24+(Energy_Revenue!M14*0)*(1-Dep_Tax!M24)</f>
        <v>816.60269386156529</v>
      </c>
      <c r="N42" s="55">
        <f>Project_CF!N24+(Energy_Revenue!N14*0)*(1-Dep_Tax!N24)</f>
        <v>830.70017845767336</v>
      </c>
      <c r="O42" s="55">
        <f>Project_CF!O24+(Energy_Revenue!O14*0)*(1-Dep_Tax!O24)</f>
        <v>845.04529980392397</v>
      </c>
      <c r="P42" s="55">
        <f>Project_CF!P24+(Energy_Revenue!P14*0)*(1-Dep_Tax!P24)</f>
        <v>859.6423943748855</v>
      </c>
      <c r="Q42" s="55">
        <f>Project_CF!Q24+(Energy_Revenue!Q14*0)*(1-Dep_Tax!Q24)</f>
        <v>874.4958743065813</v>
      </c>
      <c r="R42" s="55">
        <f>Project_CF!R24+(Energy_Revenue!R14*0)*(1-Dep_Tax!R24)</f>
        <v>859.84385548930538</v>
      </c>
      <c r="S42" s="55">
        <f>Project_CF!S24+(Energy_Revenue!S14*0)*(1-Dep_Tax!S24)</f>
        <v>874.41418882804317</v>
      </c>
      <c r="T42" s="55">
        <f>Project_CF!T24+(Energy_Revenue!T14*0)*(1-Dep_Tax!T24)</f>
        <v>826.44136723550741</v>
      </c>
      <c r="U42" s="55">
        <f>Project_CF!U24+(Energy_Revenue!U14*0)*(1-Dep_Tax!U24)</f>
        <v>839.85164298238499</v>
      </c>
      <c r="V42" s="55">
        <f>Project_CF!V24+(Energy_Revenue!V14*0)*(1-Dep_Tax!V24)</f>
        <v>853.49739474754142</v>
      </c>
      <c r="W42" s="55">
        <f>Project_CF!W24+(Energy_Revenue!W14*0)*(1-Dep_Tax!W24)</f>
        <v>867.38274422958102</v>
      </c>
      <c r="X42" s="55">
        <f>Project_CF!X24+(Energy_Revenue!X14*0)*(1-Dep_Tax!X24)</f>
        <v>881.51188500380397</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-2690.6</v>
      </c>
      <c r="D43" s="55">
        <f>Project_CF!D24+(Energy_Revenue!D14*0.05)*(1-Dep_Tax!D24)</f>
        <v>-3791.3</v>
      </c>
      <c r="E43" s="55">
        <f>Project_CF!E24+(Energy_Revenue!E14*0.05)*(1-Dep_Tax!E24)</f>
        <v>1142.3211208</v>
      </c>
      <c r="F43" s="55">
        <f>Project_CF!F24+(Energy_Revenue!F14*0.05)*(1-Dep_Tax!F24)</f>
        <v>789.09819212956813</v>
      </c>
      <c r="G43" s="55">
        <f>Project_CF!G24+(Energy_Revenue!G14*0.05)*(1-Dep_Tax!G24)</f>
        <v>803.01591382021525</v>
      </c>
      <c r="H43" s="55">
        <f>Project_CF!H24+(Energy_Revenue!H14*0.05)*(1-Dep_Tax!H24)</f>
        <v>817.1785081556261</v>
      </c>
      <c r="I43" s="55">
        <f>Project_CF!I24+(Energy_Revenue!I14*0.05)*(1-Dep_Tax!I24)</f>
        <v>806.21321456797693</v>
      </c>
      <c r="J43" s="55">
        <f>Project_CF!J24+(Energy_Revenue!J14*0.05)*(1-Dep_Tax!J24)</f>
        <v>820.14525251990324</v>
      </c>
      <c r="K43" s="55">
        <f>Project_CF!K24+(Energy_Revenue!K14*0.05)*(1-Dep_Tax!K24)</f>
        <v>834.32237876832141</v>
      </c>
      <c r="L43" s="55">
        <f>Project_CF!L24+(Energy_Revenue!L14*0.05)*(1-Dep_Tax!L24)</f>
        <v>848.74889247693352</v>
      </c>
      <c r="M43" s="55">
        <f>Project_CF!M24+(Energy_Revenue!M14*0.05)*(1-Dep_Tax!M24)</f>
        <v>863.42916796998099</v>
      </c>
      <c r="N43" s="55">
        <f>Project_CF!N24+(Energy_Revenue!N14*0.05)*(1-Dep_Tax!N24)</f>
        <v>878.3676560410762</v>
      </c>
      <c r="O43" s="55">
        <f>Project_CF!O24+(Energy_Revenue!O14*0.05)*(1-Dep_Tax!O24)</f>
        <v>893.56888528472473</v>
      </c>
      <c r="P43" s="55">
        <f>Project_CF!P24+(Energy_Revenue!P14*0.05)*(1-Dep_Tax!P24)</f>
        <v>909.03746345092145</v>
      </c>
      <c r="Q43" s="55">
        <f>Project_CF!Q24+(Energy_Revenue!Q14*0.05)*(1-Dep_Tax!Q24)</f>
        <v>924.77807882322281</v>
      </c>
      <c r="R43" s="55">
        <f>Project_CF!R24+(Energy_Revenue!R14*0.05)*(1-Dep_Tax!R24)</f>
        <v>908.33516666697312</v>
      </c>
      <c r="S43" s="55">
        <f>Project_CF!S24+(Energy_Revenue!S14*0.05)*(1-Dep_Tax!S24)</f>
        <v>923.77640395446178</v>
      </c>
      <c r="T43" s="55">
        <f>Project_CF!T24+(Energy_Revenue!T14*0.05)*(1-Dep_Tax!T24)</f>
        <v>871.10693213336447</v>
      </c>
      <c r="U43" s="55">
        <f>Project_CF!U24+(Energy_Revenue!U14*0.05)*(1-Dep_Tax!U24)</f>
        <v>885.31940142580754</v>
      </c>
      <c r="V43" s="55">
        <f>Project_CF!V24+(Energy_Revenue!V14*0.05)*(1-Dep_Tax!V24)</f>
        <v>899.78175413260783</v>
      </c>
      <c r="W43" s="55">
        <f>Project_CF!W24+(Energy_Revenue!W14*0.05)*(1-Dep_Tax!W24)</f>
        <v>914.49837070920319</v>
      </c>
      <c r="X43" s="55">
        <f>Project_CF!X24+(Energy_Revenue!X14*0.05)*(1-Dep_Tax!X24)</f>
        <v>929.47370813500015</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-2690.6</v>
      </c>
      <c r="D44" s="55">
        <f>Project_CF!D24+(Energy_Revenue!D14*0.1)*(1-Dep_Tax!D24)</f>
        <v>-3791.3</v>
      </c>
      <c r="E44" s="55">
        <f>Project_CF!E24+(Energy_Revenue!E14*0.1)*(1-Dep_Tax!E24)</f>
        <v>1185.0697456</v>
      </c>
      <c r="F44" s="55">
        <f>Project_CF!F24+(Energy_Revenue!F14*0.1)*(1-Dep_Tax!F24)</f>
        <v>832.61458223097611</v>
      </c>
      <c r="G44" s="55">
        <f>Project_CF!G24+(Energy_Revenue!G14*0.1)*(1-Dep_Tax!G24)</f>
        <v>847.31385828784448</v>
      </c>
      <c r="H44" s="55">
        <f>Project_CF!H24+(Energy_Revenue!H14*0.1)*(1-Dep_Tax!H24)</f>
        <v>862.27204370589402</v>
      </c>
      <c r="I44" s="55">
        <f>Project_CF!I24+(Energy_Revenue!I14*0.1)*(1-Dep_Tax!I24)</f>
        <v>849.82145924429005</v>
      </c>
      <c r="J44" s="55">
        <f>Project_CF!J24+(Energy_Revenue!J14*0.1)*(1-Dep_Tax!J24)</f>
        <v>864.53670127060309</v>
      </c>
      <c r="K44" s="55">
        <f>Project_CF!K24+(Energy_Revenue!K14*0.1)*(1-Dep_Tax!K24)</f>
        <v>879.5110979385837</v>
      </c>
      <c r="L44" s="55">
        <f>Project_CF!L24+(Energy_Revenue!L14*0.1)*(1-Dep_Tax!L24)</f>
        <v>894.74920104349383</v>
      </c>
      <c r="M44" s="55">
        <f>Project_CF!M24+(Energy_Revenue!M14*0.1)*(1-Dep_Tax!M24)</f>
        <v>910.25564207839659</v>
      </c>
      <c r="N44" s="55">
        <f>Project_CF!N24+(Energy_Revenue!N14*0.1)*(1-Dep_Tax!N24)</f>
        <v>926.03513362447904</v>
      </c>
      <c r="O44" s="55">
        <f>Project_CF!O24+(Energy_Revenue!O14*0.1)*(1-Dep_Tax!O24)</f>
        <v>942.09247076552549</v>
      </c>
      <c r="P44" s="55">
        <f>Project_CF!P24+(Energy_Revenue!P14*0.1)*(1-Dep_Tax!P24)</f>
        <v>958.43253252695729</v>
      </c>
      <c r="Q44" s="55">
        <f>Project_CF!Q24+(Energy_Revenue!Q14*0.1)*(1-Dep_Tax!Q24)</f>
        <v>975.06028333986433</v>
      </c>
      <c r="R44" s="55">
        <f>Project_CF!R24+(Energy_Revenue!R14*0.1)*(1-Dep_Tax!R24)</f>
        <v>956.82647784464086</v>
      </c>
      <c r="S44" s="55">
        <f>Project_CF!S24+(Energy_Revenue!S14*0.1)*(1-Dep_Tax!S24)</f>
        <v>973.13861908088052</v>
      </c>
      <c r="T44" s="55">
        <f>Project_CF!T24+(Energy_Revenue!T14*0.1)*(1-Dep_Tax!T24)</f>
        <v>915.77249703122141</v>
      </c>
      <c r="U44" s="55">
        <f>Project_CF!U24+(Energy_Revenue!U14*0.1)*(1-Dep_Tax!U24)</f>
        <v>930.78715986923009</v>
      </c>
      <c r="V44" s="55">
        <f>Project_CF!V24+(Energy_Revenue!V14*0.1)*(1-Dep_Tax!V24)</f>
        <v>946.06611351767424</v>
      </c>
      <c r="W44" s="55">
        <f>Project_CF!W24+(Energy_Revenue!W14*0.1)*(1-Dep_Tax!W24)</f>
        <v>961.61399718882535</v>
      </c>
      <c r="X44" s="55">
        <f>Project_CF!X24+(Energy_Revenue!X14*0.1)*(1-Dep_Tax!X24)</f>
        <v>977.43553126619634</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-2690.6</v>
      </c>
      <c r="D45" s="55">
        <f>Project_CF!D24+(Energy_Revenue!D14*-0.0999999999999999)*(1-Dep_Tax!D24)</f>
        <v>-3791.3</v>
      </c>
      <c r="E45" s="55">
        <f>Project_CF!E24+(Energy_Revenue!E14*-0.0999999999999999)*(1-Dep_Tax!E24)</f>
        <v>1014.0752464000001</v>
      </c>
      <c r="F45" s="55">
        <f>Project_CF!F24+(Energy_Revenue!F14*-0.0999999999999999)*(1-Dep_Tax!F24)</f>
        <v>658.5490218253442</v>
      </c>
      <c r="G45" s="55">
        <f>Project_CF!G24+(Energy_Revenue!G14*-0.0999999999999999)*(1-Dep_Tax!G24)</f>
        <v>670.12208041732742</v>
      </c>
      <c r="H45" s="55">
        <f>Project_CF!H24+(Energy_Revenue!H14*-0.0999999999999999)*(1-Dep_Tax!H24)</f>
        <v>681.89790150482247</v>
      </c>
      <c r="I45" s="55">
        <f>Project_CF!I24+(Energy_Revenue!I14*-0.0999999999999999)*(1-Dep_Tax!I24)</f>
        <v>675.38848053903746</v>
      </c>
      <c r="J45" s="55">
        <f>Project_CF!J24+(Energy_Revenue!J14*-0.0999999999999999)*(1-Dep_Tax!J24)</f>
        <v>686.97090626780403</v>
      </c>
      <c r="K45" s="55">
        <f>Project_CF!K24+(Energy_Revenue!K14*-0.0999999999999999)*(1-Dep_Tax!K24)</f>
        <v>698.75622125753443</v>
      </c>
      <c r="L45" s="55">
        <f>Project_CF!L24+(Energy_Revenue!L14*-0.0999999999999999)*(1-Dep_Tax!L24)</f>
        <v>710.74796677725294</v>
      </c>
      <c r="M45" s="55">
        <f>Project_CF!M24+(Energy_Revenue!M14*-0.0999999999999999)*(1-Dep_Tax!M24)</f>
        <v>722.94974564473409</v>
      </c>
      <c r="N45" s="55">
        <f>Project_CF!N24+(Energy_Revenue!N14*-0.0999999999999999)*(1-Dep_Tax!N24)</f>
        <v>735.36522329086779</v>
      </c>
      <c r="O45" s="55">
        <f>Project_CF!O24+(Energy_Revenue!O14*-0.0999999999999999)*(1-Dep_Tax!O24)</f>
        <v>747.99812884232256</v>
      </c>
      <c r="P45" s="55">
        <f>Project_CF!P24+(Energy_Revenue!P14*-0.0999999999999999)*(1-Dep_Tax!P24)</f>
        <v>760.85225622281382</v>
      </c>
      <c r="Q45" s="55">
        <f>Project_CF!Q24+(Energy_Revenue!Q14*-0.0999999999999999)*(1-Dep_Tax!Q24)</f>
        <v>773.93146527329839</v>
      </c>
      <c r="R45" s="55">
        <f>Project_CF!R24+(Energy_Revenue!R14*-0.0999999999999999)*(1-Dep_Tax!R24)</f>
        <v>762.86123313397002</v>
      </c>
      <c r="S45" s="55">
        <f>Project_CF!S24+(Energy_Revenue!S14*-0.0999999999999999)*(1-Dep_Tax!S24)</f>
        <v>775.68975857520593</v>
      </c>
      <c r="T45" s="55">
        <f>Project_CF!T24+(Energy_Revenue!T14*-0.0999999999999999)*(1-Dep_Tax!T24)</f>
        <v>737.11023743979354</v>
      </c>
      <c r="U45" s="55">
        <f>Project_CF!U24+(Energy_Revenue!U14*-0.0999999999999999)*(1-Dep_Tax!U24)</f>
        <v>748.91612609553999</v>
      </c>
      <c r="V45" s="55">
        <f>Project_CF!V24+(Energy_Revenue!V14*-0.0999999999999999)*(1-Dep_Tax!V24)</f>
        <v>760.92867597740872</v>
      </c>
      <c r="W45" s="55">
        <f>Project_CF!W24+(Energy_Revenue!W14*-0.0999999999999999)*(1-Dep_Tax!W24)</f>
        <v>773.15149127033669</v>
      </c>
      <c r="X45" s="55">
        <f>Project_CF!X24+(Energy_Revenue!X14*-0.0999999999999999)*(1-Dep_Tax!X24)</f>
        <v>785.58823874141171</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-2690.6</v>
      </c>
      <c r="D46" s="55">
        <f>Project_CF!D24+(Energy_Revenue!D14*-0.05)*(1-Dep_Tax!D24)</f>
        <v>-3791.3</v>
      </c>
      <c r="E46" s="55">
        <f>Project_CF!E24+(Energy_Revenue!E14*-0.05)*(1-Dep_Tax!E24)</f>
        <v>1056.8238712</v>
      </c>
      <c r="F46" s="55">
        <f>Project_CF!F24+(Energy_Revenue!F14*-0.05)*(1-Dep_Tax!F24)</f>
        <v>702.06541192675218</v>
      </c>
      <c r="G46" s="55">
        <f>Project_CF!G24+(Energy_Revenue!G14*-0.05)*(1-Dep_Tax!G24)</f>
        <v>714.42002488495655</v>
      </c>
      <c r="H46" s="55">
        <f>Project_CF!H24+(Energy_Revenue!H14*-0.05)*(1-Dep_Tax!H24)</f>
        <v>726.99143705509027</v>
      </c>
      <c r="I46" s="55">
        <f>Project_CF!I24+(Energy_Revenue!I14*-0.05)*(1-Dep_Tax!I24)</f>
        <v>718.99672521535047</v>
      </c>
      <c r="J46" s="55">
        <f>Project_CF!J24+(Energy_Revenue!J14*-0.05)*(1-Dep_Tax!J24)</f>
        <v>731.36235501850376</v>
      </c>
      <c r="K46" s="55">
        <f>Project_CF!K24+(Energy_Revenue!K14*-0.05)*(1-Dep_Tax!K24)</f>
        <v>743.94494042779661</v>
      </c>
      <c r="L46" s="55">
        <f>Project_CF!L24+(Energy_Revenue!L14*-0.05)*(1-Dep_Tax!L24)</f>
        <v>756.74827534381313</v>
      </c>
      <c r="M46" s="55">
        <f>Project_CF!M24+(Energy_Revenue!M14*-0.05)*(1-Dep_Tax!M24)</f>
        <v>769.77621975314958</v>
      </c>
      <c r="N46" s="55">
        <f>Project_CF!N24+(Energy_Revenue!N14*-0.05)*(1-Dep_Tax!N24)</f>
        <v>783.03270087427052</v>
      </c>
      <c r="O46" s="55">
        <f>Project_CF!O24+(Energy_Revenue!O14*-0.05)*(1-Dep_Tax!O24)</f>
        <v>796.52171432312321</v>
      </c>
      <c r="P46" s="55">
        <f>Project_CF!P24+(Energy_Revenue!P14*-0.05)*(1-Dep_Tax!P24)</f>
        <v>810.24732529884955</v>
      </c>
      <c r="Q46" s="55">
        <f>Project_CF!Q24+(Energy_Revenue!Q14*-0.05)*(1-Dep_Tax!Q24)</f>
        <v>824.21366978993979</v>
      </c>
      <c r="R46" s="55">
        <f>Project_CF!R24+(Energy_Revenue!R14*-0.05)*(1-Dep_Tax!R24)</f>
        <v>811.35254431163764</v>
      </c>
      <c r="S46" s="55">
        <f>Project_CF!S24+(Energy_Revenue!S14*-0.05)*(1-Dep_Tax!S24)</f>
        <v>825.05197370162455</v>
      </c>
      <c r="T46" s="55">
        <f>Project_CF!T24+(Energy_Revenue!T14*-0.05)*(1-Dep_Tax!T24)</f>
        <v>781.77580233765036</v>
      </c>
      <c r="U46" s="55">
        <f>Project_CF!U24+(Energy_Revenue!U14*-0.05)*(1-Dep_Tax!U24)</f>
        <v>794.38388453896243</v>
      </c>
      <c r="V46" s="55">
        <f>Project_CF!V24+(Energy_Revenue!V14*-0.05)*(1-Dep_Tax!V24)</f>
        <v>807.21303536247501</v>
      </c>
      <c r="W46" s="55">
        <f>Project_CF!W24+(Energy_Revenue!W14*-0.05)*(1-Dep_Tax!W24)</f>
        <v>820.26711774995886</v>
      </c>
      <c r="X46" s="55">
        <f>Project_CF!X24+(Energy_Revenue!X14*-0.05)*(1-Dep_Tax!X24)</f>
        <v>833.55006187260778</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-2690.6</v>
      </c>
      <c r="D47" s="55">
        <f>Project_CF!D24+(Energy_Revenue!D14*0)*(1-Dep_Tax!D24)</f>
        <v>-3791.3</v>
      </c>
      <c r="E47" s="55">
        <f>Project_CF!E24+(Energy_Revenue!E14*0)*(1-Dep_Tax!E24)</f>
        <v>1099.572496</v>
      </c>
      <c r="F47" s="55">
        <f>Project_CF!F24+(Energy_Revenue!F14*0)*(1-Dep_Tax!F24)</f>
        <v>745.58180202816015</v>
      </c>
      <c r="G47" s="55">
        <f>Project_CF!G24+(Energy_Revenue!G14*0)*(1-Dep_Tax!G24)</f>
        <v>758.7179693525859</v>
      </c>
      <c r="H47" s="55">
        <f>Project_CF!H24+(Energy_Revenue!H14*0)*(1-Dep_Tax!H24)</f>
        <v>772.08497260535819</v>
      </c>
      <c r="I47" s="55">
        <f>Project_CF!I24+(Energy_Revenue!I14*0)*(1-Dep_Tax!I24)</f>
        <v>762.6049698916637</v>
      </c>
      <c r="J47" s="55">
        <f>Project_CF!J24+(Energy_Revenue!J14*0)*(1-Dep_Tax!J24)</f>
        <v>775.7538037692035</v>
      </c>
      <c r="K47" s="55">
        <f>Project_CF!K24+(Energy_Revenue!K14*0)*(1-Dep_Tax!K24)</f>
        <v>789.13365959805901</v>
      </c>
      <c r="L47" s="55">
        <f>Project_CF!L24+(Energy_Revenue!L14*0)*(1-Dep_Tax!L24)</f>
        <v>802.74858391037333</v>
      </c>
      <c r="M47" s="55">
        <f>Project_CF!M24+(Energy_Revenue!M14*0)*(1-Dep_Tax!M24)</f>
        <v>816.60269386156529</v>
      </c>
      <c r="N47" s="55">
        <f>Project_CF!N24+(Energy_Revenue!N14*0)*(1-Dep_Tax!N24)</f>
        <v>830.70017845767336</v>
      </c>
      <c r="O47" s="55">
        <f>Project_CF!O24+(Energy_Revenue!O14*0)*(1-Dep_Tax!O24)</f>
        <v>845.04529980392397</v>
      </c>
      <c r="P47" s="55">
        <f>Project_CF!P24+(Energy_Revenue!P14*0)*(1-Dep_Tax!P24)</f>
        <v>859.6423943748855</v>
      </c>
      <c r="Q47" s="55">
        <f>Project_CF!Q24+(Energy_Revenue!Q14*0)*(1-Dep_Tax!Q24)</f>
        <v>874.4958743065813</v>
      </c>
      <c r="R47" s="55">
        <f>Project_CF!R24+(Energy_Revenue!R14*0)*(1-Dep_Tax!R24)</f>
        <v>859.84385548930538</v>
      </c>
      <c r="S47" s="55">
        <f>Project_CF!S24+(Energy_Revenue!S14*0)*(1-Dep_Tax!S24)</f>
        <v>874.41418882804317</v>
      </c>
      <c r="T47" s="55">
        <f>Project_CF!T24+(Energy_Revenue!T14*0)*(1-Dep_Tax!T24)</f>
        <v>826.44136723550741</v>
      </c>
      <c r="U47" s="55">
        <f>Project_CF!U24+(Energy_Revenue!U14*0)*(1-Dep_Tax!U24)</f>
        <v>839.85164298238499</v>
      </c>
      <c r="V47" s="55">
        <f>Project_CF!V24+(Energy_Revenue!V14*0)*(1-Dep_Tax!V24)</f>
        <v>853.49739474754142</v>
      </c>
      <c r="W47" s="55">
        <f>Project_CF!W24+(Energy_Revenue!W14*0)*(1-Dep_Tax!W24)</f>
        <v>867.38274422958102</v>
      </c>
      <c r="X47" s="55">
        <f>Project_CF!X24+(Energy_Revenue!X14*0)*(1-Dep_Tax!X24)</f>
        <v>881.51188500380397</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-2690.6</v>
      </c>
      <c r="D48" s="55">
        <f>Project_CF!D24+(Energy_Revenue!D14*0.05)*(1-Dep_Tax!D24)</f>
        <v>-3791.3</v>
      </c>
      <c r="E48" s="55">
        <f>Project_CF!E24+(Energy_Revenue!E14*0.05)*(1-Dep_Tax!E24)</f>
        <v>1142.3211208</v>
      </c>
      <c r="F48" s="55">
        <f>Project_CF!F24+(Energy_Revenue!F14*0.05)*(1-Dep_Tax!F24)</f>
        <v>789.09819212956813</v>
      </c>
      <c r="G48" s="55">
        <f>Project_CF!G24+(Energy_Revenue!G14*0.05)*(1-Dep_Tax!G24)</f>
        <v>803.01591382021525</v>
      </c>
      <c r="H48" s="55">
        <f>Project_CF!H24+(Energy_Revenue!H14*0.05)*(1-Dep_Tax!H24)</f>
        <v>817.1785081556261</v>
      </c>
      <c r="I48" s="55">
        <f>Project_CF!I24+(Energy_Revenue!I14*0.05)*(1-Dep_Tax!I24)</f>
        <v>806.21321456797693</v>
      </c>
      <c r="J48" s="55">
        <f>Project_CF!J24+(Energy_Revenue!J14*0.05)*(1-Dep_Tax!J24)</f>
        <v>820.14525251990324</v>
      </c>
      <c r="K48" s="55">
        <f>Project_CF!K24+(Energy_Revenue!K14*0.05)*(1-Dep_Tax!K24)</f>
        <v>834.32237876832141</v>
      </c>
      <c r="L48" s="55">
        <f>Project_CF!L24+(Energy_Revenue!L14*0.05)*(1-Dep_Tax!L24)</f>
        <v>848.74889247693352</v>
      </c>
      <c r="M48" s="55">
        <f>Project_CF!M24+(Energy_Revenue!M14*0.05)*(1-Dep_Tax!M24)</f>
        <v>863.42916796998099</v>
      </c>
      <c r="N48" s="55">
        <f>Project_CF!N24+(Energy_Revenue!N14*0.05)*(1-Dep_Tax!N24)</f>
        <v>878.3676560410762</v>
      </c>
      <c r="O48" s="55">
        <f>Project_CF!O24+(Energy_Revenue!O14*0.05)*(1-Dep_Tax!O24)</f>
        <v>893.56888528472473</v>
      </c>
      <c r="P48" s="55">
        <f>Project_CF!P24+(Energy_Revenue!P14*0.05)*(1-Dep_Tax!P24)</f>
        <v>909.03746345092145</v>
      </c>
      <c r="Q48" s="55">
        <f>Project_CF!Q24+(Energy_Revenue!Q14*0.05)*(1-Dep_Tax!Q24)</f>
        <v>924.77807882322281</v>
      </c>
      <c r="R48" s="55">
        <f>Project_CF!R24+(Energy_Revenue!R14*0.05)*(1-Dep_Tax!R24)</f>
        <v>908.33516666697312</v>
      </c>
      <c r="S48" s="55">
        <f>Project_CF!S24+(Energy_Revenue!S14*0.05)*(1-Dep_Tax!S24)</f>
        <v>923.77640395446178</v>
      </c>
      <c r="T48" s="55">
        <f>Project_CF!T24+(Energy_Revenue!T14*0.05)*(1-Dep_Tax!T24)</f>
        <v>871.10693213336447</v>
      </c>
      <c r="U48" s="55">
        <f>Project_CF!U24+(Energy_Revenue!U14*0.05)*(1-Dep_Tax!U24)</f>
        <v>885.31940142580754</v>
      </c>
      <c r="V48" s="55">
        <f>Project_CF!V24+(Energy_Revenue!V14*0.05)*(1-Dep_Tax!V24)</f>
        <v>899.78175413260783</v>
      </c>
      <c r="W48" s="55">
        <f>Project_CF!W24+(Energy_Revenue!W14*0.05)*(1-Dep_Tax!W24)</f>
        <v>914.49837070920319</v>
      </c>
      <c r="X48" s="55">
        <f>Project_CF!X24+(Energy_Revenue!X14*0.05)*(1-Dep_Tax!X24)</f>
        <v>929.47370813500015</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-2690.6</v>
      </c>
      <c r="D49" s="55">
        <f>Project_CF!D24+(Energy_Revenue!D14*0.1)*(1-Dep_Tax!D24)</f>
        <v>-3791.3</v>
      </c>
      <c r="E49" s="55">
        <f>Project_CF!E24+(Energy_Revenue!E14*0.1)*(1-Dep_Tax!E24)</f>
        <v>1185.0697456</v>
      </c>
      <c r="F49" s="55">
        <f>Project_CF!F24+(Energy_Revenue!F14*0.1)*(1-Dep_Tax!F24)</f>
        <v>832.61458223097611</v>
      </c>
      <c r="G49" s="55">
        <f>Project_CF!G24+(Energy_Revenue!G14*0.1)*(1-Dep_Tax!G24)</f>
        <v>847.31385828784448</v>
      </c>
      <c r="H49" s="55">
        <f>Project_CF!H24+(Energy_Revenue!H14*0.1)*(1-Dep_Tax!H24)</f>
        <v>862.27204370589402</v>
      </c>
      <c r="I49" s="55">
        <f>Project_CF!I24+(Energy_Revenue!I14*0.1)*(1-Dep_Tax!I24)</f>
        <v>849.82145924429005</v>
      </c>
      <c r="J49" s="55">
        <f>Project_CF!J24+(Energy_Revenue!J14*0.1)*(1-Dep_Tax!J24)</f>
        <v>864.53670127060309</v>
      </c>
      <c r="K49" s="55">
        <f>Project_CF!K24+(Energy_Revenue!K14*0.1)*(1-Dep_Tax!K24)</f>
        <v>879.5110979385837</v>
      </c>
      <c r="L49" s="55">
        <f>Project_CF!L24+(Energy_Revenue!L14*0.1)*(1-Dep_Tax!L24)</f>
        <v>894.74920104349383</v>
      </c>
      <c r="M49" s="55">
        <f>Project_CF!M24+(Energy_Revenue!M14*0.1)*(1-Dep_Tax!M24)</f>
        <v>910.25564207839659</v>
      </c>
      <c r="N49" s="55">
        <f>Project_CF!N24+(Energy_Revenue!N14*0.1)*(1-Dep_Tax!N24)</f>
        <v>926.03513362447904</v>
      </c>
      <c r="O49" s="55">
        <f>Project_CF!O24+(Energy_Revenue!O14*0.1)*(1-Dep_Tax!O24)</f>
        <v>942.09247076552549</v>
      </c>
      <c r="P49" s="55">
        <f>Project_CF!P24+(Energy_Revenue!P14*0.1)*(1-Dep_Tax!P24)</f>
        <v>958.43253252695729</v>
      </c>
      <c r="Q49" s="55">
        <f>Project_CF!Q24+(Energy_Revenue!Q14*0.1)*(1-Dep_Tax!Q24)</f>
        <v>975.06028333986433</v>
      </c>
      <c r="R49" s="55">
        <f>Project_CF!R24+(Energy_Revenue!R14*0.1)*(1-Dep_Tax!R24)</f>
        <v>956.82647784464086</v>
      </c>
      <c r="S49" s="55">
        <f>Project_CF!S24+(Energy_Revenue!S14*0.1)*(1-Dep_Tax!S24)</f>
        <v>973.13861908088052</v>
      </c>
      <c r="T49" s="55">
        <f>Project_CF!T24+(Energy_Revenue!T14*0.1)*(1-Dep_Tax!T24)</f>
        <v>915.77249703122141</v>
      </c>
      <c r="U49" s="55">
        <f>Project_CF!U24+(Energy_Revenue!U14*0.1)*(1-Dep_Tax!U24)</f>
        <v>930.78715986923009</v>
      </c>
      <c r="V49" s="55">
        <f>Project_CF!V24+(Energy_Revenue!V14*0.1)*(1-Dep_Tax!V24)</f>
        <v>946.06611351767424</v>
      </c>
      <c r="W49" s="55">
        <f>Project_CF!W24+(Energy_Revenue!W14*0.1)*(1-Dep_Tax!W24)</f>
        <v>961.61399718882535</v>
      </c>
      <c r="X49" s="55">
        <f>Project_CF!X24+(Energy_Revenue!X14*0.1)*(1-Dep_Tax!X24)</f>
        <v>977.43553126619634</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1062.8824959999999</v>
      </c>
      <c r="F50" s="55">
        <f>Project_CF!F24-(CAPEX!F15-CAPEX!F17)*-0.0999999999999999+Dep_Tax!F12*-0.0999999999999999*Dep_Tax!F24</f>
        <v>745.58180202816015</v>
      </c>
      <c r="G50" s="55">
        <f>Project_CF!G24-(CAPEX!G15-CAPEX!G17)*-0.0999999999999999+Dep_Tax!G12*-0.0999999999999999*Dep_Tax!G24</f>
        <v>758.7179693525859</v>
      </c>
      <c r="H50" s="55">
        <f>Project_CF!H24-(CAPEX!H15-CAPEX!H17)*-0.0999999999999999+Dep_Tax!H12*-0.0999999999999999*Dep_Tax!H24</f>
        <v>772.08497260535819</v>
      </c>
      <c r="I50" s="55">
        <f>Project_CF!I24-(CAPEX!I15-CAPEX!I17)*-0.0999999999999999+Dep_Tax!I12*-0.0999999999999999*Dep_Tax!I24</f>
        <v>760.98472420416374</v>
      </c>
      <c r="J50" s="55">
        <f>Project_CF!J24-(CAPEX!J15-CAPEX!J17)*-0.0999999999999999+Dep_Tax!J12*-0.0999999999999999*Dep_Tax!J24</f>
        <v>774.13355808170354</v>
      </c>
      <c r="K50" s="55">
        <f>Project_CF!K24-(CAPEX!K15-CAPEX!K17)*-0.0999999999999999+Dep_Tax!K12*-0.0999999999999999*Dep_Tax!K24</f>
        <v>787.51341391055905</v>
      </c>
      <c r="L50" s="55">
        <f>Project_CF!L24-(CAPEX!L15-CAPEX!L17)*-0.0999999999999999+Dep_Tax!L12*-0.0999999999999999*Dep_Tax!L24</f>
        <v>801.12833822287337</v>
      </c>
      <c r="M50" s="55">
        <f>Project_CF!M24-(CAPEX!M15-CAPEX!M17)*-0.0999999999999999+Dep_Tax!M12*-0.0999999999999999*Dep_Tax!M24</f>
        <v>814.98244817406533</v>
      </c>
      <c r="N50" s="55">
        <f>Project_CF!N24-(CAPEX!N15-CAPEX!N17)*-0.0999999999999999+Dep_Tax!N12*-0.0999999999999999*Dep_Tax!N24</f>
        <v>829.0799327701734</v>
      </c>
      <c r="O50" s="55">
        <f>Project_CF!O24-(CAPEX!O15-CAPEX!O17)*-0.0999999999999999+Dep_Tax!O12*-0.0999999999999999*Dep_Tax!O24</f>
        <v>843.42505411642401</v>
      </c>
      <c r="P50" s="55">
        <f>Project_CF!P24-(CAPEX!P15-CAPEX!P17)*-0.0999999999999999+Dep_Tax!P12*-0.0999999999999999*Dep_Tax!P24</f>
        <v>858.02214868738554</v>
      </c>
      <c r="Q50" s="55">
        <f>Project_CF!Q24-(CAPEX!Q15-CAPEX!Q17)*-0.0999999999999999+Dep_Tax!Q12*-0.0999999999999999*Dep_Tax!Q24</f>
        <v>872.87562861908134</v>
      </c>
      <c r="R50" s="55">
        <f>Project_CF!R24-(CAPEX!R15-CAPEX!R17)*-0.0999999999999999+Dep_Tax!R12*-0.0999999999999999*Dep_Tax!R24</f>
        <v>856.60336411430535</v>
      </c>
      <c r="S50" s="55">
        <f>Project_CF!S24-(CAPEX!S15-CAPEX!S17)*-0.0999999999999999+Dep_Tax!S12*-0.0999999999999999*Dep_Tax!S24</f>
        <v>871.17369745304313</v>
      </c>
      <c r="T50" s="55">
        <f>Project_CF!T24-(CAPEX!T15-CAPEX!T17)*-0.0999999999999999+Dep_Tax!T12*-0.0999999999999999*Dep_Tax!T24</f>
        <v>819.96038448550746</v>
      </c>
      <c r="U50" s="55">
        <f>Project_CF!U24-(CAPEX!U15-CAPEX!U17)*-0.0999999999999999+Dep_Tax!U12*-0.0999999999999999*Dep_Tax!U24</f>
        <v>833.37066023238503</v>
      </c>
      <c r="V50" s="55">
        <f>Project_CF!V24-(CAPEX!V15-CAPEX!V17)*-0.0999999999999999+Dep_Tax!V12*-0.0999999999999999*Dep_Tax!V24</f>
        <v>847.01641199754147</v>
      </c>
      <c r="W50" s="55">
        <f>Project_CF!W24-(CAPEX!W15-CAPEX!W17)*-0.0999999999999999+Dep_Tax!W12*-0.0999999999999999*Dep_Tax!W24</f>
        <v>860.90176147958107</v>
      </c>
      <c r="X50" s="55">
        <f>Project_CF!X24-(CAPEX!X15-CAPEX!X17)*-0.0999999999999999+Dep_Tax!X12*-0.0999999999999999*Dep_Tax!X24</f>
        <v>875.03090225380402</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-2556.0699999999997</v>
      </c>
      <c r="D51" s="55">
        <f>Project_CF!D24-(CAPEX!D15-CAPEX!D17)*-0.05+Dep_Tax!D12*-0.05*Dep_Tax!D24</f>
        <v>-3601.7350000000001</v>
      </c>
      <c r="E51" s="55">
        <f>Project_CF!E24-(CAPEX!E15-CAPEX!E17)*-0.05+Dep_Tax!E12*-0.05*Dep_Tax!E24</f>
        <v>1081.227496</v>
      </c>
      <c r="F51" s="55">
        <f>Project_CF!F24-(CAPEX!F15-CAPEX!F17)*-0.05+Dep_Tax!F12*-0.05*Dep_Tax!F24</f>
        <v>745.58180202816015</v>
      </c>
      <c r="G51" s="55">
        <f>Project_CF!G24-(CAPEX!G15-CAPEX!G17)*-0.05+Dep_Tax!G12*-0.05*Dep_Tax!G24</f>
        <v>758.7179693525859</v>
      </c>
      <c r="H51" s="55">
        <f>Project_CF!H24-(CAPEX!H15-CAPEX!H17)*-0.05+Dep_Tax!H12*-0.05*Dep_Tax!H24</f>
        <v>772.08497260535819</v>
      </c>
      <c r="I51" s="55">
        <f>Project_CF!I24-(CAPEX!I15-CAPEX!I17)*-0.05+Dep_Tax!I12*-0.05*Dep_Tax!I24</f>
        <v>761.79484704791366</v>
      </c>
      <c r="J51" s="55">
        <f>Project_CF!J24-(CAPEX!J15-CAPEX!J17)*-0.05+Dep_Tax!J12*-0.05*Dep_Tax!J24</f>
        <v>774.94368092545346</v>
      </c>
      <c r="K51" s="55">
        <f>Project_CF!K24-(CAPEX!K15-CAPEX!K17)*-0.05+Dep_Tax!K12*-0.05*Dep_Tax!K24</f>
        <v>788.32353675430898</v>
      </c>
      <c r="L51" s="55">
        <f>Project_CF!L24-(CAPEX!L15-CAPEX!L17)*-0.05+Dep_Tax!L12*-0.05*Dep_Tax!L24</f>
        <v>801.93846106662329</v>
      </c>
      <c r="M51" s="55">
        <f>Project_CF!M24-(CAPEX!M15-CAPEX!M17)*-0.05+Dep_Tax!M12*-0.05*Dep_Tax!M24</f>
        <v>815.79257101781525</v>
      </c>
      <c r="N51" s="55">
        <f>Project_CF!N24-(CAPEX!N15-CAPEX!N17)*-0.05+Dep_Tax!N12*-0.05*Dep_Tax!N24</f>
        <v>829.89005561392332</v>
      </c>
      <c r="O51" s="55">
        <f>Project_CF!O24-(CAPEX!O15-CAPEX!O17)*-0.05+Dep_Tax!O12*-0.05*Dep_Tax!O24</f>
        <v>844.23517696017393</v>
      </c>
      <c r="P51" s="55">
        <f>Project_CF!P24-(CAPEX!P15-CAPEX!P17)*-0.05+Dep_Tax!P12*-0.05*Dep_Tax!P24</f>
        <v>858.83227153113546</v>
      </c>
      <c r="Q51" s="55">
        <f>Project_CF!Q24-(CAPEX!Q15-CAPEX!Q17)*-0.05+Dep_Tax!Q12*-0.05*Dep_Tax!Q24</f>
        <v>873.68575146283126</v>
      </c>
      <c r="R51" s="55">
        <f>Project_CF!R24-(CAPEX!R15-CAPEX!R17)*-0.05+Dep_Tax!R12*-0.05*Dep_Tax!R24</f>
        <v>858.22360980180542</v>
      </c>
      <c r="S51" s="55">
        <f>Project_CF!S24-(CAPEX!S15-CAPEX!S17)*-0.05+Dep_Tax!S12*-0.05*Dep_Tax!S24</f>
        <v>872.79394314054321</v>
      </c>
      <c r="T51" s="55">
        <f>Project_CF!T24-(CAPEX!T15-CAPEX!T17)*-0.05+Dep_Tax!T12*-0.05*Dep_Tax!T24</f>
        <v>823.20087586050738</v>
      </c>
      <c r="U51" s="55">
        <f>Project_CF!U24-(CAPEX!U15-CAPEX!U17)*-0.05+Dep_Tax!U12*-0.05*Dep_Tax!U24</f>
        <v>836.61115160738495</v>
      </c>
      <c r="V51" s="55">
        <f>Project_CF!V24-(CAPEX!V15-CAPEX!V17)*-0.05+Dep_Tax!V12*-0.05*Dep_Tax!V24</f>
        <v>850.25690337254139</v>
      </c>
      <c r="W51" s="55">
        <f>Project_CF!W24-(CAPEX!W15-CAPEX!W17)*-0.05+Dep_Tax!W12*-0.05*Dep_Tax!W24</f>
        <v>864.14225285458099</v>
      </c>
      <c r="X51" s="55">
        <f>Project_CF!X24-(CAPEX!X15-CAPEX!X17)*-0.05+Dep_Tax!X12*-0.05*Dep_Tax!X24</f>
        <v>878.27139362880393</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-2690.6</v>
      </c>
      <c r="D52" s="55">
        <f>Project_CF!D24-(CAPEX!D15-CAPEX!D17)*0+Dep_Tax!D12*0*Dep_Tax!D24</f>
        <v>-3791.3</v>
      </c>
      <c r="E52" s="55">
        <f>Project_CF!E24-(CAPEX!E15-CAPEX!E17)*0+Dep_Tax!E12*0*Dep_Tax!E24</f>
        <v>1099.572496</v>
      </c>
      <c r="F52" s="55">
        <f>Project_CF!F24-(CAPEX!F15-CAPEX!F17)*0+Dep_Tax!F12*0*Dep_Tax!F24</f>
        <v>745.58180202816015</v>
      </c>
      <c r="G52" s="55">
        <f>Project_CF!G24-(CAPEX!G15-CAPEX!G17)*0+Dep_Tax!G12*0*Dep_Tax!G24</f>
        <v>758.7179693525859</v>
      </c>
      <c r="H52" s="55">
        <f>Project_CF!H24-(CAPEX!H15-CAPEX!H17)*0+Dep_Tax!H12*0*Dep_Tax!H24</f>
        <v>772.08497260535819</v>
      </c>
      <c r="I52" s="55">
        <f>Project_CF!I24-(CAPEX!I15-CAPEX!I17)*0+Dep_Tax!I12*0*Dep_Tax!I24</f>
        <v>762.6049698916637</v>
      </c>
      <c r="J52" s="55">
        <f>Project_CF!J24-(CAPEX!J15-CAPEX!J17)*0+Dep_Tax!J12*0*Dep_Tax!J24</f>
        <v>775.7538037692035</v>
      </c>
      <c r="K52" s="55">
        <f>Project_CF!K24-(CAPEX!K15-CAPEX!K17)*0+Dep_Tax!K12*0*Dep_Tax!K24</f>
        <v>789.13365959805901</v>
      </c>
      <c r="L52" s="55">
        <f>Project_CF!L24-(CAPEX!L15-CAPEX!L17)*0+Dep_Tax!L12*0*Dep_Tax!L24</f>
        <v>802.74858391037333</v>
      </c>
      <c r="M52" s="55">
        <f>Project_CF!M24-(CAPEX!M15-CAPEX!M17)*0+Dep_Tax!M12*0*Dep_Tax!M24</f>
        <v>816.60269386156529</v>
      </c>
      <c r="N52" s="55">
        <f>Project_CF!N24-(CAPEX!N15-CAPEX!N17)*0+Dep_Tax!N12*0*Dep_Tax!N24</f>
        <v>830.70017845767336</v>
      </c>
      <c r="O52" s="55">
        <f>Project_CF!O24-(CAPEX!O15-CAPEX!O17)*0+Dep_Tax!O12*0*Dep_Tax!O24</f>
        <v>845.04529980392397</v>
      </c>
      <c r="P52" s="55">
        <f>Project_CF!P24-(CAPEX!P15-CAPEX!P17)*0+Dep_Tax!P12*0*Dep_Tax!P24</f>
        <v>859.6423943748855</v>
      </c>
      <c r="Q52" s="55">
        <f>Project_CF!Q24-(CAPEX!Q15-CAPEX!Q17)*0+Dep_Tax!Q12*0*Dep_Tax!Q24</f>
        <v>874.4958743065813</v>
      </c>
      <c r="R52" s="55">
        <f>Project_CF!R24-(CAPEX!R15-CAPEX!R17)*0+Dep_Tax!R12*0*Dep_Tax!R24</f>
        <v>859.84385548930538</v>
      </c>
      <c r="S52" s="55">
        <f>Project_CF!S24-(CAPEX!S15-CAPEX!S17)*0+Dep_Tax!S12*0*Dep_Tax!S24</f>
        <v>874.41418882804317</v>
      </c>
      <c r="T52" s="55">
        <f>Project_CF!T24-(CAPEX!T15-CAPEX!T17)*0+Dep_Tax!T12*0*Dep_Tax!T24</f>
        <v>826.44136723550741</v>
      </c>
      <c r="U52" s="55">
        <f>Project_CF!U24-(CAPEX!U15-CAPEX!U17)*0+Dep_Tax!U12*0*Dep_Tax!U24</f>
        <v>839.85164298238499</v>
      </c>
      <c r="V52" s="55">
        <f>Project_CF!V24-(CAPEX!V15-CAPEX!V17)*0+Dep_Tax!V12*0*Dep_Tax!V24</f>
        <v>853.49739474754142</v>
      </c>
      <c r="W52" s="55">
        <f>Project_CF!W24-(CAPEX!W15-CAPEX!W17)*0+Dep_Tax!W12*0*Dep_Tax!W24</f>
        <v>867.38274422958102</v>
      </c>
      <c r="X52" s="55">
        <f>Project_CF!X24-(CAPEX!X15-CAPEX!X17)*0+Dep_Tax!X12*0*Dep_Tax!X24</f>
        <v>881.51188500380397</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-2825.13</v>
      </c>
      <c r="D53" s="55">
        <f>Project_CF!D24-(CAPEX!D15-CAPEX!D17)*0.05+Dep_Tax!D12*0.05*Dep_Tax!D24</f>
        <v>-3980.8650000000002</v>
      </c>
      <c r="E53" s="55">
        <f>Project_CF!E24-(CAPEX!E15-CAPEX!E17)*0.05+Dep_Tax!E12*0.05*Dep_Tax!E24</f>
        <v>1117.917496</v>
      </c>
      <c r="F53" s="55">
        <f>Project_CF!F24-(CAPEX!F15-CAPEX!F17)*0.05+Dep_Tax!F12*0.05*Dep_Tax!F24</f>
        <v>745.58180202816015</v>
      </c>
      <c r="G53" s="55">
        <f>Project_CF!G24-(CAPEX!G15-CAPEX!G17)*0.05+Dep_Tax!G12*0.05*Dep_Tax!G24</f>
        <v>758.7179693525859</v>
      </c>
      <c r="H53" s="55">
        <f>Project_CF!H24-(CAPEX!H15-CAPEX!H17)*0.05+Dep_Tax!H12*0.05*Dep_Tax!H24</f>
        <v>772.08497260535819</v>
      </c>
      <c r="I53" s="55">
        <f>Project_CF!I24-(CAPEX!I15-CAPEX!I17)*0.05+Dep_Tax!I12*0.05*Dep_Tax!I24</f>
        <v>763.41509273541374</v>
      </c>
      <c r="J53" s="55">
        <f>Project_CF!J24-(CAPEX!J15-CAPEX!J17)*0.05+Dep_Tax!J12*0.05*Dep_Tax!J24</f>
        <v>776.56392661295354</v>
      </c>
      <c r="K53" s="55">
        <f>Project_CF!K24-(CAPEX!K15-CAPEX!K17)*0.05+Dep_Tax!K12*0.05*Dep_Tax!K24</f>
        <v>789.94378244180905</v>
      </c>
      <c r="L53" s="55">
        <f>Project_CF!L24-(CAPEX!L15-CAPEX!L17)*0.05+Dep_Tax!L12*0.05*Dep_Tax!L24</f>
        <v>803.55870675412336</v>
      </c>
      <c r="M53" s="55">
        <f>Project_CF!M24-(CAPEX!M15-CAPEX!M17)*0.05+Dep_Tax!M12*0.05*Dep_Tax!M24</f>
        <v>817.41281670531532</v>
      </c>
      <c r="N53" s="55">
        <f>Project_CF!N24-(CAPEX!N15-CAPEX!N17)*0.05+Dep_Tax!N12*0.05*Dep_Tax!N24</f>
        <v>831.5103013014234</v>
      </c>
      <c r="O53" s="55">
        <f>Project_CF!O24-(CAPEX!O15-CAPEX!O17)*0.05+Dep_Tax!O12*0.05*Dep_Tax!O24</f>
        <v>845.855422647674</v>
      </c>
      <c r="P53" s="55">
        <f>Project_CF!P24-(CAPEX!P15-CAPEX!P17)*0.05+Dep_Tax!P12*0.05*Dep_Tax!P24</f>
        <v>860.45251721863553</v>
      </c>
      <c r="Q53" s="55">
        <f>Project_CF!Q24-(CAPEX!Q15-CAPEX!Q17)*0.05+Dep_Tax!Q12*0.05*Dep_Tax!Q24</f>
        <v>875.30599715033134</v>
      </c>
      <c r="R53" s="55">
        <f>Project_CF!R24-(CAPEX!R15-CAPEX!R17)*0.05+Dep_Tax!R12*0.05*Dep_Tax!R24</f>
        <v>861.46410117680534</v>
      </c>
      <c r="S53" s="55">
        <f>Project_CF!S24-(CAPEX!S15-CAPEX!S17)*0.05+Dep_Tax!S12*0.05*Dep_Tax!S24</f>
        <v>876.03443451554313</v>
      </c>
      <c r="T53" s="55">
        <f>Project_CF!T24-(CAPEX!T15-CAPEX!T17)*0.05+Dep_Tax!T12*0.05*Dep_Tax!T24</f>
        <v>829.68185861050745</v>
      </c>
      <c r="U53" s="55">
        <f>Project_CF!U24-(CAPEX!U15-CAPEX!U17)*0.05+Dep_Tax!U12*0.05*Dep_Tax!U24</f>
        <v>843.09213435738502</v>
      </c>
      <c r="V53" s="55">
        <f>Project_CF!V24-(CAPEX!V15-CAPEX!V17)*0.05+Dep_Tax!V12*0.05*Dep_Tax!V24</f>
        <v>856.73788612254145</v>
      </c>
      <c r="W53" s="55">
        <f>Project_CF!W24-(CAPEX!W15-CAPEX!W17)*0.05+Dep_Tax!W12*0.05*Dep_Tax!W24</f>
        <v>870.62323560458105</v>
      </c>
      <c r="X53" s="55">
        <f>Project_CF!X24-(CAPEX!X15-CAPEX!X17)*0.05+Dep_Tax!X12*0.05*Dep_Tax!X24</f>
        <v>884.752376378804</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-2959.66</v>
      </c>
      <c r="D54" s="55">
        <f>Project_CF!D24-(CAPEX!D15-CAPEX!D17)*0.1+Dep_Tax!D12*0.1*Dep_Tax!D24</f>
        <v>-4170.43</v>
      </c>
      <c r="E54" s="55">
        <f>Project_CF!E24-(CAPEX!E15-CAPEX!E17)*0.1+Dep_Tax!E12*0.1*Dep_Tax!E24</f>
        <v>1136.2624960000001</v>
      </c>
      <c r="F54" s="55">
        <f>Project_CF!F24-(CAPEX!F15-CAPEX!F17)*0.1+Dep_Tax!F12*0.1*Dep_Tax!F24</f>
        <v>745.58180202816015</v>
      </c>
      <c r="G54" s="55">
        <f>Project_CF!G24-(CAPEX!G15-CAPEX!G17)*0.1+Dep_Tax!G12*0.1*Dep_Tax!G24</f>
        <v>758.7179693525859</v>
      </c>
      <c r="H54" s="55">
        <f>Project_CF!H24-(CAPEX!H15-CAPEX!H17)*0.1+Dep_Tax!H12*0.1*Dep_Tax!H24</f>
        <v>772.08497260535819</v>
      </c>
      <c r="I54" s="55">
        <f>Project_CF!I24-(CAPEX!I15-CAPEX!I17)*0.1+Dep_Tax!I12*0.1*Dep_Tax!I24</f>
        <v>764.22521557916366</v>
      </c>
      <c r="J54" s="55">
        <f>Project_CF!J24-(CAPEX!J15-CAPEX!J17)*0.1+Dep_Tax!J12*0.1*Dep_Tax!J24</f>
        <v>777.37404945670346</v>
      </c>
      <c r="K54" s="55">
        <f>Project_CF!K24-(CAPEX!K15-CAPEX!K17)*0.1+Dep_Tax!K12*0.1*Dep_Tax!K24</f>
        <v>790.75390528555897</v>
      </c>
      <c r="L54" s="55">
        <f>Project_CF!L24-(CAPEX!L15-CAPEX!L17)*0.1+Dep_Tax!L12*0.1*Dep_Tax!L24</f>
        <v>804.36882959787329</v>
      </c>
      <c r="M54" s="55">
        <f>Project_CF!M24-(CAPEX!M15-CAPEX!M17)*0.1+Dep_Tax!M12*0.1*Dep_Tax!M24</f>
        <v>818.22293954906525</v>
      </c>
      <c r="N54" s="55">
        <f>Project_CF!N24-(CAPEX!N15-CAPEX!N17)*0.1+Dep_Tax!N12*0.1*Dep_Tax!N24</f>
        <v>832.32042414517332</v>
      </c>
      <c r="O54" s="55">
        <f>Project_CF!O24-(CAPEX!O15-CAPEX!O17)*0.1+Dep_Tax!O12*0.1*Dep_Tax!O24</f>
        <v>846.66554549142393</v>
      </c>
      <c r="P54" s="55">
        <f>Project_CF!P24-(CAPEX!P15-CAPEX!P17)*0.1+Dep_Tax!P12*0.1*Dep_Tax!P24</f>
        <v>861.26264006238546</v>
      </c>
      <c r="Q54" s="55">
        <f>Project_CF!Q24-(CAPEX!Q15-CAPEX!Q17)*0.1+Dep_Tax!Q12*0.1*Dep_Tax!Q24</f>
        <v>876.11611999408126</v>
      </c>
      <c r="R54" s="55">
        <f>Project_CF!R24-(CAPEX!R15-CAPEX!R17)*0.1+Dep_Tax!R12*0.1*Dep_Tax!R24</f>
        <v>863.08434686430542</v>
      </c>
      <c r="S54" s="55">
        <f>Project_CF!S24-(CAPEX!S15-CAPEX!S17)*0.1+Dep_Tax!S12*0.1*Dep_Tax!S24</f>
        <v>877.6546802030432</v>
      </c>
      <c r="T54" s="55">
        <f>Project_CF!T24-(CAPEX!T15-CAPEX!T17)*0.1+Dep_Tax!T12*0.1*Dep_Tax!T24</f>
        <v>832.92234998550737</v>
      </c>
      <c r="U54" s="55">
        <f>Project_CF!U24-(CAPEX!U15-CAPEX!U17)*0.1+Dep_Tax!U12*0.1*Dep_Tax!U24</f>
        <v>846.33262573238494</v>
      </c>
      <c r="V54" s="55">
        <f>Project_CF!V24-(CAPEX!V15-CAPEX!V17)*0.1+Dep_Tax!V12*0.1*Dep_Tax!V24</f>
        <v>859.97837749754137</v>
      </c>
      <c r="W54" s="55">
        <f>Project_CF!W24-(CAPEX!W15-CAPEX!W17)*0.1+Dep_Tax!W12*0.1*Dep_Tax!W24</f>
        <v>873.86372697958097</v>
      </c>
      <c r="X54" s="55">
        <f>Project_CF!X24-(CAPEX!X15-CAPEX!X17)*0.1+Dep_Tax!X12*0.1*Dep_Tax!X24</f>
        <v>887.99286775380392</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-2690.6</v>
      </c>
      <c r="D55" s="55">
        <f>Project_CF!D24-(Energy_Revenue!D19*-0.0999999999999999)*(1-Dep_Tax!D24)</f>
        <v>-3791.3</v>
      </c>
      <c r="E55" s="55">
        <f>Project_CF!E24-(Energy_Revenue!E19*-0.0999999999999999)*(1-Dep_Tax!E24)</f>
        <v>1111.802496</v>
      </c>
      <c r="F55" s="55">
        <f>Project_CF!F24-(Energy_Revenue!F19*-0.0999999999999999)*(1-Dep_Tax!F24)</f>
        <v>758.05640202816016</v>
      </c>
      <c r="G55" s="55">
        <f>Project_CF!G24-(Energy_Revenue!G19*-0.0999999999999999)*(1-Dep_Tax!G24)</f>
        <v>771.44206135258594</v>
      </c>
      <c r="H55" s="55">
        <f>Project_CF!H24-(Energy_Revenue!H19*-0.0999999999999999)*(1-Dep_Tax!H24)</f>
        <v>785.06354644535816</v>
      </c>
      <c r="I55" s="55">
        <f>Project_CF!I24-(Energy_Revenue!I19*-0.0999999999999999)*(1-Dep_Tax!I24)</f>
        <v>775.1812079426237</v>
      </c>
      <c r="J55" s="55">
        <f>Project_CF!J24-(Energy_Revenue!J19*-0.0999999999999999)*(1-Dep_Tax!J24)</f>
        <v>788.58156658118264</v>
      </c>
      <c r="K55" s="55">
        <f>Project_CF!K24-(Energy_Revenue!K19*-0.0999999999999999)*(1-Dep_Tax!K24)</f>
        <v>802.21797766627776</v>
      </c>
      <c r="L55" s="55">
        <f>Project_CF!L24-(Energy_Revenue!L19*-0.0999999999999999)*(1-Dep_Tax!L24)</f>
        <v>816.09458833995643</v>
      </c>
      <c r="M55" s="55">
        <f>Project_CF!M24-(Energy_Revenue!M19*-0.0999999999999999)*(1-Dep_Tax!M24)</f>
        <v>830.21561837974014</v>
      </c>
      <c r="N55" s="55">
        <f>Project_CF!N24-(Energy_Revenue!N19*-0.0999999999999999)*(1-Dep_Tax!N24)</f>
        <v>844.58536146621168</v>
      </c>
      <c r="O55" s="55">
        <f>Project_CF!O24-(Energy_Revenue!O19*-0.0999999999999999)*(1-Dep_Tax!O24)</f>
        <v>859.20818647263309</v>
      </c>
      <c r="P55" s="55">
        <f>Project_CF!P24-(Energy_Revenue!P19*-0.0999999999999999)*(1-Dep_Tax!P24)</f>
        <v>874.08853877696879</v>
      </c>
      <c r="Q55" s="55">
        <f>Project_CF!Q24-(Energy_Revenue!Q19*-0.0999999999999999)*(1-Dep_Tax!Q24)</f>
        <v>889.2309415967062</v>
      </c>
      <c r="R55" s="55">
        <f>Project_CF!R24-(Energy_Revenue!R19*-0.0999999999999999)*(1-Dep_Tax!R24)</f>
        <v>874.08258367071028</v>
      </c>
      <c r="S55" s="55">
        <f>Project_CF!S24-(Energy_Revenue!S19*-0.0999999999999999)*(1-Dep_Tax!S24)</f>
        <v>888.93769157307622</v>
      </c>
      <c r="T55" s="55">
        <f>Project_CF!T24-(Energy_Revenue!T19*-0.0999999999999999)*(1-Dep_Tax!T24)</f>
        <v>839.60934305767069</v>
      </c>
      <c r="U55" s="55">
        <f>Project_CF!U24-(Energy_Revenue!U19*-0.0999999999999999)*(1-Dep_Tax!U24)</f>
        <v>853.28297832099156</v>
      </c>
      <c r="V55" s="55">
        <f>Project_CF!V24-(Energy_Revenue!V19*-0.0999999999999999)*(1-Dep_Tax!V24)</f>
        <v>867.19735679292012</v>
      </c>
      <c r="W55" s="55">
        <f>Project_CF!W24-(Energy_Revenue!W19*-0.0999999999999999)*(1-Dep_Tax!W24)</f>
        <v>881.35670551586725</v>
      </c>
      <c r="X55" s="55">
        <f>Project_CF!X24-(Energy_Revenue!X19*-0.0999999999999999)*(1-Dep_Tax!X24)</f>
        <v>895.7653255158159</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-2690.6</v>
      </c>
      <c r="D56" s="55">
        <f>Project_CF!D24-(Energy_Revenue!D19*-0.05)*(1-Dep_Tax!D24)</f>
        <v>-3791.3</v>
      </c>
      <c r="E56" s="55">
        <f>Project_CF!E24-(Energy_Revenue!E19*-0.05)*(1-Dep_Tax!E24)</f>
        <v>1105.687496</v>
      </c>
      <c r="F56" s="55">
        <f>Project_CF!F24-(Energy_Revenue!F19*-0.05)*(1-Dep_Tax!F24)</f>
        <v>751.81910202816016</v>
      </c>
      <c r="G56" s="55">
        <f>Project_CF!G24-(Energy_Revenue!G19*-0.05)*(1-Dep_Tax!G24)</f>
        <v>765.08001535258586</v>
      </c>
      <c r="H56" s="55">
        <f>Project_CF!H24-(Energy_Revenue!H19*-0.05)*(1-Dep_Tax!H24)</f>
        <v>778.57425952535823</v>
      </c>
      <c r="I56" s="55">
        <f>Project_CF!I24-(Energy_Revenue!I19*-0.05)*(1-Dep_Tax!I24)</f>
        <v>768.8930889171437</v>
      </c>
      <c r="J56" s="55">
        <f>Project_CF!J24-(Energy_Revenue!J19*-0.05)*(1-Dep_Tax!J24)</f>
        <v>782.16768517519313</v>
      </c>
      <c r="K56" s="55">
        <f>Project_CF!K24-(Energy_Revenue!K19*-0.05)*(1-Dep_Tax!K24)</f>
        <v>795.67581863216844</v>
      </c>
      <c r="L56" s="55">
        <f>Project_CF!L24-(Energy_Revenue!L19*-0.05)*(1-Dep_Tax!L24)</f>
        <v>809.42158612516494</v>
      </c>
      <c r="M56" s="55">
        <f>Project_CF!M24-(Energy_Revenue!M19*-0.05)*(1-Dep_Tax!M24)</f>
        <v>823.40915612065271</v>
      </c>
      <c r="N56" s="55">
        <f>Project_CF!N24-(Energy_Revenue!N19*-0.05)*(1-Dep_Tax!N24)</f>
        <v>837.64276996194246</v>
      </c>
      <c r="O56" s="55">
        <f>Project_CF!O24-(Energy_Revenue!O19*-0.05)*(1-Dep_Tax!O24)</f>
        <v>852.12674313827847</v>
      </c>
      <c r="P56" s="55">
        <f>Project_CF!P24-(Energy_Revenue!P19*-0.05)*(1-Dep_Tax!P24)</f>
        <v>866.86546657592714</v>
      </c>
      <c r="Q56" s="55">
        <f>Project_CF!Q24-(Energy_Revenue!Q19*-0.05)*(1-Dep_Tax!Q24)</f>
        <v>881.86340795164381</v>
      </c>
      <c r="R56" s="55">
        <f>Project_CF!R24-(Energy_Revenue!R19*-0.05)*(1-Dep_Tax!R24)</f>
        <v>866.96321958000783</v>
      </c>
      <c r="S56" s="55">
        <f>Project_CF!S24-(Energy_Revenue!S19*-0.05)*(1-Dep_Tax!S24)</f>
        <v>881.67594020055969</v>
      </c>
      <c r="T56" s="55">
        <f>Project_CF!T24-(Energy_Revenue!T19*-0.05)*(1-Dep_Tax!T24)</f>
        <v>833.02535514658905</v>
      </c>
      <c r="U56" s="55">
        <f>Project_CF!U24-(Energy_Revenue!U19*-0.05)*(1-Dep_Tax!U24)</f>
        <v>846.56731065168822</v>
      </c>
      <c r="V56" s="55">
        <f>Project_CF!V24-(Energy_Revenue!V19*-0.05)*(1-Dep_Tax!V24)</f>
        <v>860.34737577023077</v>
      </c>
      <c r="W56" s="55">
        <f>Project_CF!W24-(Energy_Revenue!W19*-0.05)*(1-Dep_Tax!W24)</f>
        <v>874.36972487272419</v>
      </c>
      <c r="X56" s="55">
        <f>Project_CF!X24-(Energy_Revenue!X19*-0.05)*(1-Dep_Tax!X24)</f>
        <v>888.63860525980999</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-2690.6</v>
      </c>
      <c r="D57" s="55">
        <f>Project_CF!D24-(Energy_Revenue!D19*0)*(1-Dep_Tax!D24)</f>
        <v>-3791.3</v>
      </c>
      <c r="E57" s="55">
        <f>Project_CF!E24-(Energy_Revenue!E19*0)*(1-Dep_Tax!E24)</f>
        <v>1099.572496</v>
      </c>
      <c r="F57" s="55">
        <f>Project_CF!F24-(Energy_Revenue!F19*0)*(1-Dep_Tax!F24)</f>
        <v>745.58180202816015</v>
      </c>
      <c r="G57" s="55">
        <f>Project_CF!G24-(Energy_Revenue!G19*0)*(1-Dep_Tax!G24)</f>
        <v>758.7179693525859</v>
      </c>
      <c r="H57" s="55">
        <f>Project_CF!H24-(Energy_Revenue!H19*0)*(1-Dep_Tax!H24)</f>
        <v>772.08497260535819</v>
      </c>
      <c r="I57" s="55">
        <f>Project_CF!I24-(Energy_Revenue!I19*0)*(1-Dep_Tax!I24)</f>
        <v>762.6049698916637</v>
      </c>
      <c r="J57" s="55">
        <f>Project_CF!J24-(Energy_Revenue!J19*0)*(1-Dep_Tax!J24)</f>
        <v>775.7538037692035</v>
      </c>
      <c r="K57" s="55">
        <f>Project_CF!K24-(Energy_Revenue!K19*0)*(1-Dep_Tax!K24)</f>
        <v>789.13365959805901</v>
      </c>
      <c r="L57" s="55">
        <f>Project_CF!L24-(Energy_Revenue!L19*0)*(1-Dep_Tax!L24)</f>
        <v>802.74858391037333</v>
      </c>
      <c r="M57" s="55">
        <f>Project_CF!M24-(Energy_Revenue!M19*0)*(1-Dep_Tax!M24)</f>
        <v>816.60269386156529</v>
      </c>
      <c r="N57" s="55">
        <f>Project_CF!N24-(Energy_Revenue!N19*0)*(1-Dep_Tax!N24)</f>
        <v>830.70017845767336</v>
      </c>
      <c r="O57" s="55">
        <f>Project_CF!O24-(Energy_Revenue!O19*0)*(1-Dep_Tax!O24)</f>
        <v>845.04529980392397</v>
      </c>
      <c r="P57" s="55">
        <f>Project_CF!P24-(Energy_Revenue!P19*0)*(1-Dep_Tax!P24)</f>
        <v>859.6423943748855</v>
      </c>
      <c r="Q57" s="55">
        <f>Project_CF!Q24-(Energy_Revenue!Q19*0)*(1-Dep_Tax!Q24)</f>
        <v>874.4958743065813</v>
      </c>
      <c r="R57" s="55">
        <f>Project_CF!R24-(Energy_Revenue!R19*0)*(1-Dep_Tax!R24)</f>
        <v>859.84385548930538</v>
      </c>
      <c r="S57" s="55">
        <f>Project_CF!S24-(Energy_Revenue!S19*0)*(1-Dep_Tax!S24)</f>
        <v>874.41418882804317</v>
      </c>
      <c r="T57" s="55">
        <f>Project_CF!T24-(Energy_Revenue!T19*0)*(1-Dep_Tax!T24)</f>
        <v>826.44136723550741</v>
      </c>
      <c r="U57" s="55">
        <f>Project_CF!U24-(Energy_Revenue!U19*0)*(1-Dep_Tax!U24)</f>
        <v>839.85164298238499</v>
      </c>
      <c r="V57" s="55">
        <f>Project_CF!V24-(Energy_Revenue!V19*0)*(1-Dep_Tax!V24)</f>
        <v>853.49739474754142</v>
      </c>
      <c r="W57" s="55">
        <f>Project_CF!W24-(Energy_Revenue!W19*0)*(1-Dep_Tax!W24)</f>
        <v>867.38274422958102</v>
      </c>
      <c r="X57" s="55">
        <f>Project_CF!X24-(Energy_Revenue!X19*0)*(1-Dep_Tax!X24)</f>
        <v>881.51188500380397</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-2690.6</v>
      </c>
      <c r="D58" s="55">
        <f>Project_CF!D24-(Energy_Revenue!D19*0.05)*(1-Dep_Tax!D24)</f>
        <v>-3791.3</v>
      </c>
      <c r="E58" s="55">
        <f>Project_CF!E24-(Energy_Revenue!E19*0.05)*(1-Dep_Tax!E24)</f>
        <v>1093.457496</v>
      </c>
      <c r="F58" s="55">
        <f>Project_CF!F24-(Energy_Revenue!F19*0.05)*(1-Dep_Tax!F24)</f>
        <v>739.34450202816015</v>
      </c>
      <c r="G58" s="55">
        <f>Project_CF!G24-(Energy_Revenue!G19*0.05)*(1-Dep_Tax!G24)</f>
        <v>752.35592335258593</v>
      </c>
      <c r="H58" s="55">
        <f>Project_CF!H24-(Energy_Revenue!H19*0.05)*(1-Dep_Tax!H24)</f>
        <v>765.59568568535815</v>
      </c>
      <c r="I58" s="55">
        <f>Project_CF!I24-(Energy_Revenue!I19*0.05)*(1-Dep_Tax!I24)</f>
        <v>756.3168508661837</v>
      </c>
      <c r="J58" s="55">
        <f>Project_CF!J24-(Energy_Revenue!J19*0.05)*(1-Dep_Tax!J24)</f>
        <v>769.33992236321387</v>
      </c>
      <c r="K58" s="55">
        <f>Project_CF!K24-(Energy_Revenue!K19*0.05)*(1-Dep_Tax!K24)</f>
        <v>782.59150056394958</v>
      </c>
      <c r="L58" s="55">
        <f>Project_CF!L24-(Energy_Revenue!L19*0.05)*(1-Dep_Tax!L24)</f>
        <v>796.07558169558172</v>
      </c>
      <c r="M58" s="55">
        <f>Project_CF!M24-(Energy_Revenue!M19*0.05)*(1-Dep_Tax!M24)</f>
        <v>809.79623160247786</v>
      </c>
      <c r="N58" s="55">
        <f>Project_CF!N24-(Energy_Revenue!N19*0.05)*(1-Dep_Tax!N24)</f>
        <v>823.75758695340426</v>
      </c>
      <c r="O58" s="55">
        <f>Project_CF!O24-(Energy_Revenue!O19*0.05)*(1-Dep_Tax!O24)</f>
        <v>837.96385646956946</v>
      </c>
      <c r="P58" s="55">
        <f>Project_CF!P24-(Energy_Revenue!P19*0.05)*(1-Dep_Tax!P24)</f>
        <v>852.41932217384385</v>
      </c>
      <c r="Q58" s="55">
        <f>Project_CF!Q24-(Energy_Revenue!Q19*0.05)*(1-Dep_Tax!Q24)</f>
        <v>867.12834066151879</v>
      </c>
      <c r="R58" s="55">
        <f>Project_CF!R24-(Energy_Revenue!R19*0.05)*(1-Dep_Tax!R24)</f>
        <v>852.72449139860294</v>
      </c>
      <c r="S58" s="55">
        <f>Project_CF!S24-(Energy_Revenue!S19*0.05)*(1-Dep_Tax!S24)</f>
        <v>867.15243745552664</v>
      </c>
      <c r="T58" s="55">
        <f>Project_CF!T24-(Energy_Revenue!T19*0.05)*(1-Dep_Tax!T24)</f>
        <v>819.85737932442578</v>
      </c>
      <c r="U58" s="55">
        <f>Project_CF!U24-(Energy_Revenue!U19*0.05)*(1-Dep_Tax!U24)</f>
        <v>833.13597531308176</v>
      </c>
      <c r="V58" s="55">
        <f>Project_CF!V24-(Energy_Revenue!V19*0.05)*(1-Dep_Tax!V24)</f>
        <v>846.64741372485207</v>
      </c>
      <c r="W58" s="55">
        <f>Project_CF!W24-(Energy_Revenue!W19*0.05)*(1-Dep_Tax!W24)</f>
        <v>860.39576358643785</v>
      </c>
      <c r="X58" s="55">
        <f>Project_CF!X24-(Energy_Revenue!X19*0.05)*(1-Dep_Tax!X24)</f>
        <v>874.38516474779794</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-2690.6</v>
      </c>
      <c r="D59" s="55">
        <f>Project_CF!D24-(Energy_Revenue!D19*0.1)*(1-Dep_Tax!D24)</f>
        <v>-3791.3</v>
      </c>
      <c r="E59" s="55">
        <f>Project_CF!E24-(Energy_Revenue!E19*0.1)*(1-Dep_Tax!E24)</f>
        <v>1087.342496</v>
      </c>
      <c r="F59" s="55">
        <f>Project_CF!F24-(Energy_Revenue!F19*0.1)*(1-Dep_Tax!F24)</f>
        <v>733.10720202816015</v>
      </c>
      <c r="G59" s="55">
        <f>Project_CF!G24-(Energy_Revenue!G19*0.1)*(1-Dep_Tax!G24)</f>
        <v>745.99387735258586</v>
      </c>
      <c r="H59" s="55">
        <f>Project_CF!H24-(Energy_Revenue!H19*0.1)*(1-Dep_Tax!H24)</f>
        <v>759.10639876535822</v>
      </c>
      <c r="I59" s="55">
        <f>Project_CF!I24-(Energy_Revenue!I19*0.1)*(1-Dep_Tax!I24)</f>
        <v>750.0287318407037</v>
      </c>
      <c r="J59" s="55">
        <f>Project_CF!J24-(Energy_Revenue!J19*0.1)*(1-Dep_Tax!J24)</f>
        <v>762.92604095722425</v>
      </c>
      <c r="K59" s="55">
        <f>Project_CF!K24-(Energy_Revenue!K19*0.1)*(1-Dep_Tax!K24)</f>
        <v>776.04934152984026</v>
      </c>
      <c r="L59" s="55">
        <f>Project_CF!L24-(Energy_Revenue!L19*0.1)*(1-Dep_Tax!L24)</f>
        <v>789.40257948079022</v>
      </c>
      <c r="M59" s="55">
        <f>Project_CF!M24-(Energy_Revenue!M19*0.1)*(1-Dep_Tax!M24)</f>
        <v>802.98976934339044</v>
      </c>
      <c r="N59" s="55">
        <f>Project_CF!N24-(Energy_Revenue!N19*0.1)*(1-Dep_Tax!N24)</f>
        <v>816.81499544913504</v>
      </c>
      <c r="O59" s="55">
        <f>Project_CF!O24-(Energy_Revenue!O19*0.1)*(1-Dep_Tax!O24)</f>
        <v>830.88241313521485</v>
      </c>
      <c r="P59" s="55">
        <f>Project_CF!P24-(Energy_Revenue!P19*0.1)*(1-Dep_Tax!P24)</f>
        <v>845.19624997280221</v>
      </c>
      <c r="Q59" s="55">
        <f>Project_CF!Q24-(Energy_Revenue!Q19*0.1)*(1-Dep_Tax!Q24)</f>
        <v>859.7608070164564</v>
      </c>
      <c r="R59" s="55">
        <f>Project_CF!R24-(Energy_Revenue!R19*0.1)*(1-Dep_Tax!R24)</f>
        <v>845.60512730790049</v>
      </c>
      <c r="S59" s="55">
        <f>Project_CF!S24-(Energy_Revenue!S19*0.1)*(1-Dep_Tax!S24)</f>
        <v>859.89068608301011</v>
      </c>
      <c r="T59" s="55">
        <f>Project_CF!T24-(Energy_Revenue!T19*0.1)*(1-Dep_Tax!T24)</f>
        <v>813.27339141334414</v>
      </c>
      <c r="U59" s="55">
        <f>Project_CF!U24-(Energy_Revenue!U19*0.1)*(1-Dep_Tax!U24)</f>
        <v>826.42030764377841</v>
      </c>
      <c r="V59" s="55">
        <f>Project_CF!V24-(Energy_Revenue!V19*0.1)*(1-Dep_Tax!V24)</f>
        <v>839.79743270216272</v>
      </c>
      <c r="W59" s="55">
        <f>Project_CF!W24-(Energy_Revenue!W19*0.1)*(1-Dep_Tax!W24)</f>
        <v>853.4087829432948</v>
      </c>
      <c r="X59" s="55">
        <f>Project_CF!X24-(Energy_Revenue!X19*0.1)*(1-Dep_Tax!X24)</f>
        <v>867.25844449179203</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-2690.6</v>
      </c>
      <c r="D60" s="55">
        <f>Project_CF!D24</f>
        <v>-3791.3</v>
      </c>
      <c r="E60" s="55">
        <f>Project_CF!E24</f>
        <v>1099.572496</v>
      </c>
      <c r="F60" s="55">
        <f>Project_CF!F24</f>
        <v>745.58180202816015</v>
      </c>
      <c r="G60" s="55">
        <f>Project_CF!G24</f>
        <v>758.7179693525859</v>
      </c>
      <c r="H60" s="55">
        <f>Project_CF!H24</f>
        <v>772.08497260535819</v>
      </c>
      <c r="I60" s="55">
        <f>Project_CF!I24</f>
        <v>762.6049698916637</v>
      </c>
      <c r="J60" s="55">
        <f>Project_CF!J24</f>
        <v>775.7538037692035</v>
      </c>
      <c r="K60" s="55">
        <f>Project_CF!K24</f>
        <v>789.13365959805901</v>
      </c>
      <c r="L60" s="55">
        <f>Project_CF!L24</f>
        <v>802.74858391037333</v>
      </c>
      <c r="M60" s="55">
        <f>Project_CF!M24</f>
        <v>816.60269386156529</v>
      </c>
      <c r="N60" s="55">
        <f>Project_CF!N24</f>
        <v>830.70017845767336</v>
      </c>
      <c r="O60" s="55">
        <f>Project_CF!O24</f>
        <v>845.04529980392397</v>
      </c>
      <c r="P60" s="55">
        <f>Project_CF!P24</f>
        <v>859.6423943748855</v>
      </c>
      <c r="Q60" s="55">
        <f>Project_CF!Q24</f>
        <v>874.4958743065813</v>
      </c>
      <c r="R60" s="55">
        <f>Project_CF!R24</f>
        <v>859.84385548930538</v>
      </c>
      <c r="S60" s="55">
        <f>Project_CF!S24</f>
        <v>874.41418882804317</v>
      </c>
      <c r="T60" s="55">
        <f>Project_CF!T24</f>
        <v>826.44136723550741</v>
      </c>
      <c r="U60" s="55">
        <f>Project_CF!U24</f>
        <v>839.85164298238499</v>
      </c>
      <c r="V60" s="55">
        <f>Project_CF!V24</f>
        <v>853.49739474754142</v>
      </c>
      <c r="W60" s="55">
        <f>Project_CF!W24</f>
        <v>867.38274422958102</v>
      </c>
      <c r="X60" s="55">
        <f>Project_CF!X24</f>
        <v>881.51188500380397</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-2690.6</v>
      </c>
      <c r="D61" s="55">
        <f>Project_CF!D24</f>
        <v>-3791.3</v>
      </c>
      <c r="E61" s="55">
        <f>Project_CF!E24</f>
        <v>1099.572496</v>
      </c>
      <c r="F61" s="55">
        <f>Project_CF!F24</f>
        <v>745.58180202816015</v>
      </c>
      <c r="G61" s="55">
        <f>Project_CF!G24</f>
        <v>758.7179693525859</v>
      </c>
      <c r="H61" s="55">
        <f>Project_CF!H24</f>
        <v>772.08497260535819</v>
      </c>
      <c r="I61" s="55">
        <f>Project_CF!I24</f>
        <v>762.6049698916637</v>
      </c>
      <c r="J61" s="55">
        <f>Project_CF!J24</f>
        <v>775.7538037692035</v>
      </c>
      <c r="K61" s="55">
        <f>Project_CF!K24</f>
        <v>789.13365959805901</v>
      </c>
      <c r="L61" s="55">
        <f>Project_CF!L24</f>
        <v>802.74858391037333</v>
      </c>
      <c r="M61" s="55">
        <f>Project_CF!M24</f>
        <v>816.60269386156529</v>
      </c>
      <c r="N61" s="55">
        <f>Project_CF!N24</f>
        <v>830.70017845767336</v>
      </c>
      <c r="O61" s="55">
        <f>Project_CF!O24</f>
        <v>845.04529980392397</v>
      </c>
      <c r="P61" s="55">
        <f>Project_CF!P24</f>
        <v>859.6423943748855</v>
      </c>
      <c r="Q61" s="55">
        <f>Project_CF!Q24</f>
        <v>874.4958743065813</v>
      </c>
      <c r="R61" s="55">
        <f>Project_CF!R24</f>
        <v>859.84385548930538</v>
      </c>
      <c r="S61" s="55">
        <f>Project_CF!S24</f>
        <v>874.41418882804317</v>
      </c>
      <c r="T61" s="55">
        <f>Project_CF!T24</f>
        <v>826.44136723550741</v>
      </c>
      <c r="U61" s="55">
        <f>Project_CF!U24</f>
        <v>839.85164298238499</v>
      </c>
      <c r="V61" s="55">
        <f>Project_CF!V24</f>
        <v>853.49739474754142</v>
      </c>
      <c r="W61" s="55">
        <f>Project_CF!W24</f>
        <v>867.38274422958102</v>
      </c>
      <c r="X61" s="55">
        <f>Project_CF!X24</f>
        <v>881.51188500380397</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-2690.6</v>
      </c>
      <c r="D62" s="55">
        <f>Project_CF!D24</f>
        <v>-3791.3</v>
      </c>
      <c r="E62" s="55">
        <f>Project_CF!E24</f>
        <v>1099.572496</v>
      </c>
      <c r="F62" s="55">
        <f>Project_CF!F24</f>
        <v>745.58180202816015</v>
      </c>
      <c r="G62" s="55">
        <f>Project_CF!G24</f>
        <v>758.7179693525859</v>
      </c>
      <c r="H62" s="55">
        <f>Project_CF!H24</f>
        <v>772.08497260535819</v>
      </c>
      <c r="I62" s="55">
        <f>Project_CF!I24</f>
        <v>762.6049698916637</v>
      </c>
      <c r="J62" s="55">
        <f>Project_CF!J24</f>
        <v>775.7538037692035</v>
      </c>
      <c r="K62" s="55">
        <f>Project_CF!K24</f>
        <v>789.13365959805901</v>
      </c>
      <c r="L62" s="55">
        <f>Project_CF!L24</f>
        <v>802.74858391037333</v>
      </c>
      <c r="M62" s="55">
        <f>Project_CF!M24</f>
        <v>816.60269386156529</v>
      </c>
      <c r="N62" s="55">
        <f>Project_CF!N24</f>
        <v>830.70017845767336</v>
      </c>
      <c r="O62" s="55">
        <f>Project_CF!O24</f>
        <v>845.04529980392397</v>
      </c>
      <c r="P62" s="55">
        <f>Project_CF!P24</f>
        <v>859.6423943748855</v>
      </c>
      <c r="Q62" s="55">
        <f>Project_CF!Q24</f>
        <v>874.4958743065813</v>
      </c>
      <c r="R62" s="55">
        <f>Project_CF!R24</f>
        <v>859.84385548930538</v>
      </c>
      <c r="S62" s="55">
        <f>Project_CF!S24</f>
        <v>874.41418882804317</v>
      </c>
      <c r="T62" s="55">
        <f>Project_CF!T24</f>
        <v>826.44136723550741</v>
      </c>
      <c r="U62" s="55">
        <f>Project_CF!U24</f>
        <v>839.85164298238499</v>
      </c>
      <c r="V62" s="55">
        <f>Project_CF!V24</f>
        <v>853.49739474754142</v>
      </c>
      <c r="W62" s="55">
        <f>Project_CF!W24</f>
        <v>867.38274422958102</v>
      </c>
      <c r="X62" s="55">
        <f>Project_CF!X24</f>
        <v>881.51188500380397</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-2690.6</v>
      </c>
      <c r="D63" s="55">
        <f>Project_CF!D24</f>
        <v>-3791.3</v>
      </c>
      <c r="E63" s="55">
        <f>Project_CF!E24</f>
        <v>1099.572496</v>
      </c>
      <c r="F63" s="55">
        <f>Project_CF!F24</f>
        <v>745.58180202816015</v>
      </c>
      <c r="G63" s="55">
        <f>Project_CF!G24</f>
        <v>758.7179693525859</v>
      </c>
      <c r="H63" s="55">
        <f>Project_CF!H24</f>
        <v>772.08497260535819</v>
      </c>
      <c r="I63" s="55">
        <f>Project_CF!I24</f>
        <v>762.6049698916637</v>
      </c>
      <c r="J63" s="55">
        <f>Project_CF!J24</f>
        <v>775.7538037692035</v>
      </c>
      <c r="K63" s="55">
        <f>Project_CF!K24</f>
        <v>789.13365959805901</v>
      </c>
      <c r="L63" s="55">
        <f>Project_CF!L24</f>
        <v>802.74858391037333</v>
      </c>
      <c r="M63" s="55">
        <f>Project_CF!M24</f>
        <v>816.60269386156529</v>
      </c>
      <c r="N63" s="55">
        <f>Project_CF!N24</f>
        <v>830.70017845767336</v>
      </c>
      <c r="O63" s="55">
        <f>Project_CF!O24</f>
        <v>845.04529980392397</v>
      </c>
      <c r="P63" s="55">
        <f>Project_CF!P24</f>
        <v>859.6423943748855</v>
      </c>
      <c r="Q63" s="55">
        <f>Project_CF!Q24</f>
        <v>874.4958743065813</v>
      </c>
      <c r="R63" s="55">
        <f>Project_CF!R24</f>
        <v>859.84385548930538</v>
      </c>
      <c r="S63" s="55">
        <f>Project_CF!S24</f>
        <v>874.41418882804317</v>
      </c>
      <c r="T63" s="55">
        <f>Project_CF!T24</f>
        <v>826.44136723550741</v>
      </c>
      <c r="U63" s="55">
        <f>Project_CF!U24</f>
        <v>839.85164298238499</v>
      </c>
      <c r="V63" s="55">
        <f>Project_CF!V24</f>
        <v>853.49739474754142</v>
      </c>
      <c r="W63" s="55">
        <f>Project_CF!W24</f>
        <v>867.38274422958102</v>
      </c>
      <c r="X63" s="55">
        <f>Project_CF!X24</f>
        <v>881.51188500380397</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-2690.6</v>
      </c>
      <c r="D64" s="55">
        <f>Project_CF!D24</f>
        <v>-3791.3</v>
      </c>
      <c r="E64" s="55">
        <f>Project_CF!E24</f>
        <v>1099.572496</v>
      </c>
      <c r="F64" s="55">
        <f>Project_CF!F24</f>
        <v>745.58180202816015</v>
      </c>
      <c r="G64" s="55">
        <f>Project_CF!G24</f>
        <v>758.7179693525859</v>
      </c>
      <c r="H64" s="55">
        <f>Project_CF!H24</f>
        <v>772.08497260535819</v>
      </c>
      <c r="I64" s="55">
        <f>Project_CF!I24</f>
        <v>762.6049698916637</v>
      </c>
      <c r="J64" s="55">
        <f>Project_CF!J24</f>
        <v>775.7538037692035</v>
      </c>
      <c r="K64" s="55">
        <f>Project_CF!K24</f>
        <v>789.13365959805901</v>
      </c>
      <c r="L64" s="55">
        <f>Project_CF!L24</f>
        <v>802.74858391037333</v>
      </c>
      <c r="M64" s="55">
        <f>Project_CF!M24</f>
        <v>816.60269386156529</v>
      </c>
      <c r="N64" s="55">
        <f>Project_CF!N24</f>
        <v>830.70017845767336</v>
      </c>
      <c r="O64" s="55">
        <f>Project_CF!O24</f>
        <v>845.04529980392397</v>
      </c>
      <c r="P64" s="55">
        <f>Project_CF!P24</f>
        <v>859.6423943748855</v>
      </c>
      <c r="Q64" s="55">
        <f>Project_CF!Q24</f>
        <v>874.4958743065813</v>
      </c>
      <c r="R64" s="55">
        <f>Project_CF!R24</f>
        <v>859.84385548930538</v>
      </c>
      <c r="S64" s="55">
        <f>Project_CF!S24</f>
        <v>874.41418882804317</v>
      </c>
      <c r="T64" s="55">
        <f>Project_CF!T24</f>
        <v>826.44136723550741</v>
      </c>
      <c r="U64" s="55">
        <f>Project_CF!U24</f>
        <v>839.85164298238499</v>
      </c>
      <c r="V64" s="55">
        <f>Project_CF!V24</f>
        <v>853.49739474754142</v>
      </c>
      <c r="W64" s="55">
        <f>Project_CF!W24</f>
        <v>867.38274422958102</v>
      </c>
      <c r="X64" s="55">
        <f>Project_CF!X24</f>
        <v>881.51188500380397</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-1091.8332500000001</v>
      </c>
      <c r="D70" s="55">
        <f>Equity_CF!D20+(Energy_Revenue!D14*-0.0999999999999999)*(1-Dep_Tax!D24)</f>
        <v>-1507.6532500000003</v>
      </c>
      <c r="E70" s="55">
        <f>Equity_CF!E20+(Energy_Revenue!E14*-0.0999999999999999)*(1-Dep_Tax!E24)</f>
        <v>607.42774640000005</v>
      </c>
      <c r="F70" s="55">
        <f>Equity_CF!F20+(Energy_Revenue!F14*-0.0999999999999999)*(1-Dep_Tax!F24)</f>
        <v>-33.465144841322427</v>
      </c>
      <c r="G70" s="55">
        <f>Equity_CF!G20+(Energy_Revenue!G14*-0.0999999999999999)*(1-Dep_Tax!G24)</f>
        <v>5.2177470839940696</v>
      </c>
      <c r="H70" s="55">
        <f>Equity_CF!H20+(Energy_Revenue!H14*-0.0999999999999999)*(1-Dep_Tax!H24)</f>
        <v>44.103401504822486</v>
      </c>
      <c r="I70" s="55">
        <f>Equity_CF!I20+(Energy_Revenue!I14*-0.0999999999999999)*(1-Dep_Tax!I24)</f>
        <v>80.969713872370804</v>
      </c>
      <c r="J70" s="55">
        <f>Equity_CF!J20+(Energy_Revenue!J14*-0.0999999999999999)*(1-Dep_Tax!J24)</f>
        <v>118.3064812678041</v>
      </c>
      <c r="K70" s="55">
        <f>Equity_CF!K20+(Energy_Revenue!K14*-0.0999999999999999)*(1-Dep_Tax!K24)</f>
        <v>155.84613792420123</v>
      </c>
      <c r="L70" s="55">
        <f>Equity_CF!L20+(Energy_Revenue!L14*-0.0999999999999999)*(1-Dep_Tax!L24)</f>
        <v>193.59222511058636</v>
      </c>
      <c r="M70" s="55">
        <f>Equity_CF!M20+(Energy_Revenue!M14*-0.0999999999999999)*(1-Dep_Tax!M24)</f>
        <v>231.54834564473413</v>
      </c>
      <c r="N70" s="55">
        <f>Equity_CF!N20+(Energy_Revenue!N14*-0.0999999999999999)*(1-Dep_Tax!N24)</f>
        <v>269.71816495753444</v>
      </c>
      <c r="O70" s="55">
        <f>Equity_CF!O20+(Energy_Revenue!O14*-0.0999999999999999)*(1-Dep_Tax!O24)</f>
        <v>308.10541217565611</v>
      </c>
      <c r="P70" s="55">
        <f>Equity_CF!P20+(Energy_Revenue!P14*-0.0999999999999999)*(1-Dep_Tax!P24)</f>
        <v>346.71388122281394</v>
      </c>
      <c r="Q70" s="55">
        <f>Equity_CF!Q20+(Energy_Revenue!Q14*-0.0999999999999999)*(1-Dep_Tax!Q24)</f>
        <v>385.54743193996507</v>
      </c>
      <c r="R70" s="55">
        <f>Equity_CF!R20+(Energy_Revenue!R14*-0.0999999999999999)*(1-Dep_Tax!R24)</f>
        <v>404.29801646730357</v>
      </c>
      <c r="S70" s="55">
        <f>Equity_CF!S20+(Energy_Revenue!S14*-0.0999999999999999)*(1-Dep_Tax!S24)</f>
        <v>441.5253919085394</v>
      </c>
      <c r="T70" s="55">
        <f>Equity_CF!T20+(Energy_Revenue!T14*-0.0999999999999999)*(1-Dep_Tax!T24)</f>
        <v>430.05570410646163</v>
      </c>
      <c r="U70" s="55">
        <f>Equity_CF!U20+(Energy_Revenue!U14*-0.0999999999999999)*(1-Dep_Tax!U24)</f>
        <v>748.91612609553999</v>
      </c>
      <c r="V70" s="55">
        <f>Equity_CF!V20+(Energy_Revenue!V14*-0.0999999999999999)*(1-Dep_Tax!V24)</f>
        <v>760.92867597740872</v>
      </c>
      <c r="W70" s="55">
        <f>Equity_CF!W20+(Energy_Revenue!W14*-0.0999999999999999)*(1-Dep_Tax!W24)</f>
        <v>773.15149127033669</v>
      </c>
      <c r="X70" s="55">
        <f>Equity_CF!X20+(Energy_Revenue!X14*-0.0999999999999999)*(1-Dep_Tax!X24)</f>
        <v>785.58823874141171</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674</v>
      </c>
      <c r="B71" s="40" t="s">
        <v>703</v>
      </c>
      <c r="C71" s="55">
        <f>Equity_CF!C20+(Energy_Revenue!C14*-0.05)*(1-Dep_Tax!C24)</f>
        <v>-1091.8332500000001</v>
      </c>
      <c r="D71" s="55">
        <f>Equity_CF!D20+(Energy_Revenue!D14*-0.05)*(1-Dep_Tax!D24)</f>
        <v>-1507.6532500000003</v>
      </c>
      <c r="E71" s="55">
        <f>Equity_CF!E20+(Energy_Revenue!E14*-0.05)*(1-Dep_Tax!E24)</f>
        <v>650.17637119999995</v>
      </c>
      <c r="F71" s="55">
        <f>Equity_CF!F20+(Energy_Revenue!F14*-0.05)*(1-Dep_Tax!F24)</f>
        <v>10.051245260085494</v>
      </c>
      <c r="G71" s="55">
        <f>Equity_CF!G20+(Energy_Revenue!G14*-0.05)*(1-Dep_Tax!G24)</f>
        <v>49.515691551623263</v>
      </c>
      <c r="H71" s="55">
        <f>Equity_CF!H20+(Energy_Revenue!H14*-0.05)*(1-Dep_Tax!H24)</f>
        <v>89.196937055090302</v>
      </c>
      <c r="I71" s="55">
        <f>Equity_CF!I20+(Energy_Revenue!I14*-0.05)*(1-Dep_Tax!I24)</f>
        <v>124.5779585486839</v>
      </c>
      <c r="J71" s="55">
        <f>Equity_CF!J20+(Energy_Revenue!J14*-0.05)*(1-Dep_Tax!J24)</f>
        <v>162.69793001850377</v>
      </c>
      <c r="K71" s="55">
        <f>Equity_CF!K20+(Energy_Revenue!K14*-0.05)*(1-Dep_Tax!K24)</f>
        <v>201.03485709446346</v>
      </c>
      <c r="L71" s="55">
        <f>Equity_CF!L20+(Energy_Revenue!L14*-0.05)*(1-Dep_Tax!L24)</f>
        <v>239.59253367714649</v>
      </c>
      <c r="M71" s="55">
        <f>Equity_CF!M20+(Energy_Revenue!M14*-0.05)*(1-Dep_Tax!M24)</f>
        <v>278.37481975314972</v>
      </c>
      <c r="N71" s="55">
        <f>Equity_CF!N20+(Energy_Revenue!N14*-0.05)*(1-Dep_Tax!N24)</f>
        <v>317.38564254093717</v>
      </c>
      <c r="O71" s="55">
        <f>Equity_CF!O20+(Energy_Revenue!O14*-0.05)*(1-Dep_Tax!O24)</f>
        <v>356.6289976564567</v>
      </c>
      <c r="P71" s="55">
        <f>Equity_CF!P20+(Energy_Revenue!P14*-0.05)*(1-Dep_Tax!P24)</f>
        <v>396.10895029884972</v>
      </c>
      <c r="Q71" s="55">
        <f>Equity_CF!Q20+(Energy_Revenue!Q14*-0.05)*(1-Dep_Tax!Q24)</f>
        <v>435.82963645660652</v>
      </c>
      <c r="R71" s="55">
        <f>Equity_CF!R20+(Energy_Revenue!R14*-0.05)*(1-Dep_Tax!R24)</f>
        <v>452.78932764497119</v>
      </c>
      <c r="S71" s="55">
        <f>Equity_CF!S20+(Energy_Revenue!S14*-0.05)*(1-Dep_Tax!S24)</f>
        <v>490.88760703495797</v>
      </c>
      <c r="T71" s="55">
        <f>Equity_CF!T20+(Energy_Revenue!T14*-0.05)*(1-Dep_Tax!T24)</f>
        <v>474.72126900431857</v>
      </c>
      <c r="U71" s="55">
        <f>Equity_CF!U20+(Energy_Revenue!U14*-0.05)*(1-Dep_Tax!U24)</f>
        <v>794.38388453896243</v>
      </c>
      <c r="V71" s="55">
        <f>Equity_CF!V20+(Energy_Revenue!V14*-0.05)*(1-Dep_Tax!V24)</f>
        <v>807.21303536247501</v>
      </c>
      <c r="W71" s="55">
        <f>Equity_CF!W20+(Energy_Revenue!W14*-0.05)*(1-Dep_Tax!W24)</f>
        <v>820.26711774995886</v>
      </c>
      <c r="X71" s="55">
        <f>Equity_CF!X20+(Energy_Revenue!X14*-0.05)*(1-Dep_Tax!X24)</f>
        <v>833.55006187260778</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676</v>
      </c>
      <c r="B72" s="40" t="s">
        <v>704</v>
      </c>
      <c r="C72" s="55">
        <f>Equity_CF!C20+(Energy_Revenue!C14*0)*(1-Dep_Tax!C24)</f>
        <v>-1091.8332500000001</v>
      </c>
      <c r="D72" s="55">
        <f>Equity_CF!D20+(Energy_Revenue!D14*0)*(1-Dep_Tax!D24)</f>
        <v>-1507.6532500000003</v>
      </c>
      <c r="E72" s="55">
        <f>Equity_CF!E20+(Energy_Revenue!E14*0)*(1-Dep_Tax!E24)</f>
        <v>692.92499599999996</v>
      </c>
      <c r="F72" s="55">
        <f>Equity_CF!F20+(Energy_Revenue!F14*0)*(1-Dep_Tax!F24)</f>
        <v>53.567635361493501</v>
      </c>
      <c r="G72" s="55">
        <f>Equity_CF!G20+(Energy_Revenue!G14*0)*(1-Dep_Tax!G24)</f>
        <v>93.813636019252556</v>
      </c>
      <c r="H72" s="55">
        <f>Equity_CF!H20+(Energy_Revenue!H14*0)*(1-Dep_Tax!H24)</f>
        <v>134.29047260535822</v>
      </c>
      <c r="I72" s="55">
        <f>Equity_CF!I20+(Energy_Revenue!I14*0)*(1-Dep_Tax!I24)</f>
        <v>168.18620322499709</v>
      </c>
      <c r="J72" s="55">
        <f>Equity_CF!J20+(Energy_Revenue!J14*0)*(1-Dep_Tax!J24)</f>
        <v>207.08937876920356</v>
      </c>
      <c r="K72" s="55">
        <f>Equity_CF!K20+(Energy_Revenue!K14*0)*(1-Dep_Tax!K24)</f>
        <v>246.22357626472581</v>
      </c>
      <c r="L72" s="55">
        <f>Equity_CF!L20+(Energy_Revenue!L14*0)*(1-Dep_Tax!L24)</f>
        <v>285.59284224370674</v>
      </c>
      <c r="M72" s="55">
        <f>Equity_CF!M20+(Energy_Revenue!M14*0)*(1-Dep_Tax!M24)</f>
        <v>325.20129386156538</v>
      </c>
      <c r="N72" s="55">
        <f>Equity_CF!N20+(Energy_Revenue!N14*0)*(1-Dep_Tax!N24)</f>
        <v>365.05312012434001</v>
      </c>
      <c r="O72" s="55">
        <f>Equity_CF!O20+(Energy_Revenue!O14*0)*(1-Dep_Tax!O24)</f>
        <v>405.15258313725747</v>
      </c>
      <c r="P72" s="55">
        <f>Equity_CF!P20+(Energy_Revenue!P14*0)*(1-Dep_Tax!P24)</f>
        <v>445.50401937488562</v>
      </c>
      <c r="Q72" s="55">
        <f>Equity_CF!Q20+(Energy_Revenue!Q14*0)*(1-Dep_Tax!Q24)</f>
        <v>486.11184097324804</v>
      </c>
      <c r="R72" s="55">
        <f>Equity_CF!R20+(Energy_Revenue!R14*0)*(1-Dep_Tax!R24)</f>
        <v>501.28063882263893</v>
      </c>
      <c r="S72" s="55">
        <f>Equity_CF!S20+(Energy_Revenue!S14*0)*(1-Dep_Tax!S24)</f>
        <v>540.24982216137664</v>
      </c>
      <c r="T72" s="55">
        <f>Equity_CF!T20+(Energy_Revenue!T14*0)*(1-Dep_Tax!T24)</f>
        <v>519.38683390217557</v>
      </c>
      <c r="U72" s="55">
        <f>Equity_CF!U20+(Energy_Revenue!U14*0)*(1-Dep_Tax!U24)</f>
        <v>839.85164298238499</v>
      </c>
      <c r="V72" s="55">
        <f>Equity_CF!V20+(Energy_Revenue!V14*0)*(1-Dep_Tax!V24)</f>
        <v>853.49739474754142</v>
      </c>
      <c r="W72" s="55">
        <f>Equity_CF!W20+(Energy_Revenue!W14*0)*(1-Dep_Tax!W24)</f>
        <v>867.38274422958102</v>
      </c>
      <c r="X72" s="55">
        <f>Equity_CF!X20+(Energy_Revenue!X14*0)*(1-Dep_Tax!X24)</f>
        <v>881.51188500380397</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678</v>
      </c>
      <c r="B73" s="40" t="s">
        <v>705</v>
      </c>
      <c r="C73" s="55">
        <f>Equity_CF!C20+(Energy_Revenue!C14*0.05)*(1-Dep_Tax!C24)</f>
        <v>-1091.8332500000001</v>
      </c>
      <c r="D73" s="55">
        <f>Equity_CF!D20+(Energy_Revenue!D14*0.05)*(1-Dep_Tax!D24)</f>
        <v>-1507.6532500000003</v>
      </c>
      <c r="E73" s="55">
        <f>Equity_CF!E20+(Energy_Revenue!E14*0.05)*(1-Dep_Tax!E24)</f>
        <v>735.67362079999998</v>
      </c>
      <c r="F73" s="55">
        <f>Equity_CF!F20+(Energy_Revenue!F14*0.05)*(1-Dep_Tax!F24)</f>
        <v>97.084025462901508</v>
      </c>
      <c r="G73" s="55">
        <f>Equity_CF!G20+(Energy_Revenue!G14*0.05)*(1-Dep_Tax!G24)</f>
        <v>138.11158048688185</v>
      </c>
      <c r="H73" s="55">
        <f>Equity_CF!H20+(Energy_Revenue!H14*0.05)*(1-Dep_Tax!H24)</f>
        <v>179.38400815562613</v>
      </c>
      <c r="I73" s="55">
        <f>Equity_CF!I20+(Energy_Revenue!I14*0.05)*(1-Dep_Tax!I24)</f>
        <v>211.79444790131026</v>
      </c>
      <c r="J73" s="55">
        <f>Equity_CF!J20+(Energy_Revenue!J14*0.05)*(1-Dep_Tax!J24)</f>
        <v>251.48082751990336</v>
      </c>
      <c r="K73" s="55">
        <f>Equity_CF!K20+(Energy_Revenue!K14*0.05)*(1-Dep_Tax!K24)</f>
        <v>291.41229543498815</v>
      </c>
      <c r="L73" s="55">
        <f>Equity_CF!L20+(Energy_Revenue!L14*0.05)*(1-Dep_Tax!L24)</f>
        <v>331.59315081026699</v>
      </c>
      <c r="M73" s="55">
        <f>Equity_CF!M20+(Energy_Revenue!M14*0.05)*(1-Dep_Tax!M24)</f>
        <v>372.02776796998103</v>
      </c>
      <c r="N73" s="55">
        <f>Equity_CF!N20+(Energy_Revenue!N14*0.05)*(1-Dep_Tax!N24)</f>
        <v>412.72059770774285</v>
      </c>
      <c r="O73" s="55">
        <f>Equity_CF!O20+(Energy_Revenue!O14*0.05)*(1-Dep_Tax!O24)</f>
        <v>453.67616861805823</v>
      </c>
      <c r="P73" s="55">
        <f>Equity_CF!P20+(Energy_Revenue!P14*0.05)*(1-Dep_Tax!P24)</f>
        <v>494.89908845092151</v>
      </c>
      <c r="Q73" s="55">
        <f>Equity_CF!Q20+(Energy_Revenue!Q14*0.05)*(1-Dep_Tax!Q24)</f>
        <v>536.39404548988955</v>
      </c>
      <c r="R73" s="55">
        <f>Equity_CF!R20+(Energy_Revenue!R14*0.05)*(1-Dep_Tax!R24)</f>
        <v>549.77195000030667</v>
      </c>
      <c r="S73" s="55">
        <f>Equity_CF!S20+(Energy_Revenue!S14*0.05)*(1-Dep_Tax!S24)</f>
        <v>589.61203728779537</v>
      </c>
      <c r="T73" s="55">
        <f>Equity_CF!T20+(Energy_Revenue!T14*0.05)*(1-Dep_Tax!T24)</f>
        <v>564.05239880003262</v>
      </c>
      <c r="U73" s="55">
        <f>Equity_CF!U20+(Energy_Revenue!U14*0.05)*(1-Dep_Tax!U24)</f>
        <v>885.31940142580754</v>
      </c>
      <c r="V73" s="55">
        <f>Equity_CF!V20+(Energy_Revenue!V14*0.05)*(1-Dep_Tax!V24)</f>
        <v>899.78175413260783</v>
      </c>
      <c r="W73" s="55">
        <f>Equity_CF!W20+(Energy_Revenue!W14*0.05)*(1-Dep_Tax!W24)</f>
        <v>914.49837070920319</v>
      </c>
      <c r="X73" s="55">
        <f>Equity_CF!X20+(Energy_Revenue!X14*0.05)*(1-Dep_Tax!X24)</f>
        <v>929.47370813500015</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680</v>
      </c>
      <c r="B74" s="40" t="s">
        <v>706</v>
      </c>
      <c r="C74" s="55">
        <f>Equity_CF!C20+(Energy_Revenue!C14*0.1)*(1-Dep_Tax!C24)</f>
        <v>-1091.8332500000001</v>
      </c>
      <c r="D74" s="55">
        <f>Equity_CF!D20+(Energy_Revenue!D14*0.1)*(1-Dep_Tax!D24)</f>
        <v>-1507.6532500000003</v>
      </c>
      <c r="E74" s="55">
        <f>Equity_CF!E20+(Energy_Revenue!E14*0.1)*(1-Dep_Tax!E24)</f>
        <v>778.4222456</v>
      </c>
      <c r="F74" s="55">
        <f>Equity_CF!F20+(Energy_Revenue!F14*0.1)*(1-Dep_Tax!F24)</f>
        <v>140.60041556430951</v>
      </c>
      <c r="G74" s="55">
        <f>Equity_CF!G20+(Energy_Revenue!G14*0.1)*(1-Dep_Tax!G24)</f>
        <v>182.40952495451114</v>
      </c>
      <c r="H74" s="55">
        <f>Equity_CF!H20+(Energy_Revenue!H14*0.1)*(1-Dep_Tax!H24)</f>
        <v>224.47754370589405</v>
      </c>
      <c r="I74" s="55">
        <f>Equity_CF!I20+(Energy_Revenue!I14*0.1)*(1-Dep_Tax!I24)</f>
        <v>255.40269257762347</v>
      </c>
      <c r="J74" s="55">
        <f>Equity_CF!J20+(Energy_Revenue!J14*0.1)*(1-Dep_Tax!J24)</f>
        <v>295.87227627060315</v>
      </c>
      <c r="K74" s="55">
        <f>Equity_CF!K20+(Energy_Revenue!K14*0.1)*(1-Dep_Tax!K24)</f>
        <v>336.6010146052505</v>
      </c>
      <c r="L74" s="55">
        <f>Equity_CF!L20+(Energy_Revenue!L14*0.1)*(1-Dep_Tax!L24)</f>
        <v>377.59345937682724</v>
      </c>
      <c r="M74" s="55">
        <f>Equity_CF!M20+(Energy_Revenue!M14*0.1)*(1-Dep_Tax!M24)</f>
        <v>418.85424207839674</v>
      </c>
      <c r="N74" s="55">
        <f>Equity_CF!N20+(Energy_Revenue!N14*0.1)*(1-Dep_Tax!N24)</f>
        <v>460.3880752911457</v>
      </c>
      <c r="O74" s="55">
        <f>Equity_CF!O20+(Energy_Revenue!O14*0.1)*(1-Dep_Tax!O24)</f>
        <v>502.19975409885893</v>
      </c>
      <c r="P74" s="55">
        <f>Equity_CF!P20+(Energy_Revenue!P14*0.1)*(1-Dep_Tax!P24)</f>
        <v>544.29415752695741</v>
      </c>
      <c r="Q74" s="55">
        <f>Equity_CF!Q20+(Energy_Revenue!Q14*0.1)*(1-Dep_Tax!Q24)</f>
        <v>586.67625000653106</v>
      </c>
      <c r="R74" s="55">
        <f>Equity_CF!R20+(Energy_Revenue!R14*0.1)*(1-Dep_Tax!R24)</f>
        <v>598.26326117797441</v>
      </c>
      <c r="S74" s="55">
        <f>Equity_CF!S20+(Energy_Revenue!S14*0.1)*(1-Dep_Tax!S24)</f>
        <v>638.97425241421399</v>
      </c>
      <c r="T74" s="55">
        <f>Equity_CF!T20+(Energy_Revenue!T14*0.1)*(1-Dep_Tax!T24)</f>
        <v>608.71796369788956</v>
      </c>
      <c r="U74" s="55">
        <f>Equity_CF!U20+(Energy_Revenue!U14*0.1)*(1-Dep_Tax!U24)</f>
        <v>930.78715986923009</v>
      </c>
      <c r="V74" s="55">
        <f>Equity_CF!V20+(Energy_Revenue!V14*0.1)*(1-Dep_Tax!V24)</f>
        <v>946.06611351767424</v>
      </c>
      <c r="W74" s="55">
        <f>Equity_CF!W20+(Energy_Revenue!W14*0.1)*(1-Dep_Tax!W24)</f>
        <v>961.61399718882535</v>
      </c>
      <c r="X74" s="55">
        <f>Equity_CF!X20+(Energy_Revenue!X14*0.1)*(1-Dep_Tax!X24)</f>
        <v>977.43553126619634</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682</v>
      </c>
      <c r="B75" s="40" t="s">
        <v>702</v>
      </c>
      <c r="C75" s="55">
        <f>Equity_CF!C20+(Energy_Revenue!C14*-0.0999999999999999)*(1-Dep_Tax!C24)</f>
        <v>-1091.8332500000001</v>
      </c>
      <c r="D75" s="55">
        <f>Equity_CF!D20+(Energy_Revenue!D14*-0.0999999999999999)*(1-Dep_Tax!D24)</f>
        <v>-1507.6532500000003</v>
      </c>
      <c r="E75" s="55">
        <f>Equity_CF!E20+(Energy_Revenue!E14*-0.0999999999999999)*(1-Dep_Tax!E24)</f>
        <v>607.42774640000005</v>
      </c>
      <c r="F75" s="55">
        <f>Equity_CF!F20+(Energy_Revenue!F14*-0.0999999999999999)*(1-Dep_Tax!F24)</f>
        <v>-33.465144841322427</v>
      </c>
      <c r="G75" s="55">
        <f>Equity_CF!G20+(Energy_Revenue!G14*-0.0999999999999999)*(1-Dep_Tax!G24)</f>
        <v>5.2177470839940696</v>
      </c>
      <c r="H75" s="55">
        <f>Equity_CF!H20+(Energy_Revenue!H14*-0.0999999999999999)*(1-Dep_Tax!H24)</f>
        <v>44.103401504822486</v>
      </c>
      <c r="I75" s="55">
        <f>Equity_CF!I20+(Energy_Revenue!I14*-0.0999999999999999)*(1-Dep_Tax!I24)</f>
        <v>80.969713872370804</v>
      </c>
      <c r="J75" s="55">
        <f>Equity_CF!J20+(Energy_Revenue!J14*-0.0999999999999999)*(1-Dep_Tax!J24)</f>
        <v>118.3064812678041</v>
      </c>
      <c r="K75" s="55">
        <f>Equity_CF!K20+(Energy_Revenue!K14*-0.0999999999999999)*(1-Dep_Tax!K24)</f>
        <v>155.84613792420123</v>
      </c>
      <c r="L75" s="55">
        <f>Equity_CF!L20+(Energy_Revenue!L14*-0.0999999999999999)*(1-Dep_Tax!L24)</f>
        <v>193.59222511058636</v>
      </c>
      <c r="M75" s="55">
        <f>Equity_CF!M20+(Energy_Revenue!M14*-0.0999999999999999)*(1-Dep_Tax!M24)</f>
        <v>231.54834564473413</v>
      </c>
      <c r="N75" s="55">
        <f>Equity_CF!N20+(Energy_Revenue!N14*-0.0999999999999999)*(1-Dep_Tax!N24)</f>
        <v>269.71816495753444</v>
      </c>
      <c r="O75" s="55">
        <f>Equity_CF!O20+(Energy_Revenue!O14*-0.0999999999999999)*(1-Dep_Tax!O24)</f>
        <v>308.10541217565611</v>
      </c>
      <c r="P75" s="55">
        <f>Equity_CF!P20+(Energy_Revenue!P14*-0.0999999999999999)*(1-Dep_Tax!P24)</f>
        <v>346.71388122281394</v>
      </c>
      <c r="Q75" s="55">
        <f>Equity_CF!Q20+(Energy_Revenue!Q14*-0.0999999999999999)*(1-Dep_Tax!Q24)</f>
        <v>385.54743193996507</v>
      </c>
      <c r="R75" s="55">
        <f>Equity_CF!R20+(Energy_Revenue!R14*-0.0999999999999999)*(1-Dep_Tax!R24)</f>
        <v>404.29801646730357</v>
      </c>
      <c r="S75" s="55">
        <f>Equity_CF!S20+(Energy_Revenue!S14*-0.0999999999999999)*(1-Dep_Tax!S24)</f>
        <v>441.5253919085394</v>
      </c>
      <c r="T75" s="55">
        <f>Equity_CF!T20+(Energy_Revenue!T14*-0.0999999999999999)*(1-Dep_Tax!T24)</f>
        <v>430.05570410646163</v>
      </c>
      <c r="U75" s="55">
        <f>Equity_CF!U20+(Energy_Revenue!U14*-0.0999999999999999)*(1-Dep_Tax!U24)</f>
        <v>748.91612609553999</v>
      </c>
      <c r="V75" s="55">
        <f>Equity_CF!V20+(Energy_Revenue!V14*-0.0999999999999999)*(1-Dep_Tax!V24)</f>
        <v>760.92867597740872</v>
      </c>
      <c r="W75" s="55">
        <f>Equity_CF!W20+(Energy_Revenue!W14*-0.0999999999999999)*(1-Dep_Tax!W24)</f>
        <v>773.15149127033669</v>
      </c>
      <c r="X75" s="55">
        <f>Equity_CF!X20+(Energy_Revenue!X14*-0.0999999999999999)*(1-Dep_Tax!X24)</f>
        <v>785.58823874141171</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683</v>
      </c>
      <c r="B76" s="40" t="s">
        <v>703</v>
      </c>
      <c r="C76" s="55">
        <f>Equity_CF!C20+(Energy_Revenue!C14*-0.05)*(1-Dep_Tax!C24)</f>
        <v>-1091.8332500000001</v>
      </c>
      <c r="D76" s="55">
        <f>Equity_CF!D20+(Energy_Revenue!D14*-0.05)*(1-Dep_Tax!D24)</f>
        <v>-1507.6532500000003</v>
      </c>
      <c r="E76" s="55">
        <f>Equity_CF!E20+(Energy_Revenue!E14*-0.05)*(1-Dep_Tax!E24)</f>
        <v>650.17637119999995</v>
      </c>
      <c r="F76" s="55">
        <f>Equity_CF!F20+(Energy_Revenue!F14*-0.05)*(1-Dep_Tax!F24)</f>
        <v>10.051245260085494</v>
      </c>
      <c r="G76" s="55">
        <f>Equity_CF!G20+(Energy_Revenue!G14*-0.05)*(1-Dep_Tax!G24)</f>
        <v>49.515691551623263</v>
      </c>
      <c r="H76" s="55">
        <f>Equity_CF!H20+(Energy_Revenue!H14*-0.05)*(1-Dep_Tax!H24)</f>
        <v>89.196937055090302</v>
      </c>
      <c r="I76" s="55">
        <f>Equity_CF!I20+(Energy_Revenue!I14*-0.05)*(1-Dep_Tax!I24)</f>
        <v>124.5779585486839</v>
      </c>
      <c r="J76" s="55">
        <f>Equity_CF!J20+(Energy_Revenue!J14*-0.05)*(1-Dep_Tax!J24)</f>
        <v>162.69793001850377</v>
      </c>
      <c r="K76" s="55">
        <f>Equity_CF!K20+(Energy_Revenue!K14*-0.05)*(1-Dep_Tax!K24)</f>
        <v>201.03485709446346</v>
      </c>
      <c r="L76" s="55">
        <f>Equity_CF!L20+(Energy_Revenue!L14*-0.05)*(1-Dep_Tax!L24)</f>
        <v>239.59253367714649</v>
      </c>
      <c r="M76" s="55">
        <f>Equity_CF!M20+(Energy_Revenue!M14*-0.05)*(1-Dep_Tax!M24)</f>
        <v>278.37481975314972</v>
      </c>
      <c r="N76" s="55">
        <f>Equity_CF!N20+(Energy_Revenue!N14*-0.05)*(1-Dep_Tax!N24)</f>
        <v>317.38564254093717</v>
      </c>
      <c r="O76" s="55">
        <f>Equity_CF!O20+(Energy_Revenue!O14*-0.05)*(1-Dep_Tax!O24)</f>
        <v>356.6289976564567</v>
      </c>
      <c r="P76" s="55">
        <f>Equity_CF!P20+(Energy_Revenue!P14*-0.05)*(1-Dep_Tax!P24)</f>
        <v>396.10895029884972</v>
      </c>
      <c r="Q76" s="55">
        <f>Equity_CF!Q20+(Energy_Revenue!Q14*-0.05)*(1-Dep_Tax!Q24)</f>
        <v>435.82963645660652</v>
      </c>
      <c r="R76" s="55">
        <f>Equity_CF!R20+(Energy_Revenue!R14*-0.05)*(1-Dep_Tax!R24)</f>
        <v>452.78932764497119</v>
      </c>
      <c r="S76" s="55">
        <f>Equity_CF!S20+(Energy_Revenue!S14*-0.05)*(1-Dep_Tax!S24)</f>
        <v>490.88760703495797</v>
      </c>
      <c r="T76" s="55">
        <f>Equity_CF!T20+(Energy_Revenue!T14*-0.05)*(1-Dep_Tax!T24)</f>
        <v>474.72126900431857</v>
      </c>
      <c r="U76" s="55">
        <f>Equity_CF!U20+(Energy_Revenue!U14*-0.05)*(1-Dep_Tax!U24)</f>
        <v>794.38388453896243</v>
      </c>
      <c r="V76" s="55">
        <f>Equity_CF!V20+(Energy_Revenue!V14*-0.05)*(1-Dep_Tax!V24)</f>
        <v>807.21303536247501</v>
      </c>
      <c r="W76" s="55">
        <f>Equity_CF!W20+(Energy_Revenue!W14*-0.05)*(1-Dep_Tax!W24)</f>
        <v>820.26711774995886</v>
      </c>
      <c r="X76" s="55">
        <f>Equity_CF!X20+(Energy_Revenue!X14*-0.05)*(1-Dep_Tax!X24)</f>
        <v>833.55006187260778</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684</v>
      </c>
      <c r="B77" s="40" t="s">
        <v>704</v>
      </c>
      <c r="C77" s="55">
        <f>Equity_CF!C20+(Energy_Revenue!C14*0)*(1-Dep_Tax!C24)</f>
        <v>-1091.8332500000001</v>
      </c>
      <c r="D77" s="55">
        <f>Equity_CF!D20+(Energy_Revenue!D14*0)*(1-Dep_Tax!D24)</f>
        <v>-1507.6532500000003</v>
      </c>
      <c r="E77" s="55">
        <f>Equity_CF!E20+(Energy_Revenue!E14*0)*(1-Dep_Tax!E24)</f>
        <v>692.92499599999996</v>
      </c>
      <c r="F77" s="55">
        <f>Equity_CF!F20+(Energy_Revenue!F14*0)*(1-Dep_Tax!F24)</f>
        <v>53.567635361493501</v>
      </c>
      <c r="G77" s="55">
        <f>Equity_CF!G20+(Energy_Revenue!G14*0)*(1-Dep_Tax!G24)</f>
        <v>93.813636019252556</v>
      </c>
      <c r="H77" s="55">
        <f>Equity_CF!H20+(Energy_Revenue!H14*0)*(1-Dep_Tax!H24)</f>
        <v>134.29047260535822</v>
      </c>
      <c r="I77" s="55">
        <f>Equity_CF!I20+(Energy_Revenue!I14*0)*(1-Dep_Tax!I24)</f>
        <v>168.18620322499709</v>
      </c>
      <c r="J77" s="55">
        <f>Equity_CF!J20+(Energy_Revenue!J14*0)*(1-Dep_Tax!J24)</f>
        <v>207.08937876920356</v>
      </c>
      <c r="K77" s="55">
        <f>Equity_CF!K20+(Energy_Revenue!K14*0)*(1-Dep_Tax!K24)</f>
        <v>246.22357626472581</v>
      </c>
      <c r="L77" s="55">
        <f>Equity_CF!L20+(Energy_Revenue!L14*0)*(1-Dep_Tax!L24)</f>
        <v>285.59284224370674</v>
      </c>
      <c r="M77" s="55">
        <f>Equity_CF!M20+(Energy_Revenue!M14*0)*(1-Dep_Tax!M24)</f>
        <v>325.20129386156538</v>
      </c>
      <c r="N77" s="55">
        <f>Equity_CF!N20+(Energy_Revenue!N14*0)*(1-Dep_Tax!N24)</f>
        <v>365.05312012434001</v>
      </c>
      <c r="O77" s="55">
        <f>Equity_CF!O20+(Energy_Revenue!O14*0)*(1-Dep_Tax!O24)</f>
        <v>405.15258313725747</v>
      </c>
      <c r="P77" s="55">
        <f>Equity_CF!P20+(Energy_Revenue!P14*0)*(1-Dep_Tax!P24)</f>
        <v>445.50401937488562</v>
      </c>
      <c r="Q77" s="55">
        <f>Equity_CF!Q20+(Energy_Revenue!Q14*0)*(1-Dep_Tax!Q24)</f>
        <v>486.11184097324804</v>
      </c>
      <c r="R77" s="55">
        <f>Equity_CF!R20+(Energy_Revenue!R14*0)*(1-Dep_Tax!R24)</f>
        <v>501.28063882263893</v>
      </c>
      <c r="S77" s="55">
        <f>Equity_CF!S20+(Energy_Revenue!S14*0)*(1-Dep_Tax!S24)</f>
        <v>540.24982216137664</v>
      </c>
      <c r="T77" s="55">
        <f>Equity_CF!T20+(Energy_Revenue!T14*0)*(1-Dep_Tax!T24)</f>
        <v>519.38683390217557</v>
      </c>
      <c r="U77" s="55">
        <f>Equity_CF!U20+(Energy_Revenue!U14*0)*(1-Dep_Tax!U24)</f>
        <v>839.85164298238499</v>
      </c>
      <c r="V77" s="55">
        <f>Equity_CF!V20+(Energy_Revenue!V14*0)*(1-Dep_Tax!V24)</f>
        <v>853.49739474754142</v>
      </c>
      <c r="W77" s="55">
        <f>Equity_CF!W20+(Energy_Revenue!W14*0)*(1-Dep_Tax!W24)</f>
        <v>867.38274422958102</v>
      </c>
      <c r="X77" s="55">
        <f>Equity_CF!X20+(Energy_Revenue!X14*0)*(1-Dep_Tax!X24)</f>
        <v>881.51188500380397</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685</v>
      </c>
      <c r="B78" s="40" t="s">
        <v>705</v>
      </c>
      <c r="C78" s="55">
        <f>Equity_CF!C20+(Energy_Revenue!C14*0.05)*(1-Dep_Tax!C24)</f>
        <v>-1091.8332500000001</v>
      </c>
      <c r="D78" s="55">
        <f>Equity_CF!D20+(Energy_Revenue!D14*0.05)*(1-Dep_Tax!D24)</f>
        <v>-1507.6532500000003</v>
      </c>
      <c r="E78" s="55">
        <f>Equity_CF!E20+(Energy_Revenue!E14*0.05)*(1-Dep_Tax!E24)</f>
        <v>735.67362079999998</v>
      </c>
      <c r="F78" s="55">
        <f>Equity_CF!F20+(Energy_Revenue!F14*0.05)*(1-Dep_Tax!F24)</f>
        <v>97.084025462901508</v>
      </c>
      <c r="G78" s="55">
        <f>Equity_CF!G20+(Energy_Revenue!G14*0.05)*(1-Dep_Tax!G24)</f>
        <v>138.11158048688185</v>
      </c>
      <c r="H78" s="55">
        <f>Equity_CF!H20+(Energy_Revenue!H14*0.05)*(1-Dep_Tax!H24)</f>
        <v>179.38400815562613</v>
      </c>
      <c r="I78" s="55">
        <f>Equity_CF!I20+(Energy_Revenue!I14*0.05)*(1-Dep_Tax!I24)</f>
        <v>211.79444790131026</v>
      </c>
      <c r="J78" s="55">
        <f>Equity_CF!J20+(Energy_Revenue!J14*0.05)*(1-Dep_Tax!J24)</f>
        <v>251.48082751990336</v>
      </c>
      <c r="K78" s="55">
        <f>Equity_CF!K20+(Energy_Revenue!K14*0.05)*(1-Dep_Tax!K24)</f>
        <v>291.41229543498815</v>
      </c>
      <c r="L78" s="55">
        <f>Equity_CF!L20+(Energy_Revenue!L14*0.05)*(1-Dep_Tax!L24)</f>
        <v>331.59315081026699</v>
      </c>
      <c r="M78" s="55">
        <f>Equity_CF!M20+(Energy_Revenue!M14*0.05)*(1-Dep_Tax!M24)</f>
        <v>372.02776796998103</v>
      </c>
      <c r="N78" s="55">
        <f>Equity_CF!N20+(Energy_Revenue!N14*0.05)*(1-Dep_Tax!N24)</f>
        <v>412.72059770774285</v>
      </c>
      <c r="O78" s="55">
        <f>Equity_CF!O20+(Energy_Revenue!O14*0.05)*(1-Dep_Tax!O24)</f>
        <v>453.67616861805823</v>
      </c>
      <c r="P78" s="55">
        <f>Equity_CF!P20+(Energy_Revenue!P14*0.05)*(1-Dep_Tax!P24)</f>
        <v>494.89908845092151</v>
      </c>
      <c r="Q78" s="55">
        <f>Equity_CF!Q20+(Energy_Revenue!Q14*0.05)*(1-Dep_Tax!Q24)</f>
        <v>536.39404548988955</v>
      </c>
      <c r="R78" s="55">
        <f>Equity_CF!R20+(Energy_Revenue!R14*0.05)*(1-Dep_Tax!R24)</f>
        <v>549.77195000030667</v>
      </c>
      <c r="S78" s="55">
        <f>Equity_CF!S20+(Energy_Revenue!S14*0.05)*(1-Dep_Tax!S24)</f>
        <v>589.61203728779537</v>
      </c>
      <c r="T78" s="55">
        <f>Equity_CF!T20+(Energy_Revenue!T14*0.05)*(1-Dep_Tax!T24)</f>
        <v>564.05239880003262</v>
      </c>
      <c r="U78" s="55">
        <f>Equity_CF!U20+(Energy_Revenue!U14*0.05)*(1-Dep_Tax!U24)</f>
        <v>885.31940142580754</v>
      </c>
      <c r="V78" s="55">
        <f>Equity_CF!V20+(Energy_Revenue!V14*0.05)*(1-Dep_Tax!V24)</f>
        <v>899.78175413260783</v>
      </c>
      <c r="W78" s="55">
        <f>Equity_CF!W20+(Energy_Revenue!W14*0.05)*(1-Dep_Tax!W24)</f>
        <v>914.49837070920319</v>
      </c>
      <c r="X78" s="55">
        <f>Equity_CF!X20+(Energy_Revenue!X14*0.05)*(1-Dep_Tax!X24)</f>
        <v>929.47370813500015</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686</v>
      </c>
      <c r="B79" s="40" t="s">
        <v>706</v>
      </c>
      <c r="C79" s="55">
        <f>Equity_CF!C20+(Energy_Revenue!C14*0.1)*(1-Dep_Tax!C24)</f>
        <v>-1091.8332500000001</v>
      </c>
      <c r="D79" s="55">
        <f>Equity_CF!D20+(Energy_Revenue!D14*0.1)*(1-Dep_Tax!D24)</f>
        <v>-1507.6532500000003</v>
      </c>
      <c r="E79" s="55">
        <f>Equity_CF!E20+(Energy_Revenue!E14*0.1)*(1-Dep_Tax!E24)</f>
        <v>778.4222456</v>
      </c>
      <c r="F79" s="55">
        <f>Equity_CF!F20+(Energy_Revenue!F14*0.1)*(1-Dep_Tax!F24)</f>
        <v>140.60041556430951</v>
      </c>
      <c r="G79" s="55">
        <f>Equity_CF!G20+(Energy_Revenue!G14*0.1)*(1-Dep_Tax!G24)</f>
        <v>182.40952495451114</v>
      </c>
      <c r="H79" s="55">
        <f>Equity_CF!H20+(Energy_Revenue!H14*0.1)*(1-Dep_Tax!H24)</f>
        <v>224.47754370589405</v>
      </c>
      <c r="I79" s="55">
        <f>Equity_CF!I20+(Energy_Revenue!I14*0.1)*(1-Dep_Tax!I24)</f>
        <v>255.40269257762347</v>
      </c>
      <c r="J79" s="55">
        <f>Equity_CF!J20+(Energy_Revenue!J14*0.1)*(1-Dep_Tax!J24)</f>
        <v>295.87227627060315</v>
      </c>
      <c r="K79" s="55">
        <f>Equity_CF!K20+(Energy_Revenue!K14*0.1)*(1-Dep_Tax!K24)</f>
        <v>336.6010146052505</v>
      </c>
      <c r="L79" s="55">
        <f>Equity_CF!L20+(Energy_Revenue!L14*0.1)*(1-Dep_Tax!L24)</f>
        <v>377.59345937682724</v>
      </c>
      <c r="M79" s="55">
        <f>Equity_CF!M20+(Energy_Revenue!M14*0.1)*(1-Dep_Tax!M24)</f>
        <v>418.85424207839674</v>
      </c>
      <c r="N79" s="55">
        <f>Equity_CF!N20+(Energy_Revenue!N14*0.1)*(1-Dep_Tax!N24)</f>
        <v>460.3880752911457</v>
      </c>
      <c r="O79" s="55">
        <f>Equity_CF!O20+(Energy_Revenue!O14*0.1)*(1-Dep_Tax!O24)</f>
        <v>502.19975409885893</v>
      </c>
      <c r="P79" s="55">
        <f>Equity_CF!P20+(Energy_Revenue!P14*0.1)*(1-Dep_Tax!P24)</f>
        <v>544.29415752695741</v>
      </c>
      <c r="Q79" s="55">
        <f>Equity_CF!Q20+(Energy_Revenue!Q14*0.1)*(1-Dep_Tax!Q24)</f>
        <v>586.67625000653106</v>
      </c>
      <c r="R79" s="55">
        <f>Equity_CF!R20+(Energy_Revenue!R14*0.1)*(1-Dep_Tax!R24)</f>
        <v>598.26326117797441</v>
      </c>
      <c r="S79" s="55">
        <f>Equity_CF!S20+(Energy_Revenue!S14*0.1)*(1-Dep_Tax!S24)</f>
        <v>638.97425241421399</v>
      </c>
      <c r="T79" s="55">
        <f>Equity_CF!T20+(Energy_Revenue!T14*0.1)*(1-Dep_Tax!T24)</f>
        <v>608.71796369788956</v>
      </c>
      <c r="U79" s="55">
        <f>Equity_CF!U20+(Energy_Revenue!U14*0.1)*(1-Dep_Tax!U24)</f>
        <v>930.78715986923009</v>
      </c>
      <c r="V79" s="55">
        <f>Equity_CF!V20+(Energy_Revenue!V14*0.1)*(1-Dep_Tax!V24)</f>
        <v>946.06611351767424</v>
      </c>
      <c r="W79" s="55">
        <f>Equity_CF!W20+(Energy_Revenue!W14*0.1)*(1-Dep_Tax!W24)</f>
        <v>961.61399718882535</v>
      </c>
      <c r="X79" s="55">
        <f>Equity_CF!X20+(Energy_Revenue!X14*0.1)*(1-Dep_Tax!X24)</f>
        <v>977.43553126619634</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687</v>
      </c>
      <c r="B80" s="40" t="s">
        <v>702</v>
      </c>
      <c r="C80" s="55">
        <f>Equity_CF!C20-((CAPEX!C15-CAPEX!C17-Debt!C12)*-0.0999999999999999)</f>
        <v>-993.99325000000022</v>
      </c>
      <c r="D80" s="55">
        <f>Equity_CF!D20-((CAPEX!D15-CAPEX!D17-Debt!D12)*-0.0999999999999999)</f>
        <v>-1385.3532500000003</v>
      </c>
      <c r="E80" s="55">
        <f>Equity_CF!E20-((CAPEX!E15-CAPEX!E17-Debt!E12)*-0.0999999999999999)</f>
        <v>656.23499600000002</v>
      </c>
      <c r="F80" s="55">
        <f>Equity_CF!F20-((CAPEX!F15-CAPEX!F17-Debt!F12)*-0.0999999999999999)</f>
        <v>53.567635361493501</v>
      </c>
      <c r="G80" s="55">
        <f>Equity_CF!G20-((CAPEX!G15-CAPEX!G17-Debt!G12)*-0.0999999999999999)</f>
        <v>93.813636019252556</v>
      </c>
      <c r="H80" s="55">
        <f>Equity_CF!H20-((CAPEX!H15-CAPEX!H17-Debt!H12)*-0.0999999999999999)</f>
        <v>134.29047260535822</v>
      </c>
      <c r="I80" s="55">
        <f>Equity_CF!I20-((CAPEX!I15-CAPEX!I17-Debt!I12)*-0.0999999999999999)</f>
        <v>168.18620322499709</v>
      </c>
      <c r="J80" s="55">
        <f>Equity_CF!J20-((CAPEX!J15-CAPEX!J17-Debt!J12)*-0.0999999999999999)</f>
        <v>207.08937876920356</v>
      </c>
      <c r="K80" s="55">
        <f>Equity_CF!K20-((CAPEX!K15-CAPEX!K17-Debt!K12)*-0.0999999999999999)</f>
        <v>246.22357626472581</v>
      </c>
      <c r="L80" s="55">
        <f>Equity_CF!L20-((CAPEX!L15-CAPEX!L17-Debt!L12)*-0.0999999999999999)</f>
        <v>285.59284224370674</v>
      </c>
      <c r="M80" s="55">
        <f>Equity_CF!M20-((CAPEX!M15-CAPEX!M17-Debt!M12)*-0.0999999999999999)</f>
        <v>325.20129386156538</v>
      </c>
      <c r="N80" s="55">
        <f>Equity_CF!N20-((CAPEX!N15-CAPEX!N17-Debt!N12)*-0.0999999999999999)</f>
        <v>365.05312012434001</v>
      </c>
      <c r="O80" s="55">
        <f>Equity_CF!O20-((CAPEX!O15-CAPEX!O17-Debt!O12)*-0.0999999999999999)</f>
        <v>405.15258313725747</v>
      </c>
      <c r="P80" s="55">
        <f>Equity_CF!P20-((CAPEX!P15-CAPEX!P17-Debt!P12)*-0.0999999999999999)</f>
        <v>445.50401937488562</v>
      </c>
      <c r="Q80" s="55">
        <f>Equity_CF!Q20-((CAPEX!Q15-CAPEX!Q17-Debt!Q12)*-0.0999999999999999)</f>
        <v>486.11184097324804</v>
      </c>
      <c r="R80" s="55">
        <f>Equity_CF!R20-((CAPEX!R15-CAPEX!R17-Debt!R12)*-0.0999999999999999)</f>
        <v>501.28063882263893</v>
      </c>
      <c r="S80" s="55">
        <f>Equity_CF!S20-((CAPEX!S15-CAPEX!S17-Debt!S12)*-0.0999999999999999)</f>
        <v>540.24982216137664</v>
      </c>
      <c r="T80" s="55">
        <f>Equity_CF!T20-((CAPEX!T15-CAPEX!T17-Debt!T12)*-0.0999999999999999)</f>
        <v>519.38683390217557</v>
      </c>
      <c r="U80" s="55">
        <f>Equity_CF!U20-((CAPEX!U15-CAPEX!U17-Debt!U12)*-0.0999999999999999)</f>
        <v>839.85164298238499</v>
      </c>
      <c r="V80" s="55">
        <f>Equity_CF!V20-((CAPEX!V15-CAPEX!V17-Debt!V12)*-0.0999999999999999)</f>
        <v>853.49739474754142</v>
      </c>
      <c r="W80" s="55">
        <f>Equity_CF!W20-((CAPEX!W15-CAPEX!W17-Debt!W12)*-0.0999999999999999)</f>
        <v>867.38274422958102</v>
      </c>
      <c r="X80" s="55">
        <f>Equity_CF!X20-((CAPEX!X15-CAPEX!X17-Debt!X12)*-0.0999999999999999)</f>
        <v>881.51188500380397</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688</v>
      </c>
      <c r="B81" t="s">
        <v>703</v>
      </c>
      <c r="C81" s="56">
        <f>Equity_CF!C20-((CAPEX!C15-CAPEX!C17-Debt!C12)*-0.05)</f>
        <v>-1042.9132500000001</v>
      </c>
      <c r="D81" s="56">
        <f>Equity_CF!D20-((CAPEX!D15-CAPEX!D17-Debt!D12)*-0.05)</f>
        <v>-1446.5032500000002</v>
      </c>
      <c r="E81" s="56">
        <f>Equity_CF!E20-((CAPEX!E15-CAPEX!E17-Debt!E12)*-0.05)</f>
        <v>674.57999599999994</v>
      </c>
      <c r="F81" s="56">
        <f>Equity_CF!F20-((CAPEX!F15-CAPEX!F17-Debt!F12)*-0.05)</f>
        <v>53.567635361493501</v>
      </c>
      <c r="G81" s="56">
        <f>Equity_CF!G20-((CAPEX!G15-CAPEX!G17-Debt!G12)*-0.05)</f>
        <v>93.813636019252556</v>
      </c>
      <c r="H81" s="56">
        <f>Equity_CF!H20-((CAPEX!H15-CAPEX!H17-Debt!H12)*-0.05)</f>
        <v>134.29047260535822</v>
      </c>
      <c r="I81" s="56">
        <f>Equity_CF!I20-((CAPEX!I15-CAPEX!I17-Debt!I12)*-0.05)</f>
        <v>168.18620322499709</v>
      </c>
      <c r="J81" s="56">
        <f>Equity_CF!J20-((CAPEX!J15-CAPEX!J17-Debt!J12)*-0.05)</f>
        <v>207.08937876920356</v>
      </c>
      <c r="K81" s="56">
        <f>Equity_CF!K20-((CAPEX!K15-CAPEX!K17-Debt!K12)*-0.05)</f>
        <v>246.22357626472581</v>
      </c>
      <c r="L81" s="56">
        <f>Equity_CF!L20-((CAPEX!L15-CAPEX!L17-Debt!L12)*-0.05)</f>
        <v>285.59284224370674</v>
      </c>
      <c r="M81" s="56">
        <f>Equity_CF!M20-((CAPEX!M15-CAPEX!M17-Debt!M12)*-0.05)</f>
        <v>325.20129386156538</v>
      </c>
      <c r="N81" s="56">
        <f>Equity_CF!N20-((CAPEX!N15-CAPEX!N17-Debt!N12)*-0.05)</f>
        <v>365.05312012434001</v>
      </c>
      <c r="O81" s="56">
        <f>Equity_CF!O20-((CAPEX!O15-CAPEX!O17-Debt!O12)*-0.05)</f>
        <v>405.15258313725747</v>
      </c>
      <c r="P81" s="56">
        <f>Equity_CF!P20-((CAPEX!P15-CAPEX!P17-Debt!P12)*-0.05)</f>
        <v>445.50401937488562</v>
      </c>
      <c r="Q81" s="56">
        <f>Equity_CF!Q20-((CAPEX!Q15-CAPEX!Q17-Debt!Q12)*-0.05)</f>
        <v>486.11184097324804</v>
      </c>
      <c r="R81" s="56">
        <f>Equity_CF!R20-((CAPEX!R15-CAPEX!R17-Debt!R12)*-0.05)</f>
        <v>501.28063882263893</v>
      </c>
      <c r="S81" s="56">
        <f>Equity_CF!S20-((CAPEX!S15-CAPEX!S17-Debt!S12)*-0.05)</f>
        <v>540.24982216137664</v>
      </c>
      <c r="T81" s="56">
        <f>Equity_CF!T20-((CAPEX!T15-CAPEX!T17-Debt!T12)*-0.05)</f>
        <v>519.38683390217557</v>
      </c>
      <c r="U81" s="56">
        <f>Equity_CF!U20-((CAPEX!U15-CAPEX!U17-Debt!U12)*-0.05)</f>
        <v>839.85164298238499</v>
      </c>
      <c r="V81" s="56">
        <f>Equity_CF!V20-((CAPEX!V15-CAPEX!V17-Debt!V12)*-0.05)</f>
        <v>853.49739474754142</v>
      </c>
      <c r="W81" s="56">
        <f>Equity_CF!W20-((CAPEX!W15-CAPEX!W17-Debt!W12)*-0.05)</f>
        <v>867.38274422958102</v>
      </c>
      <c r="X81" s="56">
        <f>Equity_CF!X20-((CAPEX!X15-CAPEX!X17-Debt!X12)*-0.05)</f>
        <v>881.51188500380397</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689</v>
      </c>
      <c r="B82" t="s">
        <v>704</v>
      </c>
      <c r="C82" s="56">
        <f>Equity_CF!C20-((CAPEX!C15-CAPEX!C17-Debt!C12)*0)</f>
        <v>-1091.8332500000001</v>
      </c>
      <c r="D82" s="56">
        <f>Equity_CF!D20-((CAPEX!D15-CAPEX!D17-Debt!D12)*0)</f>
        <v>-1507.6532500000003</v>
      </c>
      <c r="E82" s="56">
        <f>Equity_CF!E20-((CAPEX!E15-CAPEX!E17-Debt!E12)*0)</f>
        <v>692.92499599999996</v>
      </c>
      <c r="F82" s="56">
        <f>Equity_CF!F20-((CAPEX!F15-CAPEX!F17-Debt!F12)*0)</f>
        <v>53.567635361493501</v>
      </c>
      <c r="G82" s="56">
        <f>Equity_CF!G20-((CAPEX!G15-CAPEX!G17-Debt!G12)*0)</f>
        <v>93.813636019252556</v>
      </c>
      <c r="H82" s="56">
        <f>Equity_CF!H20-((CAPEX!H15-CAPEX!H17-Debt!H12)*0)</f>
        <v>134.29047260535822</v>
      </c>
      <c r="I82" s="56">
        <f>Equity_CF!I20-((CAPEX!I15-CAPEX!I17-Debt!I12)*0)</f>
        <v>168.18620322499709</v>
      </c>
      <c r="J82" s="56">
        <f>Equity_CF!J20-((CAPEX!J15-CAPEX!J17-Debt!J12)*0)</f>
        <v>207.08937876920356</v>
      </c>
      <c r="K82" s="56">
        <f>Equity_CF!K20-((CAPEX!K15-CAPEX!K17-Debt!K12)*0)</f>
        <v>246.22357626472581</v>
      </c>
      <c r="L82" s="56">
        <f>Equity_CF!L20-((CAPEX!L15-CAPEX!L17-Debt!L12)*0)</f>
        <v>285.59284224370674</v>
      </c>
      <c r="M82" s="56">
        <f>Equity_CF!M20-((CAPEX!M15-CAPEX!M17-Debt!M12)*0)</f>
        <v>325.20129386156538</v>
      </c>
      <c r="N82" s="56">
        <f>Equity_CF!N20-((CAPEX!N15-CAPEX!N17-Debt!N12)*0)</f>
        <v>365.05312012434001</v>
      </c>
      <c r="O82" s="56">
        <f>Equity_CF!O20-((CAPEX!O15-CAPEX!O17-Debt!O12)*0)</f>
        <v>405.15258313725747</v>
      </c>
      <c r="P82" s="56">
        <f>Equity_CF!P20-((CAPEX!P15-CAPEX!P17-Debt!P12)*0)</f>
        <v>445.50401937488562</v>
      </c>
      <c r="Q82" s="56">
        <f>Equity_CF!Q20-((CAPEX!Q15-CAPEX!Q17-Debt!Q12)*0)</f>
        <v>486.11184097324804</v>
      </c>
      <c r="R82" s="56">
        <f>Equity_CF!R20-((CAPEX!R15-CAPEX!R17-Debt!R12)*0)</f>
        <v>501.28063882263893</v>
      </c>
      <c r="S82" s="56">
        <f>Equity_CF!S20-((CAPEX!S15-CAPEX!S17-Debt!S12)*0)</f>
        <v>540.24982216137664</v>
      </c>
      <c r="T82" s="56">
        <f>Equity_CF!T20-((CAPEX!T15-CAPEX!T17-Debt!T12)*0)</f>
        <v>519.38683390217557</v>
      </c>
      <c r="U82" s="56">
        <f>Equity_CF!U20-((CAPEX!U15-CAPEX!U17-Debt!U12)*0)</f>
        <v>839.85164298238499</v>
      </c>
      <c r="V82" s="56">
        <f>Equity_CF!V20-((CAPEX!V15-CAPEX!V17-Debt!V12)*0)</f>
        <v>853.49739474754142</v>
      </c>
      <c r="W82" s="56">
        <f>Equity_CF!W20-((CAPEX!W15-CAPEX!W17-Debt!W12)*0)</f>
        <v>867.38274422958102</v>
      </c>
      <c r="X82" s="56">
        <f>Equity_CF!X20-((CAPEX!X15-CAPEX!X17-Debt!X12)*0)</f>
        <v>881.51188500380397</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690</v>
      </c>
      <c r="B83" t="s">
        <v>705</v>
      </c>
      <c r="C83" s="56">
        <f>Equity_CF!C20-((CAPEX!C15-CAPEX!C17-Debt!C12)*0.05)</f>
        <v>-1140.7532500000002</v>
      </c>
      <c r="D83" s="56">
        <f>Equity_CF!D20-((CAPEX!D15-CAPEX!D17-Debt!D12)*0.05)</f>
        <v>-1568.8032500000004</v>
      </c>
      <c r="E83" s="56">
        <f>Equity_CF!E20-((CAPEX!E15-CAPEX!E17-Debt!E12)*0.05)</f>
        <v>711.26999599999999</v>
      </c>
      <c r="F83" s="56">
        <f>Equity_CF!F20-((CAPEX!F15-CAPEX!F17-Debt!F12)*0.05)</f>
        <v>53.567635361493501</v>
      </c>
      <c r="G83" s="56">
        <f>Equity_CF!G20-((CAPEX!G15-CAPEX!G17-Debt!G12)*0.05)</f>
        <v>93.813636019252556</v>
      </c>
      <c r="H83" s="56">
        <f>Equity_CF!H20-((CAPEX!H15-CAPEX!H17-Debt!H12)*0.05)</f>
        <v>134.29047260535822</v>
      </c>
      <c r="I83" s="56">
        <f>Equity_CF!I20-((CAPEX!I15-CAPEX!I17-Debt!I12)*0.05)</f>
        <v>168.18620322499709</v>
      </c>
      <c r="J83" s="56">
        <f>Equity_CF!J20-((CAPEX!J15-CAPEX!J17-Debt!J12)*0.05)</f>
        <v>207.08937876920356</v>
      </c>
      <c r="K83" s="56">
        <f>Equity_CF!K20-((CAPEX!K15-CAPEX!K17-Debt!K12)*0.05)</f>
        <v>246.22357626472581</v>
      </c>
      <c r="L83" s="56">
        <f>Equity_CF!L20-((CAPEX!L15-CAPEX!L17-Debt!L12)*0.05)</f>
        <v>285.59284224370674</v>
      </c>
      <c r="M83" s="56">
        <f>Equity_CF!M20-((CAPEX!M15-CAPEX!M17-Debt!M12)*0.05)</f>
        <v>325.20129386156538</v>
      </c>
      <c r="N83" s="56">
        <f>Equity_CF!N20-((CAPEX!N15-CAPEX!N17-Debt!N12)*0.05)</f>
        <v>365.05312012434001</v>
      </c>
      <c r="O83" s="56">
        <f>Equity_CF!O20-((CAPEX!O15-CAPEX!O17-Debt!O12)*0.05)</f>
        <v>405.15258313725747</v>
      </c>
      <c r="P83" s="56">
        <f>Equity_CF!P20-((CAPEX!P15-CAPEX!P17-Debt!P12)*0.05)</f>
        <v>445.50401937488562</v>
      </c>
      <c r="Q83" s="56">
        <f>Equity_CF!Q20-((CAPEX!Q15-CAPEX!Q17-Debt!Q12)*0.05)</f>
        <v>486.11184097324804</v>
      </c>
      <c r="R83" s="56">
        <f>Equity_CF!R20-((CAPEX!R15-CAPEX!R17-Debt!R12)*0.05)</f>
        <v>501.28063882263893</v>
      </c>
      <c r="S83" s="56">
        <f>Equity_CF!S20-((CAPEX!S15-CAPEX!S17-Debt!S12)*0.05)</f>
        <v>540.24982216137664</v>
      </c>
      <c r="T83" s="56">
        <f>Equity_CF!T20-((CAPEX!T15-CAPEX!T17-Debt!T12)*0.05)</f>
        <v>519.38683390217557</v>
      </c>
      <c r="U83" s="56">
        <f>Equity_CF!U20-((CAPEX!U15-CAPEX!U17-Debt!U12)*0.05)</f>
        <v>839.85164298238499</v>
      </c>
      <c r="V83" s="56">
        <f>Equity_CF!V20-((CAPEX!V15-CAPEX!V17-Debt!V12)*0.05)</f>
        <v>853.49739474754142</v>
      </c>
      <c r="W83" s="56">
        <f>Equity_CF!W20-((CAPEX!W15-CAPEX!W17-Debt!W12)*0.05)</f>
        <v>867.38274422958102</v>
      </c>
      <c r="X83" s="56">
        <f>Equity_CF!X20-((CAPEX!X15-CAPEX!X17-Debt!X12)*0.05)</f>
        <v>881.51188500380397</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691</v>
      </c>
      <c r="B84" t="s">
        <v>706</v>
      </c>
      <c r="C84" s="56">
        <f>Equity_CF!C20-((CAPEX!C15-CAPEX!C17-Debt!C12)*0.1)</f>
        <v>-1189.6732500000001</v>
      </c>
      <c r="D84" s="56">
        <f>Equity_CF!D20-((CAPEX!D15-CAPEX!D17-Debt!D12)*0.1)</f>
        <v>-1629.9532500000003</v>
      </c>
      <c r="E84" s="56">
        <f>Equity_CF!E20-((CAPEX!E15-CAPEX!E17-Debt!E12)*0.1)</f>
        <v>729.61499600000002</v>
      </c>
      <c r="F84" s="56">
        <f>Equity_CF!F20-((CAPEX!F15-CAPEX!F17-Debt!F12)*0.1)</f>
        <v>53.567635361493501</v>
      </c>
      <c r="G84" s="56">
        <f>Equity_CF!G20-((CAPEX!G15-CAPEX!G17-Debt!G12)*0.1)</f>
        <v>93.813636019252556</v>
      </c>
      <c r="H84" s="56">
        <f>Equity_CF!H20-((CAPEX!H15-CAPEX!H17-Debt!H12)*0.1)</f>
        <v>134.29047260535822</v>
      </c>
      <c r="I84" s="56">
        <f>Equity_CF!I20-((CAPEX!I15-CAPEX!I17-Debt!I12)*0.1)</f>
        <v>168.18620322499709</v>
      </c>
      <c r="J84" s="56">
        <f>Equity_CF!J20-((CAPEX!J15-CAPEX!J17-Debt!J12)*0.1)</f>
        <v>207.08937876920356</v>
      </c>
      <c r="K84" s="56">
        <f>Equity_CF!K20-((CAPEX!K15-CAPEX!K17-Debt!K12)*0.1)</f>
        <v>246.22357626472581</v>
      </c>
      <c r="L84" s="56">
        <f>Equity_CF!L20-((CAPEX!L15-CAPEX!L17-Debt!L12)*0.1)</f>
        <v>285.59284224370674</v>
      </c>
      <c r="M84" s="56">
        <f>Equity_CF!M20-((CAPEX!M15-CAPEX!M17-Debt!M12)*0.1)</f>
        <v>325.20129386156538</v>
      </c>
      <c r="N84" s="56">
        <f>Equity_CF!N20-((CAPEX!N15-CAPEX!N17-Debt!N12)*0.1)</f>
        <v>365.05312012434001</v>
      </c>
      <c r="O84" s="56">
        <f>Equity_CF!O20-((CAPEX!O15-CAPEX!O17-Debt!O12)*0.1)</f>
        <v>405.15258313725747</v>
      </c>
      <c r="P84" s="56">
        <f>Equity_CF!P20-((CAPEX!P15-CAPEX!P17-Debt!P12)*0.1)</f>
        <v>445.50401937488562</v>
      </c>
      <c r="Q84" s="56">
        <f>Equity_CF!Q20-((CAPEX!Q15-CAPEX!Q17-Debt!Q12)*0.1)</f>
        <v>486.11184097324804</v>
      </c>
      <c r="R84" s="56">
        <f>Equity_CF!R20-((CAPEX!R15-CAPEX!R17-Debt!R12)*0.1)</f>
        <v>501.28063882263893</v>
      </c>
      <c r="S84" s="56">
        <f>Equity_CF!S20-((CAPEX!S15-CAPEX!S17-Debt!S12)*0.1)</f>
        <v>540.24982216137664</v>
      </c>
      <c r="T84" s="56">
        <f>Equity_CF!T20-((CAPEX!T15-CAPEX!T17-Debt!T12)*0.1)</f>
        <v>519.38683390217557</v>
      </c>
      <c r="U84" s="56">
        <f>Equity_CF!U20-((CAPEX!U15-CAPEX!U17-Debt!U12)*0.1)</f>
        <v>839.85164298238499</v>
      </c>
      <c r="V84" s="56">
        <f>Equity_CF!V20-((CAPEX!V15-CAPEX!V17-Debt!V12)*0.1)</f>
        <v>853.49739474754142</v>
      </c>
      <c r="W84" s="56">
        <f>Equity_CF!W20-((CAPEX!W15-CAPEX!W17-Debt!W12)*0.1)</f>
        <v>867.38274422958102</v>
      </c>
      <c r="X84" s="56">
        <f>Equity_CF!X20-((CAPEX!X15-CAPEX!X17-Debt!X12)*0.1)</f>
        <v>881.51188500380397</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692</v>
      </c>
      <c r="B85" t="s">
        <v>702</v>
      </c>
      <c r="C85" s="56">
        <f>Equity_CF!C20-(Energy_Revenue!C19*-0.0999999999999999)*(1-Dep_Tax!C24)</f>
        <v>-1091.8332500000001</v>
      </c>
      <c r="D85" s="56">
        <f>Equity_CF!D20-(Energy_Revenue!D19*-0.0999999999999999)*(1-Dep_Tax!D24)</f>
        <v>-1507.6532500000003</v>
      </c>
      <c r="E85" s="56">
        <f>Equity_CF!E20-(Energy_Revenue!E19*-0.0999999999999999)*(1-Dep_Tax!E24)</f>
        <v>705.15499599999998</v>
      </c>
      <c r="F85" s="56">
        <f>Equity_CF!F20-(Energy_Revenue!F19*-0.0999999999999999)*(1-Dep_Tax!F24)</f>
        <v>66.042235361493482</v>
      </c>
      <c r="G85" s="56">
        <f>Equity_CF!G20-(Energy_Revenue!G19*-0.0999999999999999)*(1-Dep_Tax!G24)</f>
        <v>106.53772801925254</v>
      </c>
      <c r="H85" s="56">
        <f>Equity_CF!H20-(Energy_Revenue!H19*-0.0999999999999999)*(1-Dep_Tax!H24)</f>
        <v>147.26904644535821</v>
      </c>
      <c r="I85" s="56">
        <f>Equity_CF!I20-(Energy_Revenue!I19*-0.0999999999999999)*(1-Dep_Tax!I24)</f>
        <v>180.76244127595709</v>
      </c>
      <c r="J85" s="56">
        <f>Equity_CF!J20-(Energy_Revenue!J19*-0.0999999999999999)*(1-Dep_Tax!J24)</f>
        <v>219.91714158118276</v>
      </c>
      <c r="K85" s="56">
        <f>Equity_CF!K20-(Energy_Revenue!K19*-0.0999999999999999)*(1-Dep_Tax!K24)</f>
        <v>259.30789433294456</v>
      </c>
      <c r="L85" s="56">
        <f>Equity_CF!L20-(Energy_Revenue!L19*-0.0999999999999999)*(1-Dep_Tax!L24)</f>
        <v>298.9388466732899</v>
      </c>
      <c r="M85" s="56">
        <f>Equity_CF!M20-(Energy_Revenue!M19*-0.0999999999999999)*(1-Dep_Tax!M24)</f>
        <v>338.81421837974017</v>
      </c>
      <c r="N85" s="56">
        <f>Equity_CF!N20-(Energy_Revenue!N19*-0.0999999999999999)*(1-Dep_Tax!N24)</f>
        <v>378.93830313287833</v>
      </c>
      <c r="O85" s="56">
        <f>Equity_CF!O20-(Energy_Revenue!O19*-0.0999999999999999)*(1-Dep_Tax!O24)</f>
        <v>419.31546980596653</v>
      </c>
      <c r="P85" s="56">
        <f>Equity_CF!P20-(Energy_Revenue!P19*-0.0999999999999999)*(1-Dep_Tax!P24)</f>
        <v>459.95016377696885</v>
      </c>
      <c r="Q85" s="56">
        <f>Equity_CF!Q20-(Energy_Revenue!Q19*-0.0999999999999999)*(1-Dep_Tax!Q24)</f>
        <v>500.84690826337294</v>
      </c>
      <c r="R85" s="56">
        <f>Equity_CF!R20-(Energy_Revenue!R19*-0.0999999999999999)*(1-Dep_Tax!R24)</f>
        <v>515.51936700404383</v>
      </c>
      <c r="S85" s="56">
        <f>Equity_CF!S20-(Energy_Revenue!S19*-0.0999999999999999)*(1-Dep_Tax!S24)</f>
        <v>554.7733249064097</v>
      </c>
      <c r="T85" s="56">
        <f>Equity_CF!T20-(Energy_Revenue!T19*-0.0999999999999999)*(1-Dep_Tax!T24)</f>
        <v>532.55480972433884</v>
      </c>
      <c r="U85" s="56">
        <f>Equity_CF!U20-(Energy_Revenue!U19*-0.0999999999999999)*(1-Dep_Tax!U24)</f>
        <v>853.28297832099156</v>
      </c>
      <c r="V85" s="56">
        <f>Equity_CF!V20-(Energy_Revenue!V19*-0.0999999999999999)*(1-Dep_Tax!V24)</f>
        <v>867.19735679292012</v>
      </c>
      <c r="W85" s="56">
        <f>Equity_CF!W20-(Energy_Revenue!W19*-0.0999999999999999)*(1-Dep_Tax!W24)</f>
        <v>881.35670551586725</v>
      </c>
      <c r="X85" s="56">
        <f>Equity_CF!X20-(Energy_Revenue!X19*-0.0999999999999999)*(1-Dep_Tax!X24)</f>
        <v>895.7653255158159</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693</v>
      </c>
      <c r="B86" t="s">
        <v>703</v>
      </c>
      <c r="C86" s="56">
        <f>Equity_CF!C20-(Energy_Revenue!C19*-0.05)*(1-Dep_Tax!C24)</f>
        <v>-1091.8332500000001</v>
      </c>
      <c r="D86" s="56">
        <f>Equity_CF!D20-(Energy_Revenue!D19*-0.05)*(1-Dep_Tax!D24)</f>
        <v>-1507.6532500000003</v>
      </c>
      <c r="E86" s="56">
        <f>Equity_CF!E20-(Energy_Revenue!E19*-0.05)*(1-Dep_Tax!E24)</f>
        <v>699.03999599999997</v>
      </c>
      <c r="F86" s="56">
        <f>Equity_CF!F20-(Energy_Revenue!F19*-0.05)*(1-Dep_Tax!F24)</f>
        <v>59.804935361493499</v>
      </c>
      <c r="G86" s="56">
        <f>Equity_CF!G20-(Energy_Revenue!G19*-0.05)*(1-Dep_Tax!G24)</f>
        <v>100.17568201925256</v>
      </c>
      <c r="H86" s="56">
        <f>Equity_CF!H20-(Energy_Revenue!H19*-0.05)*(1-Dep_Tax!H24)</f>
        <v>140.77975952535823</v>
      </c>
      <c r="I86" s="56">
        <f>Equity_CF!I20-(Energy_Revenue!I19*-0.05)*(1-Dep_Tax!I24)</f>
        <v>174.47432225047709</v>
      </c>
      <c r="J86" s="56">
        <f>Equity_CF!J20-(Energy_Revenue!J19*-0.05)*(1-Dep_Tax!J24)</f>
        <v>213.50326017519316</v>
      </c>
      <c r="K86" s="56">
        <f>Equity_CF!K20-(Energy_Revenue!K19*-0.05)*(1-Dep_Tax!K24)</f>
        <v>252.76573529883521</v>
      </c>
      <c r="L86" s="56">
        <f>Equity_CF!L20-(Energy_Revenue!L19*-0.05)*(1-Dep_Tax!L24)</f>
        <v>292.26584445849829</v>
      </c>
      <c r="M86" s="56">
        <f>Equity_CF!M20-(Energy_Revenue!M19*-0.05)*(1-Dep_Tax!M24)</f>
        <v>332.0077561206528</v>
      </c>
      <c r="N86" s="56">
        <f>Equity_CF!N20-(Energy_Revenue!N19*-0.05)*(1-Dep_Tax!N24)</f>
        <v>371.99571162860917</v>
      </c>
      <c r="O86" s="56">
        <f>Equity_CF!O20-(Energy_Revenue!O19*-0.05)*(1-Dep_Tax!O24)</f>
        <v>412.23402647161203</v>
      </c>
      <c r="P86" s="56">
        <f>Equity_CF!P20-(Energy_Revenue!P19*-0.05)*(1-Dep_Tax!P24)</f>
        <v>452.72709157592726</v>
      </c>
      <c r="Q86" s="56">
        <f>Equity_CF!Q20-(Energy_Revenue!Q19*-0.05)*(1-Dep_Tax!Q24)</f>
        <v>493.47937461831049</v>
      </c>
      <c r="R86" s="56">
        <f>Equity_CF!R20-(Energy_Revenue!R19*-0.05)*(1-Dep_Tax!R24)</f>
        <v>508.40000291334138</v>
      </c>
      <c r="S86" s="56">
        <f>Equity_CF!S20-(Energy_Revenue!S19*-0.05)*(1-Dep_Tax!S24)</f>
        <v>547.51157353389317</v>
      </c>
      <c r="T86" s="56">
        <f>Equity_CF!T20-(Energy_Revenue!T19*-0.05)*(1-Dep_Tax!T24)</f>
        <v>525.9708218132572</v>
      </c>
      <c r="U86" s="56">
        <f>Equity_CF!U20-(Energy_Revenue!U19*-0.05)*(1-Dep_Tax!U24)</f>
        <v>846.56731065168822</v>
      </c>
      <c r="V86" s="56">
        <f>Equity_CF!V20-(Energy_Revenue!V19*-0.05)*(1-Dep_Tax!V24)</f>
        <v>860.34737577023077</v>
      </c>
      <c r="W86" s="56">
        <f>Equity_CF!W20-(Energy_Revenue!W19*-0.05)*(1-Dep_Tax!W24)</f>
        <v>874.36972487272419</v>
      </c>
      <c r="X86" s="56">
        <f>Equity_CF!X20-(Energy_Revenue!X19*-0.05)*(1-Dep_Tax!X24)</f>
        <v>888.63860525980999</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694</v>
      </c>
      <c r="B87" t="s">
        <v>704</v>
      </c>
      <c r="C87" s="56">
        <f>Equity_CF!C20-(Energy_Revenue!C19*0)*(1-Dep_Tax!C24)</f>
        <v>-1091.8332500000001</v>
      </c>
      <c r="D87" s="56">
        <f>Equity_CF!D20-(Energy_Revenue!D19*0)*(1-Dep_Tax!D24)</f>
        <v>-1507.6532500000003</v>
      </c>
      <c r="E87" s="56">
        <f>Equity_CF!E20-(Energy_Revenue!E19*0)*(1-Dep_Tax!E24)</f>
        <v>692.92499599999996</v>
      </c>
      <c r="F87" s="56">
        <f>Equity_CF!F20-(Energy_Revenue!F19*0)*(1-Dep_Tax!F24)</f>
        <v>53.567635361493501</v>
      </c>
      <c r="G87" s="56">
        <f>Equity_CF!G20-(Energy_Revenue!G19*0)*(1-Dep_Tax!G24)</f>
        <v>93.813636019252556</v>
      </c>
      <c r="H87" s="56">
        <f>Equity_CF!H20-(Energy_Revenue!H19*0)*(1-Dep_Tax!H24)</f>
        <v>134.29047260535822</v>
      </c>
      <c r="I87" s="56">
        <f>Equity_CF!I20-(Energy_Revenue!I19*0)*(1-Dep_Tax!I24)</f>
        <v>168.18620322499709</v>
      </c>
      <c r="J87" s="56">
        <f>Equity_CF!J20-(Energy_Revenue!J19*0)*(1-Dep_Tax!J24)</f>
        <v>207.08937876920356</v>
      </c>
      <c r="K87" s="56">
        <f>Equity_CF!K20-(Energy_Revenue!K19*0)*(1-Dep_Tax!K24)</f>
        <v>246.22357626472581</v>
      </c>
      <c r="L87" s="56">
        <f>Equity_CF!L20-(Energy_Revenue!L19*0)*(1-Dep_Tax!L24)</f>
        <v>285.59284224370674</v>
      </c>
      <c r="M87" s="56">
        <f>Equity_CF!M20-(Energy_Revenue!M19*0)*(1-Dep_Tax!M24)</f>
        <v>325.20129386156538</v>
      </c>
      <c r="N87" s="56">
        <f>Equity_CF!N20-(Energy_Revenue!N19*0)*(1-Dep_Tax!N24)</f>
        <v>365.05312012434001</v>
      </c>
      <c r="O87" s="56">
        <f>Equity_CF!O20-(Energy_Revenue!O19*0)*(1-Dep_Tax!O24)</f>
        <v>405.15258313725747</v>
      </c>
      <c r="P87" s="56">
        <f>Equity_CF!P20-(Energy_Revenue!P19*0)*(1-Dep_Tax!P24)</f>
        <v>445.50401937488562</v>
      </c>
      <c r="Q87" s="56">
        <f>Equity_CF!Q20-(Energy_Revenue!Q19*0)*(1-Dep_Tax!Q24)</f>
        <v>486.11184097324804</v>
      </c>
      <c r="R87" s="56">
        <f>Equity_CF!R20-(Energy_Revenue!R19*0)*(1-Dep_Tax!R24)</f>
        <v>501.28063882263893</v>
      </c>
      <c r="S87" s="56">
        <f>Equity_CF!S20-(Energy_Revenue!S19*0)*(1-Dep_Tax!S24)</f>
        <v>540.24982216137664</v>
      </c>
      <c r="T87" s="56">
        <f>Equity_CF!T20-(Energy_Revenue!T19*0)*(1-Dep_Tax!T24)</f>
        <v>519.38683390217557</v>
      </c>
      <c r="U87" s="56">
        <f>Equity_CF!U20-(Energy_Revenue!U19*0)*(1-Dep_Tax!U24)</f>
        <v>839.85164298238499</v>
      </c>
      <c r="V87" s="56">
        <f>Equity_CF!V20-(Energy_Revenue!V19*0)*(1-Dep_Tax!V24)</f>
        <v>853.49739474754142</v>
      </c>
      <c r="W87" s="56">
        <f>Equity_CF!W20-(Energy_Revenue!W19*0)*(1-Dep_Tax!W24)</f>
        <v>867.38274422958102</v>
      </c>
      <c r="X87" s="56">
        <f>Equity_CF!X20-(Energy_Revenue!X19*0)*(1-Dep_Tax!X24)</f>
        <v>881.51188500380397</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695</v>
      </c>
      <c r="B88" t="s">
        <v>705</v>
      </c>
      <c r="C88" s="56">
        <f>Equity_CF!C20-(Energy_Revenue!C19*0.05)*(1-Dep_Tax!C24)</f>
        <v>-1091.8332500000001</v>
      </c>
      <c r="D88" s="56">
        <f>Equity_CF!D20-(Energy_Revenue!D19*0.05)*(1-Dep_Tax!D24)</f>
        <v>-1507.6532500000003</v>
      </c>
      <c r="E88" s="56">
        <f>Equity_CF!E20-(Energy_Revenue!E19*0.05)*(1-Dep_Tax!E24)</f>
        <v>686.80999599999996</v>
      </c>
      <c r="F88" s="56">
        <f>Equity_CF!F20-(Energy_Revenue!F19*0.05)*(1-Dep_Tax!F24)</f>
        <v>47.330335361493503</v>
      </c>
      <c r="G88" s="56">
        <f>Equity_CF!G20-(Energy_Revenue!G19*0.05)*(1-Dep_Tax!G24)</f>
        <v>87.451590019252549</v>
      </c>
      <c r="H88" s="56">
        <f>Equity_CF!H20-(Energy_Revenue!H19*0.05)*(1-Dep_Tax!H24)</f>
        <v>127.80118568535822</v>
      </c>
      <c r="I88" s="56">
        <f>Equity_CF!I20-(Energy_Revenue!I19*0.05)*(1-Dep_Tax!I24)</f>
        <v>161.89808419951709</v>
      </c>
      <c r="J88" s="56">
        <f>Equity_CF!J20-(Energy_Revenue!J19*0.05)*(1-Dep_Tax!J24)</f>
        <v>200.67549736321396</v>
      </c>
      <c r="K88" s="56">
        <f>Equity_CF!K20-(Energy_Revenue!K19*0.05)*(1-Dep_Tax!K24)</f>
        <v>239.6814172306164</v>
      </c>
      <c r="L88" s="56">
        <f>Equity_CF!L20-(Energy_Revenue!L19*0.05)*(1-Dep_Tax!L24)</f>
        <v>278.91984002891519</v>
      </c>
      <c r="M88" s="56">
        <f>Equity_CF!M20-(Energy_Revenue!M19*0.05)*(1-Dep_Tax!M24)</f>
        <v>318.39483160247795</v>
      </c>
      <c r="N88" s="56">
        <f>Equity_CF!N20-(Energy_Revenue!N19*0.05)*(1-Dep_Tax!N24)</f>
        <v>358.11052862007085</v>
      </c>
      <c r="O88" s="56">
        <f>Equity_CF!O20-(Energy_Revenue!O19*0.05)*(1-Dep_Tax!O24)</f>
        <v>398.07113980290291</v>
      </c>
      <c r="P88" s="56">
        <f>Equity_CF!P20-(Energy_Revenue!P19*0.05)*(1-Dep_Tax!P24)</f>
        <v>438.28094717384397</v>
      </c>
      <c r="Q88" s="56">
        <f>Equity_CF!Q20-(Energy_Revenue!Q19*0.05)*(1-Dep_Tax!Q24)</f>
        <v>478.74430732818558</v>
      </c>
      <c r="R88" s="56">
        <f>Equity_CF!R20-(Energy_Revenue!R19*0.05)*(1-Dep_Tax!R24)</f>
        <v>494.16127473193649</v>
      </c>
      <c r="S88" s="56">
        <f>Equity_CF!S20-(Energy_Revenue!S19*0.05)*(1-Dep_Tax!S24)</f>
        <v>532.98807078886011</v>
      </c>
      <c r="T88" s="56">
        <f>Equity_CF!T20-(Energy_Revenue!T19*0.05)*(1-Dep_Tax!T24)</f>
        <v>512.80284599109393</v>
      </c>
      <c r="U88" s="56">
        <f>Equity_CF!U20-(Energy_Revenue!U19*0.05)*(1-Dep_Tax!U24)</f>
        <v>833.13597531308176</v>
      </c>
      <c r="V88" s="56">
        <f>Equity_CF!V20-(Energy_Revenue!V19*0.05)*(1-Dep_Tax!V24)</f>
        <v>846.64741372485207</v>
      </c>
      <c r="W88" s="56">
        <f>Equity_CF!W20-(Energy_Revenue!W19*0.05)*(1-Dep_Tax!W24)</f>
        <v>860.39576358643785</v>
      </c>
      <c r="X88" s="56">
        <f>Equity_CF!X20-(Energy_Revenue!X19*0.05)*(1-Dep_Tax!X24)</f>
        <v>874.38516474779794</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696</v>
      </c>
      <c r="B89" t="s">
        <v>706</v>
      </c>
      <c r="C89" s="56">
        <f>Equity_CF!C20-(Energy_Revenue!C19*0.1)*(1-Dep_Tax!C24)</f>
        <v>-1091.8332500000001</v>
      </c>
      <c r="D89" s="56">
        <f>Equity_CF!D20-(Energy_Revenue!D19*0.1)*(1-Dep_Tax!D24)</f>
        <v>-1507.6532500000003</v>
      </c>
      <c r="E89" s="56">
        <f>Equity_CF!E20-(Energy_Revenue!E19*0.1)*(1-Dep_Tax!E24)</f>
        <v>680.69499599999995</v>
      </c>
      <c r="F89" s="56">
        <f>Equity_CF!F20-(Energy_Revenue!F19*0.1)*(1-Dep_Tax!F24)</f>
        <v>41.093035361493499</v>
      </c>
      <c r="G89" s="56">
        <f>Equity_CF!G20-(Energy_Revenue!G19*0.1)*(1-Dep_Tax!G24)</f>
        <v>81.089544019252557</v>
      </c>
      <c r="H89" s="56">
        <f>Equity_CF!H20-(Energy_Revenue!H19*0.1)*(1-Dep_Tax!H24)</f>
        <v>121.31189876535822</v>
      </c>
      <c r="I89" s="56">
        <f>Equity_CF!I20-(Energy_Revenue!I19*0.1)*(1-Dep_Tax!I24)</f>
        <v>155.60996517403709</v>
      </c>
      <c r="J89" s="56">
        <f>Equity_CF!J20-(Energy_Revenue!J19*0.1)*(1-Dep_Tax!J24)</f>
        <v>194.26161595722436</v>
      </c>
      <c r="K89" s="56">
        <f>Equity_CF!K20-(Energy_Revenue!K19*0.1)*(1-Dep_Tax!K24)</f>
        <v>233.13925819650703</v>
      </c>
      <c r="L89" s="56">
        <f>Equity_CF!L20-(Energy_Revenue!L19*0.1)*(1-Dep_Tax!L24)</f>
        <v>272.24683781412358</v>
      </c>
      <c r="M89" s="56">
        <f>Equity_CF!M20-(Energy_Revenue!M19*0.1)*(1-Dep_Tax!M24)</f>
        <v>311.58836934339058</v>
      </c>
      <c r="N89" s="56">
        <f>Equity_CF!N20-(Energy_Revenue!N19*0.1)*(1-Dep_Tax!N24)</f>
        <v>351.16793711580169</v>
      </c>
      <c r="O89" s="56">
        <f>Equity_CF!O20-(Energy_Revenue!O19*0.1)*(1-Dep_Tax!O24)</f>
        <v>390.9896964685484</v>
      </c>
      <c r="P89" s="56">
        <f>Equity_CF!P20-(Energy_Revenue!P19*0.1)*(1-Dep_Tax!P24)</f>
        <v>431.05787497280232</v>
      </c>
      <c r="Q89" s="56">
        <f>Equity_CF!Q20-(Energy_Revenue!Q19*0.1)*(1-Dep_Tax!Q24)</f>
        <v>471.37677368312308</v>
      </c>
      <c r="R89" s="56">
        <f>Equity_CF!R20-(Energy_Revenue!R19*0.1)*(1-Dep_Tax!R24)</f>
        <v>487.04191064123398</v>
      </c>
      <c r="S89" s="56">
        <f>Equity_CF!S20-(Energy_Revenue!S19*0.1)*(1-Dep_Tax!S24)</f>
        <v>525.72631941634359</v>
      </c>
      <c r="T89" s="56">
        <f>Equity_CF!T20-(Energy_Revenue!T19*0.1)*(1-Dep_Tax!T24)</f>
        <v>506.2188580800123</v>
      </c>
      <c r="U89" s="56">
        <f>Equity_CF!U20-(Energy_Revenue!U19*0.1)*(1-Dep_Tax!U24)</f>
        <v>826.42030764377841</v>
      </c>
      <c r="V89" s="56">
        <f>Equity_CF!V20-(Energy_Revenue!V19*0.1)*(1-Dep_Tax!V24)</f>
        <v>839.79743270216272</v>
      </c>
      <c r="W89" s="56">
        <f>Equity_CF!W20-(Energy_Revenue!W19*0.1)*(1-Dep_Tax!W24)</f>
        <v>853.4087829432948</v>
      </c>
      <c r="X89" s="56">
        <f>Equity_CF!X20-(Energy_Revenue!X19*0.1)*(1-Dep_Tax!X24)</f>
        <v>867.25844449179203</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697</v>
      </c>
      <c r="B90" t="s">
        <v>702</v>
      </c>
      <c r="C90" s="56">
        <f>Equity_CF!C20-Debt!C16*-0.0999999999999999*(1-Dep_Tax!C24)</f>
        <v>-1083.7003000000002</v>
      </c>
      <c r="D90" s="56">
        <f>Equity_CF!D20-Debt!D16*-0.0999999999999999*(1-Dep_Tax!D24)</f>
        <v>-1479.1879250000004</v>
      </c>
      <c r="E90" s="56">
        <f>Equity_CF!E20-Debt!E16*-0.0999999999999999*(1-Dep_Tax!E24)</f>
        <v>733.58974599999988</v>
      </c>
      <c r="F90" s="56">
        <f>Equity_CF!F20-Debt!F16*-0.0999999999999999*(1-Dep_Tax!F24)</f>
        <v>94.232385361493456</v>
      </c>
      <c r="G90" s="56">
        <f>Equity_CF!G20-Debt!G16*-0.0999999999999999*(1-Dep_Tax!G24)</f>
        <v>131.76740268591919</v>
      </c>
      <c r="H90" s="56">
        <f>Equity_CF!H20-Debt!H16*-0.0999999999999999*(1-Dep_Tax!H24)</f>
        <v>169.53325593869152</v>
      </c>
      <c r="I90" s="56">
        <f>Equity_CF!I20-Debt!I16*-0.0999999999999999*(1-Dep_Tax!I24)</f>
        <v>199.09141322499704</v>
      </c>
      <c r="J90" s="56">
        <f>Equity_CF!J20-Debt!J16*-0.0999999999999999*(1-Dep_Tax!J24)</f>
        <v>235.41915460253685</v>
      </c>
      <c r="K90" s="56">
        <f>Equity_CF!K20-Debt!K16*-0.0999999999999999*(1-Dep_Tax!K24)</f>
        <v>271.97791793139243</v>
      </c>
      <c r="L90" s="56">
        <f>Equity_CF!L20-Debt!L16*-0.0999999999999999*(1-Dep_Tax!L24)</f>
        <v>308.77174974370672</v>
      </c>
      <c r="M90" s="56">
        <f>Equity_CF!M20-Debt!M16*-0.0999999999999999*(1-Dep_Tax!M24)</f>
        <v>345.80476719489866</v>
      </c>
      <c r="N90" s="56">
        <f>Equity_CF!N20-Debt!N16*-0.0999999999999999*(1-Dep_Tax!N24)</f>
        <v>383.08115929100666</v>
      </c>
      <c r="O90" s="56">
        <f>Equity_CF!O20-Debt!O16*-0.0999999999999999*(1-Dep_Tax!O24)</f>
        <v>420.60518813725741</v>
      </c>
      <c r="P90" s="56">
        <f>Equity_CF!P20-Debt!P16*-0.0999999999999999*(1-Dep_Tax!P24)</f>
        <v>458.38119020821892</v>
      </c>
      <c r="Q90" s="56">
        <f>Equity_CF!Q20-Debt!Q16*-0.0999999999999999*(1-Dep_Tax!Q24)</f>
        <v>496.41357763991471</v>
      </c>
      <c r="R90" s="56">
        <f>Equity_CF!R20-Debt!R16*-0.0999999999999999*(1-Dep_Tax!R24)</f>
        <v>508.60029382263889</v>
      </c>
      <c r="S90" s="56">
        <f>Equity_CF!S20-Debt!S16*-0.0999999999999999*(1-Dep_Tax!S24)</f>
        <v>545.12959216137665</v>
      </c>
      <c r="T90" s="56">
        <f>Equity_CF!T20-Debt!T16*-0.0999999999999999*(1-Dep_Tax!T24)</f>
        <v>521.55562056884219</v>
      </c>
      <c r="U90" s="56">
        <f>Equity_CF!U20-Debt!U16*-0.0999999999999999*(1-Dep_Tax!U24)</f>
        <v>839.85164298238499</v>
      </c>
      <c r="V90" s="56">
        <f>Equity_CF!V20-Debt!V16*-0.0999999999999999*(1-Dep_Tax!V24)</f>
        <v>853.49739474754142</v>
      </c>
      <c r="W90" s="56">
        <f>Equity_CF!W20-Debt!W16*-0.0999999999999999*(1-Dep_Tax!W24)</f>
        <v>867.38274422958102</v>
      </c>
      <c r="X90" s="56">
        <f>Equity_CF!X20-Debt!X16*-0.0999999999999999*(1-Dep_Tax!X24)</f>
        <v>881.51188500380397</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698</v>
      </c>
      <c r="B91" t="s">
        <v>703</v>
      </c>
      <c r="C91" s="56">
        <f>Equity_CF!C20-Debt!C16*-0.05*(1-Dep_Tax!C24)</f>
        <v>-1087.7667750000001</v>
      </c>
      <c r="D91" s="56">
        <f>Equity_CF!D20-Debt!D16*-0.05*(1-Dep_Tax!D24)</f>
        <v>-1493.4205875000002</v>
      </c>
      <c r="E91" s="56">
        <f>Equity_CF!E20-Debt!E16*-0.05*(1-Dep_Tax!E24)</f>
        <v>713.25737099999992</v>
      </c>
      <c r="F91" s="56">
        <f>Equity_CF!F20-Debt!F16*-0.05*(1-Dep_Tax!F24)</f>
        <v>73.9000103614935</v>
      </c>
      <c r="G91" s="56">
        <f>Equity_CF!G20-Debt!G16*-0.05*(1-Dep_Tax!G24)</f>
        <v>112.79051935258589</v>
      </c>
      <c r="H91" s="56">
        <f>Equity_CF!H20-Debt!H16*-0.05*(1-Dep_Tax!H24)</f>
        <v>151.91186427202487</v>
      </c>
      <c r="I91" s="56">
        <f>Equity_CF!I20-Debt!I16*-0.05*(1-Dep_Tax!I24)</f>
        <v>183.63880822499709</v>
      </c>
      <c r="J91" s="56">
        <f>Equity_CF!J20-Debt!J16*-0.05*(1-Dep_Tax!J24)</f>
        <v>221.25426668587022</v>
      </c>
      <c r="K91" s="56">
        <f>Equity_CF!K20-Debt!K16*-0.05*(1-Dep_Tax!K24)</f>
        <v>259.10074709805912</v>
      </c>
      <c r="L91" s="56">
        <f>Equity_CF!L20-Debt!L16*-0.05*(1-Dep_Tax!L24)</f>
        <v>297.18229599370676</v>
      </c>
      <c r="M91" s="56">
        <f>Equity_CF!M20-Debt!M16*-0.05*(1-Dep_Tax!M24)</f>
        <v>335.50303052823205</v>
      </c>
      <c r="N91" s="56">
        <f>Equity_CF!N20-Debt!N16*-0.05*(1-Dep_Tax!N24)</f>
        <v>374.06713970767333</v>
      </c>
      <c r="O91" s="56">
        <f>Equity_CF!O20-Debt!O16*-0.05*(1-Dep_Tax!O24)</f>
        <v>412.87888563725744</v>
      </c>
      <c r="P91" s="56">
        <f>Equity_CF!P20-Debt!P16*-0.05*(1-Dep_Tax!P24)</f>
        <v>451.9426047915523</v>
      </c>
      <c r="Q91" s="56">
        <f>Equity_CF!Q20-Debt!Q16*-0.05*(1-Dep_Tax!Q24)</f>
        <v>491.26270930658137</v>
      </c>
      <c r="R91" s="56">
        <f>Equity_CF!R20-Debt!R16*-0.05*(1-Dep_Tax!R24)</f>
        <v>504.94046632263894</v>
      </c>
      <c r="S91" s="56">
        <f>Equity_CF!S20-Debt!S16*-0.05*(1-Dep_Tax!S24)</f>
        <v>542.68970716137665</v>
      </c>
      <c r="T91" s="56">
        <f>Equity_CF!T20-Debt!T16*-0.05*(1-Dep_Tax!T24)</f>
        <v>520.47122723550888</v>
      </c>
      <c r="U91" s="56">
        <f>Equity_CF!U20-Debt!U16*-0.05*(1-Dep_Tax!U24)</f>
        <v>839.85164298238499</v>
      </c>
      <c r="V91" s="56">
        <f>Equity_CF!V20-Debt!V16*-0.05*(1-Dep_Tax!V24)</f>
        <v>853.49739474754142</v>
      </c>
      <c r="W91" s="56">
        <f>Equity_CF!W20-Debt!W16*-0.05*(1-Dep_Tax!W24)</f>
        <v>867.38274422958102</v>
      </c>
      <c r="X91" s="56">
        <f>Equity_CF!X20-Debt!X16*-0.05*(1-Dep_Tax!X24)</f>
        <v>881.51188500380397</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699</v>
      </c>
      <c r="B92" t="s">
        <v>704</v>
      </c>
      <c r="C92" s="56">
        <f>Equity_CF!C20-Debt!C16*0*(1-Dep_Tax!C24)</f>
        <v>-1091.8332500000001</v>
      </c>
      <c r="D92" s="56">
        <f>Equity_CF!D20-Debt!D16*0*(1-Dep_Tax!D24)</f>
        <v>-1507.6532500000003</v>
      </c>
      <c r="E92" s="56">
        <f>Equity_CF!E20-Debt!E16*0*(1-Dep_Tax!E24)</f>
        <v>692.92499599999996</v>
      </c>
      <c r="F92" s="56">
        <f>Equity_CF!F20-Debt!F16*0*(1-Dep_Tax!F24)</f>
        <v>53.567635361493501</v>
      </c>
      <c r="G92" s="56">
        <f>Equity_CF!G20-Debt!G16*0*(1-Dep_Tax!G24)</f>
        <v>93.813636019252556</v>
      </c>
      <c r="H92" s="56">
        <f>Equity_CF!H20-Debt!H16*0*(1-Dep_Tax!H24)</f>
        <v>134.29047260535822</v>
      </c>
      <c r="I92" s="56">
        <f>Equity_CF!I20-Debt!I16*0*(1-Dep_Tax!I24)</f>
        <v>168.18620322499709</v>
      </c>
      <c r="J92" s="56">
        <f>Equity_CF!J20-Debt!J16*0*(1-Dep_Tax!J24)</f>
        <v>207.08937876920356</v>
      </c>
      <c r="K92" s="56">
        <f>Equity_CF!K20-Debt!K16*0*(1-Dep_Tax!K24)</f>
        <v>246.22357626472581</v>
      </c>
      <c r="L92" s="56">
        <f>Equity_CF!L20-Debt!L16*0*(1-Dep_Tax!L24)</f>
        <v>285.59284224370674</v>
      </c>
      <c r="M92" s="56">
        <f>Equity_CF!M20-Debt!M16*0*(1-Dep_Tax!M24)</f>
        <v>325.20129386156538</v>
      </c>
      <c r="N92" s="56">
        <f>Equity_CF!N20-Debt!N16*0*(1-Dep_Tax!N24)</f>
        <v>365.05312012434001</v>
      </c>
      <c r="O92" s="56">
        <f>Equity_CF!O20-Debt!O16*0*(1-Dep_Tax!O24)</f>
        <v>405.15258313725747</v>
      </c>
      <c r="P92" s="56">
        <f>Equity_CF!P20-Debt!P16*0*(1-Dep_Tax!P24)</f>
        <v>445.50401937488562</v>
      </c>
      <c r="Q92" s="56">
        <f>Equity_CF!Q20-Debt!Q16*0*(1-Dep_Tax!Q24)</f>
        <v>486.11184097324804</v>
      </c>
      <c r="R92" s="56">
        <f>Equity_CF!R20-Debt!R16*0*(1-Dep_Tax!R24)</f>
        <v>501.28063882263893</v>
      </c>
      <c r="S92" s="56">
        <f>Equity_CF!S20-Debt!S16*0*(1-Dep_Tax!S24)</f>
        <v>540.24982216137664</v>
      </c>
      <c r="T92" s="56">
        <f>Equity_CF!T20-Debt!T16*0*(1-Dep_Tax!T24)</f>
        <v>519.38683390217557</v>
      </c>
      <c r="U92" s="56">
        <f>Equity_CF!U20-Debt!U16*0*(1-Dep_Tax!U24)</f>
        <v>839.85164298238499</v>
      </c>
      <c r="V92" s="56">
        <f>Equity_CF!V20-Debt!V16*0*(1-Dep_Tax!V24)</f>
        <v>853.49739474754142</v>
      </c>
      <c r="W92" s="56">
        <f>Equity_CF!W20-Debt!W16*0*(1-Dep_Tax!W24)</f>
        <v>867.38274422958102</v>
      </c>
      <c r="X92" s="56">
        <f>Equity_CF!X20-Debt!X16*0*(1-Dep_Tax!X24)</f>
        <v>881.51188500380397</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700</v>
      </c>
      <c r="B93" t="s">
        <v>705</v>
      </c>
      <c r="C93" s="56">
        <f>Equity_CF!C20-Debt!C16*0.05*(1-Dep_Tax!C24)</f>
        <v>-1095.8997250000002</v>
      </c>
      <c r="D93" s="56">
        <f>Equity_CF!D20-Debt!D16*0.05*(1-Dep_Tax!D24)</f>
        <v>-1521.8859125000004</v>
      </c>
      <c r="E93" s="56">
        <f>Equity_CF!E20-Debt!E16*0.05*(1-Dep_Tax!E24)</f>
        <v>672.59262100000001</v>
      </c>
      <c r="F93" s="56">
        <f>Equity_CF!F20-Debt!F16*0.05*(1-Dep_Tax!F24)</f>
        <v>33.235260361493502</v>
      </c>
      <c r="G93" s="56">
        <f>Equity_CF!G20-Debt!G16*0.05*(1-Dep_Tax!G24)</f>
        <v>74.836752685919222</v>
      </c>
      <c r="H93" s="56">
        <f>Equity_CF!H20-Debt!H16*0.05*(1-Dep_Tax!H24)</f>
        <v>116.66908093869155</v>
      </c>
      <c r="I93" s="56">
        <f>Equity_CF!I20-Debt!I16*0.05*(1-Dep_Tax!I24)</f>
        <v>152.73359822499708</v>
      </c>
      <c r="J93" s="56">
        <f>Equity_CF!J20-Debt!J16*0.05*(1-Dep_Tax!J24)</f>
        <v>192.92449085253691</v>
      </c>
      <c r="K93" s="56">
        <f>Equity_CF!K20-Debt!K16*0.05*(1-Dep_Tax!K24)</f>
        <v>233.34640543139247</v>
      </c>
      <c r="L93" s="56">
        <f>Equity_CF!L20-Debt!L16*0.05*(1-Dep_Tax!L24)</f>
        <v>274.00338849370672</v>
      </c>
      <c r="M93" s="56">
        <f>Equity_CF!M20-Debt!M16*0.05*(1-Dep_Tax!M24)</f>
        <v>314.8995571948987</v>
      </c>
      <c r="N93" s="56">
        <f>Equity_CF!N20-Debt!N16*0.05*(1-Dep_Tax!N24)</f>
        <v>356.03910054100669</v>
      </c>
      <c r="O93" s="56">
        <f>Equity_CF!O20-Debt!O16*0.05*(1-Dep_Tax!O24)</f>
        <v>397.42628063725749</v>
      </c>
      <c r="P93" s="56">
        <f>Equity_CF!P20-Debt!P16*0.05*(1-Dep_Tax!P24)</f>
        <v>439.06543395821893</v>
      </c>
      <c r="Q93" s="56">
        <f>Equity_CF!Q20-Debt!Q16*0.05*(1-Dep_Tax!Q24)</f>
        <v>480.9609726399147</v>
      </c>
      <c r="R93" s="56">
        <f>Equity_CF!R20-Debt!R16*0.05*(1-Dep_Tax!R24)</f>
        <v>497.62081132263893</v>
      </c>
      <c r="S93" s="56">
        <f>Equity_CF!S20-Debt!S16*0.05*(1-Dep_Tax!S24)</f>
        <v>537.80993716137664</v>
      </c>
      <c r="T93" s="56">
        <f>Equity_CF!T20-Debt!T16*0.05*(1-Dep_Tax!T24)</f>
        <v>518.30244056884226</v>
      </c>
      <c r="U93" s="56">
        <f>Equity_CF!U20-Debt!U16*0.05*(1-Dep_Tax!U24)</f>
        <v>839.85164298238499</v>
      </c>
      <c r="V93" s="56">
        <f>Equity_CF!V20-Debt!V16*0.05*(1-Dep_Tax!V24)</f>
        <v>853.49739474754142</v>
      </c>
      <c r="W93" s="56">
        <f>Equity_CF!W20-Debt!W16*0.05*(1-Dep_Tax!W24)</f>
        <v>867.38274422958102</v>
      </c>
      <c r="X93" s="56">
        <f>Equity_CF!X20-Debt!X16*0.05*(1-Dep_Tax!X24)</f>
        <v>881.51188500380397</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701</v>
      </c>
      <c r="B94" t="s">
        <v>706</v>
      </c>
      <c r="C94" s="56">
        <f>Equity_CF!C20-Debt!C16*0.1*(1-Dep_Tax!C24)</f>
        <v>-1099.9662000000001</v>
      </c>
      <c r="D94" s="56">
        <f>Equity_CF!D20-Debt!D16*0.1*(1-Dep_Tax!D24)</f>
        <v>-1536.1185750000002</v>
      </c>
      <c r="E94" s="56">
        <f>Equity_CF!E20-Debt!E16*0.1*(1-Dep_Tax!E24)</f>
        <v>652.26024599999994</v>
      </c>
      <c r="F94" s="56">
        <f>Equity_CF!F20-Debt!F16*0.1*(1-Dep_Tax!F24)</f>
        <v>12.902885361493503</v>
      </c>
      <c r="G94" s="56">
        <f>Equity_CF!G20-Debt!G16*0.1*(1-Dep_Tax!G24)</f>
        <v>55.859869352585889</v>
      </c>
      <c r="H94" s="56">
        <f>Equity_CF!H20-Debt!H16*0.1*(1-Dep_Tax!H24)</f>
        <v>99.047689272024883</v>
      </c>
      <c r="I94" s="56">
        <f>Equity_CF!I20-Debt!I16*0.1*(1-Dep_Tax!I24)</f>
        <v>137.28099322499708</v>
      </c>
      <c r="J94" s="56">
        <f>Equity_CF!J20-Debt!J16*0.1*(1-Dep_Tax!J24)</f>
        <v>178.75960293587025</v>
      </c>
      <c r="K94" s="56">
        <f>Equity_CF!K20-Debt!K16*0.1*(1-Dep_Tax!K24)</f>
        <v>220.46923459805913</v>
      </c>
      <c r="L94" s="56">
        <f>Equity_CF!L20-Debt!L16*0.1*(1-Dep_Tax!L24)</f>
        <v>262.41393474370676</v>
      </c>
      <c r="M94" s="56">
        <f>Equity_CF!M20-Debt!M16*0.1*(1-Dep_Tax!M24)</f>
        <v>304.59782052823203</v>
      </c>
      <c r="N94" s="56">
        <f>Equity_CF!N20-Debt!N16*0.1*(1-Dep_Tax!N24)</f>
        <v>347.02508095767337</v>
      </c>
      <c r="O94" s="56">
        <f>Equity_CF!O20-Debt!O16*0.1*(1-Dep_Tax!O24)</f>
        <v>389.69997813725746</v>
      </c>
      <c r="P94" s="56">
        <f>Equity_CF!P20-Debt!P16*0.1*(1-Dep_Tax!P24)</f>
        <v>432.62684854155231</v>
      </c>
      <c r="Q94" s="56">
        <f>Equity_CF!Q20-Debt!Q16*0.1*(1-Dep_Tax!Q24)</f>
        <v>475.81010430658137</v>
      </c>
      <c r="R94" s="56">
        <f>Equity_CF!R20-Debt!R16*0.1*(1-Dep_Tax!R24)</f>
        <v>493.96098382263892</v>
      </c>
      <c r="S94" s="56">
        <f>Equity_CF!S20-Debt!S16*0.1*(1-Dep_Tax!S24)</f>
        <v>535.37005216137663</v>
      </c>
      <c r="T94" s="56">
        <f>Equity_CF!T20-Debt!T16*0.1*(1-Dep_Tax!T24)</f>
        <v>517.21804723550895</v>
      </c>
      <c r="U94" s="56">
        <f>Equity_CF!U20-Debt!U16*0.1*(1-Dep_Tax!U24)</f>
        <v>839.85164298238499</v>
      </c>
      <c r="V94" s="56">
        <f>Equity_CF!V20-Debt!V16*0.1*(1-Dep_Tax!V24)</f>
        <v>853.49739474754142</v>
      </c>
      <c r="W94" s="56">
        <f>Equity_CF!W20-Debt!W16*0.1*(1-Dep_Tax!W24)</f>
        <v>867.38274422958102</v>
      </c>
      <c r="X94" s="56">
        <f>Equity_CF!X20-Debt!X16*0.1*(1-Dep_Tax!X24)</f>
        <v>881.51188500380397</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2026-07-28T08:05:30Z</dcterms:modified>
</cp:coreProperties>
</file>
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94e937701141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" sheetId="1" r:id="R3878c96f78bc40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;[Red](#,##0.00);-"/>
    <x:numFmt numFmtId="202" formatCode="0.0%"/>
    <x:numFmt numFmtId="203" formatCode="0.0"/>
    <x:numFmt numFmtId="204" formatCode="#,##0;[Red](#,##0);-"/>
    <x:numFmt numFmtId="205" formatCode="0.00%"/>
    <x:numFmt numFmtId="206" formatCode="0.00x"/>
    <x:numFmt numFmtId="207" formatCode="@"/>
  </x:numFmts>
  <x:fonts count="10">
    <x:font>
      <x:sz val="11"/>
      <x:name val="Carlito"/>
    </x:font>
    <x:font>
      <x:sz val="10"/>
      <x:color rgb="FF222222"/>
      <x:name val="Arial"/>
    </x:font>
    <x:font>
      <x:b/>
      <x:sz val="15"/>
      <x:color rgb="FFFFFFFF"/>
      <x:name val="Arial"/>
    </x:font>
    <x:font>
      <x:i/>
      <x:sz val="10"/>
      <x:color rgb="FF666666"/>
      <x:name val="Arial"/>
    </x:font>
    <x:font>
      <x:sz val="9"/>
      <x:color rgb="FF666666"/>
      <x:name val="Arial"/>
    </x:font>
    <x:font>
      <x:b/>
      <x:sz val="10"/>
      <x:color rgb="FFFFFFFF"/>
      <x:name val="Arial"/>
    </x:font>
    <x:font>
      <x:b/>
      <x:sz val="10"/>
      <x:color rgb="FFFF0000"/>
      <x:name val="Arial"/>
    </x:font>
    <x:font>
      <x:b/>
      <x:sz val="10"/>
      <x:color rgb="FF0000FF"/>
      <x:name val="Arial"/>
    </x:font>
    <x:font>
      <x:b/>
      <x:sz val="10"/>
      <x:color rgb="FF222222"/>
      <x:name val="Arial"/>
    </x:font>
    <x:font>
      <x:sz val="10"/>
      <x:color rgb="FFFF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F2F2F2"/>
      </x:patternFill>
    </x:fill>
  </x:fills>
  <x:borders count="5">
    <x:border/>
    <x:border>
      <x:left style="thin">
        <x:color rgb="FFB8C6D1"/>
      </x:left>
      <x:top style="thin">
        <x:color rgb="FFB8C6D1"/>
      </x:top>
      <x:bottom style="thin">
        <x:color rgb="FFB8C6D1"/>
      </x:bottom>
    </x:border>
    <x:border>
      <x:top style="thin">
        <x:color rgb="FFB8C6D1"/>
      </x:top>
      <x:bottom style="thin">
        <x:color rgb="FFB8C6D1"/>
      </x:bottom>
    </x:border>
    <x:border>
      <x:right style="thin">
        <x:color rgb="FFB8C6D1"/>
      </x:right>
      <x:top style="thin">
        <x:color rgb="FFB8C6D1"/>
      </x:top>
      <x:bottom style="thin">
        <x:color rgb="FFB8C6D1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10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right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/>
    </x:xf>
    <x:xf numFmtId="0" fontId="5" fillId="4" borderId="0" xfId="0" applyNumberFormat="1" applyFont="1" applyFill="1" applyBorder="1" applyAlignment="1">
      <x:alignment horizontal="left" vertical="center"/>
    </x:xf>
    <x:xf numFmtId="0" fontId="1" fillId="0" borderId="4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5" borderId="4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horizontal="left" vertical="center" wrapText="1"/>
    </x:xf>
    <x:xf numFmtId="0" fontId="8" fillId="0" borderId="4" xfId="0" applyNumberFormat="1" applyFont="1" applyFill="1" applyBorder="1" applyAlignment="1">
      <x:alignment vertical="center" wrapText="1"/>
    </x:xf>
    <x:xf numFmtId="0" fontId="9" fillId="5" borderId="4" xfId="0" applyNumberFormat="1" applyFont="1" applyFill="1" applyBorder="1" applyAlignment="1">
      <x:alignment vertical="center" wrapText="1"/>
    </x:xf>
    <x:xf numFmtId="0" fontId="9" fillId="5" borderId="4" xfId="0" applyNumberFormat="1" applyFont="1" applyFill="1" applyBorder="1" applyAlignment="1">
      <x:alignment horizontal="left" vertical="center" wrapText="1"/>
    </x:xf>
    <x:xf numFmtId="0" fontId="9" fillId="5" borderId="4" xfId="0" applyNumberFormat="1" applyFont="1" applyFill="1" applyBorder="1" applyAlignment="1">
      <x:alignment horizontal="right" vertical="center" wrapText="1"/>
    </x:xf>
    <x:xf numFmtId="200" fontId="9" fillId="5" borderId="4" xfId="0" applyNumberFormat="1" applyFont="1" applyFill="1" applyBorder="1" applyAlignment="1">
      <x:alignment horizontal="right" vertical="center" wrapText="1"/>
    </x:xf>
    <x:xf numFmtId="0" fontId="6" fillId="5" borderId="4" xfId="0" applyNumberFormat="1" applyFont="1" applyFill="1" applyBorder="1" applyAlignment="1">
      <x:alignment horizontal="right" vertical="center" wrapText="1"/>
    </x:xf>
    <x:xf numFmtId="200" fontId="6" fillId="5" borderId="4" xfId="0" applyNumberFormat="1" applyFont="1" applyFill="1" applyBorder="1" applyAlignment="1">
      <x:alignment horizontal="right" vertical="center" wrapText="1"/>
    </x:xf>
    <x:xf numFmtId="0" fontId="1" fillId="6" borderId="4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horizontal="right" vertical="center" wrapText="1"/>
    </x:xf>
    <x:xf numFmtId="200" fontId="7" fillId="6" borderId="4" xfId="0" applyNumberFormat="1" applyFont="1" applyFill="1" applyBorder="1" applyAlignment="1">
      <x:alignment horizontal="right" vertical="center" wrapText="1"/>
    </x:xf>
    <x:xf numFmtId="201" fontId="6" fillId="5" borderId="4" xfId="0" applyNumberFormat="1" applyFont="1" applyFill="1" applyBorder="1" applyAlignment="1">
      <x:alignment horizontal="right" vertical="center" wrapText="1"/>
    </x:xf>
    <x:xf numFmtId="202" fontId="6" fillId="5" borderId="4" xfId="0" applyNumberFormat="1" applyFont="1" applyFill="1" applyBorder="1" applyAlignment="1">
      <x:alignment horizontal="right" vertical="center" wrapText="1"/>
    </x:xf>
    <x:xf numFmtId="202" fontId="9" fillId="5" borderId="4" xfId="0" applyNumberFormat="1" applyFont="1" applyFill="1" applyBorder="1" applyAlignment="1">
      <x:alignment horizontal="right" vertical="center" wrapText="1"/>
    </x:xf>
    <x:xf numFmtId="203" fontId="9" fillId="5" borderId="4" xfId="0" applyNumberFormat="1" applyFont="1" applyFill="1" applyBorder="1" applyAlignment="1">
      <x:alignment horizontal="right" vertical="center" wrapText="1"/>
    </x:xf>
    <x:xf numFmtId="201" fontId="7" fillId="6" borderId="4" xfId="0" applyNumberFormat="1" applyFont="1" applyFill="1" applyBorder="1" applyAlignment="1">
      <x:alignment horizontal="right" vertical="center" wrapText="1"/>
    </x:xf>
    <x:xf numFmtId="201" fontId="9" fillId="5" borderId="4" xfId="0" applyNumberFormat="1" applyFont="1" applyFill="1" applyBorder="1" applyAlignment="1">
      <x:alignment horizontal="right" vertical="center" wrapText="1"/>
    </x:xf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8" fillId="3" borderId="2" xfId="0" applyNumberFormat="1" applyFont="1" applyFill="1" applyBorder="1"/>
    <x:xf numFmtId="0" fontId="8" fillId="3" borderId="3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2" xfId="0" applyNumberFormat="1" applyFont="1" applyFill="1" applyBorder="1" applyAlignment="1">
      <x:alignment horizontal="center"/>
    </x:xf>
    <x:xf numFmtId="0" fontId="8" fillId="3" borderId="3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8" fillId="3" borderId="2" xfId="0" applyNumberFormat="1" applyFont="1" applyFill="1" applyBorder="1" applyAlignment="1">
      <x:alignment horizontal="center" vertical="center"/>
    </x:xf>
    <x:xf numFmtId="0" fontId="8" fillId="3" borderId="3" xfId="0" applyNumberFormat="1" applyFont="1" applyFill="1" applyBorder="1" applyAlignment="1">
      <x:alignment horizontal="center" vertical="center"/>
    </x:xf>
    <x:xf numFmtId="202" fontId="7" fillId="6" borderId="4" xfId="0" applyNumberFormat="1" applyFont="1" applyFill="1" applyBorder="1" applyAlignment="1">
      <x:alignment horizontal="right" vertical="center" wrapText="1"/>
    </x:xf>
    <x:xf numFmtId="204" fontId="6" fillId="5" borderId="4" xfId="0" applyNumberFormat="1" applyFont="1" applyFill="1" applyBorder="1" applyAlignment="1">
      <x:alignment horizontal="right" vertical="center" wrapText="1"/>
    </x:xf>
    <x:xf numFmtId="205" fontId="9" fillId="5" borderId="4" xfId="0" applyNumberFormat="1" applyFont="1" applyFill="1" applyBorder="1" applyAlignment="1">
      <x:alignment horizontal="right" vertical="center" wrapText="1"/>
    </x:xf>
    <x:xf numFmtId="205" fontId="6" fillId="5" borderId="4" xfId="0" applyNumberFormat="1" applyFont="1" applyFill="1" applyBorder="1" applyAlignment="1">
      <x:alignment horizontal="right" vertical="center" wrapText="1"/>
    </x:xf>
    <x:xf numFmtId="206" fontId="9" fillId="5" borderId="4" xfId="0" applyNumberFormat="1" applyFont="1" applyFill="1" applyBorder="1" applyAlignment="1">
      <x:alignment horizontal="right" vertical="center" wrapText="1"/>
    </x:xf>
    <x:xf numFmtId="0" fontId="1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/>
    </x:xf>
    <x:xf numFmtId="0" fontId="1" fillId="0" borderId="4" xfId="0" applyNumberFormat="1" applyFont="1" applyFill="1" applyBorder="1" applyAlignment="1">
      <x:alignment vertical="center"/>
    </x:xf>
    <x:xf numFmtId="0" fontId="1" fillId="6" borderId="4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/>
    </x:xf>
    <x:xf numFmtId="200" fontId="7" fillId="6" borderId="4" xfId="0" applyNumberFormat="1" applyFont="1" applyFill="1" applyBorder="1" applyAlignment="1">
      <x:alignment vertical="center"/>
    </x:xf>
    <x:xf numFmtId="200" fontId="7" fillId="6" borderId="4" xfId="0" applyNumberFormat="1" applyFont="1" applyFill="1" applyBorder="1" applyAlignment="1">
      <x:alignment horizontal="right" vertical="center"/>
    </x:xf>
    <x:xf numFmtId="201" fontId="7" fillId="6" borderId="4" xfId="0" applyNumberFormat="1" applyFont="1" applyFill="1" applyBorder="1" applyAlignment="1">
      <x:alignment vertical="center"/>
    </x:xf>
    <x:xf numFmtId="201" fontId="7" fillId="6" borderId="4" xfId="0" applyNumberFormat="1" applyFont="1" applyFill="1" applyBorder="1" applyAlignment="1">
      <x:alignment horizontal="right" vertical="center"/>
    </x:xf>
    <x:xf numFmtId="202" fontId="7" fillId="6" borderId="4" xfId="0" applyNumberFormat="1" applyFont="1" applyFill="1" applyBorder="1" applyAlignment="1">
      <x:alignment vertical="center"/>
    </x:xf>
    <x:xf numFmtId="202" fontId="7" fillId="6" borderId="4" xfId="0" applyNumberFormat="1" applyFont="1" applyFill="1" applyBorder="1" applyAlignment="1">
      <x:alignment horizontal="right" vertical="center"/>
    </x:xf>
    <x:xf numFmtId="207" fontId="7" fillId="6" borderId="4" xfId="0" applyNumberFormat="1" applyFont="1" applyFill="1" applyBorder="1" applyAlignment="1">
      <x:alignment vertical="center"/>
    </x:xf>
    <x:xf numFmtId="207" fontId="7" fillId="6" borderId="4" xfId="0" applyNumberFormat="1" applyFont="1" applyFill="1" applyBorder="1" applyAlignment="1">
      <x:alignment horizontal="right" vertical="center"/>
    </x:xf>
    <x:xf numFmtId="207" fontId="7" fillId="6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right" vertic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8" fillId="3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0000FF"/>
      </x:font>
      <x:fill>
        <x:patternFill patternType="solid">
          <x:bgColor rgb="FFE2F0D9"/>
        </x:patternFill>
      </x:fill>
    </x:dxf>
    <x:dxf>
      <x:font>
        <x:b/>
        <x:color rgb="FF0000FF"/>
      </x:font>
      <x:fill>
        <x:patternFill patternType="solid">
          <x:bgColor rgb="FFFCE4D6"/>
        </x:patternFill>
      </x:fill>
    </x:dxf>
    <x:dxf>
      <x:font>
        <x:b/>
        <x:color rgb="FF0000FF"/>
      </x:font>
      <x:fill>
        <x:patternFill patternType="solid">
          <x:bgColor rgb="FFE2F0D9"/>
        </x:patternFill>
      </x:fill>
    </x:dxf>
    <x:dxf>
      <x:font>
        <x:b/>
        <x:color rgb="FF0000FF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048d111ef54f69" /><Relationship Type="http://schemas.openxmlformats.org/officeDocument/2006/relationships/theme" Target="/xl/theme/theme1.xml" Id="R7d3ddc3dc3254887" /><Relationship Type="http://schemas.openxmlformats.org/officeDocument/2006/relationships/sharedStrings" Target="/xl/sharedStrings.xml" Id="Ra3c88547d117491b" /><Relationship Type="http://schemas.openxmlformats.org/officeDocument/2006/relationships/worksheet" Target="/xl/worksheets/sheet1.xml" Id="R3878c96f78bc40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9" hidden="0" customWidth="1"/>
    <x:col min="4" max="4" width="18" hidden="0" customWidth="1"/>
    <x:col min="5" max="5" width="15" hidden="0" customWidth="1"/>
    <x:col min="6" max="6" width="13" hidden="0" customWidth="1"/>
    <x:col min="7" max="7" width="49" hidden="0" customWidth="1"/>
    <x:col min="8" max="8" width="3" hidden="0" customWidth="1"/>
    <x:col min="9" max="9" width="30" hidden="0" customWidth="1"/>
    <x:col min="10" max="10" width="18" hidden="0" customWidth="1"/>
    <x:col min="11" max="11" width="13" hidden="0" customWidth="1"/>
  </x:cols>
  <x:sheetData>
    <x:row r="1" ht="30" customHeight="1">
      <x:c r="A1" s="5" t="str">
        <x:v>DỮ LIỆU ĐẦU VÀO – PHÂN TÍCH KINH TẾ TÀI CHÍNH DỰ ÁN NĂNG LƯỢNG TÁI TẠO</x:v>
      </x:c>
      <x:c r="B1" s="5"/>
      <x:c r="C1" s="5"/>
      <x:c r="D1" s="5"/>
      <x:c r="E1" s="5"/>
      <x:c r="F1" s="5"/>
      <x:c r="G1" s="5"/>
      <x:c r="H1" s="96"/>
      <x:c r="I1" s="96"/>
      <x:c r="J1" s="96"/>
      <x:c r="K1" s="96"/>
    </x:row>
    <x:row r="2" ht="26" customHeight="1">
      <x:c r="A2" s="10" t="str">
        <x:v>Áp dụng chung cho dự án điện gió và điện mặt trời; chỉ sử dụng các giả định phục vụ tính toán kinh tế – tài chính.</x:v>
      </x:c>
      <x:c r="B2" s="10"/>
      <x:c r="C2" s="10"/>
      <x:c r="D2" s="10"/>
      <x:c r="E2" s="10"/>
      <x:c r="F2" s="10"/>
      <x:c r="G2" s="10"/>
      <x:c r="H2" s="96"/>
      <x:c r="I2" s="96"/>
      <x:c r="J2" s="96"/>
      <x:c r="K2" s="96"/>
    </x:row>
    <x:row r="3">
      <x:c r="A3" s="97" t="str">
        <x:v>Phiên bản: Ver1  |  Ngày lập: 27/07/2026  |  Đơn vị tiền tệ mặc định: tỷ VND</x:v>
      </x:c>
      <x:c r="B3" s="97"/>
      <x:c r="C3" s="97"/>
      <x:c r="D3" s="97"/>
      <x:c r="E3" s="97"/>
      <x:c r="F3" s="97"/>
      <x:c r="G3" s="97"/>
      <x:c r="H3" s="96"/>
      <x:c r="I3" s="96"/>
      <x:c r="J3" s="96"/>
      <x:c r="K3" s="96"/>
    </x:row>
    <x:row r="4">
      <x:c r="A4" s="96"/>
      <x:c r="B4" s="96"/>
      <x:c r="C4" s="96"/>
      <x:c r="D4" s="96"/>
      <x:c r="E4" s="96"/>
      <x:c r="F4" s="96"/>
      <x:c r="G4" s="96"/>
      <x:c r="H4" s="96"/>
      <x:c r="I4" s="96"/>
      <x:c r="J4" s="96"/>
      <x:c r="K4" s="96"/>
    </x:row>
    <x:row r="5">
      <x:c r="A5" s="98" t="str">
        <x:v>QUY ƯỚC MÀU</x:v>
      </x:c>
      <x:c r="B5" s="98"/>
      <x:c r="C5" s="96"/>
      <x:c r="D5" s="96"/>
      <x:c r="E5" s="96"/>
      <x:c r="F5" s="96"/>
      <x:c r="G5" s="96"/>
      <x:c r="H5" s="96"/>
      <x:c r="I5" s="99" t="str">
        <x:v>KẾT QUẢ TÍNH NHANH</x:v>
      </x:c>
      <x:c r="J5" s="99"/>
      <x:c r="K5" s="99"/>
    </x:row>
    <x:row r="6">
      <x:c r="A6" s="96" t="str">
        <x:v>Số liệu phải nhập</x:v>
      </x:c>
      <x:c r="B6" s="100" t="str">
        <x:v>123</x:v>
      </x:c>
      <x:c r="C6" s="96"/>
      <x:c r="D6" s="23" t="str">
        <x:v>Chữ đậm: thông số hoặc kết quả quan trọng</x:v>
      </x:c>
      <x:c r="E6" s="23"/>
      <x:c r="F6" s="23"/>
      <x:c r="G6" s="23"/>
      <x:c r="H6" s="96"/>
      <x:c r="I6" s="71" t="str">
        <x:v>Chỉ tiêu</x:v>
      </x:c>
      <x:c r="J6" s="72" t="str">
        <x:v>Giá trị</x:v>
      </x:c>
      <x:c r="K6" s="73" t="str">
        <x:v>Đơn vị</x:v>
      </x:c>
    </x:row>
    <x:row r="7">
      <x:c r="A7" s="96" t="str">
        <x:v>Kết quả tính toán</x:v>
      </x:c>
      <x:c r="B7" s="101" t="n">
        <x:f>1+1</x:f>
        <x:v>2</x:v>
      </x:c>
      <x:c r="C7" s="96"/>
      <x:c r="D7" s="25" t="str">
        <x:v>Ô để trống hoặc ghi 0 nếu nội dung tùy chọn không áp dụng.</x:v>
      </x:c>
      <x:c r="E7" s="25"/>
      <x:c r="F7" s="25"/>
      <x:c r="G7" s="25"/>
      <x:c r="H7" s="96"/>
      <x:c r="I7" s="84" t="str">
        <x:v>Năm COD</x:v>
      </x:c>
      <x:c r="J7" s="88" t="str">
        <x:f>IF(D16="","",D16)</x:f>
      </x:c>
      <x:c r="K7" s="84" t="str">
        <x:v>Năm</x:v>
      </x:c>
    </x:row>
    <x:row r="8">
      <x:c r="A8" s="96"/>
      <x:c r="B8" s="96"/>
      <x:c r="C8" s="96"/>
      <x:c r="D8" s="96"/>
      <x:c r="E8" s="96"/>
      <x:c r="F8" s="96"/>
      <x:c r="G8" s="96"/>
      <x:c r="H8" s="96"/>
      <x:c r="I8" s="84" t="str">
        <x:v>Năm kết thúc vận hành</x:v>
      </x:c>
      <x:c r="J8" s="88" t="str">
        <x:f>IF(D18="","",D18)</x:f>
      </x:c>
      <x:c r="K8" s="84" t="str">
        <x:v>Năm</x:v>
      </x:c>
    </x:row>
    <x:row r="9" ht="28" customHeight="1">
      <x:c r="A9" s="36" t="str">
        <x:v>Mã</x:v>
      </x:c>
      <x:c r="B9" s="37" t="str">
        <x:v>Thông số</x:v>
      </x:c>
      <x:c r="C9" s="37" t="str">
        <x:v>Ký hiệu</x:v>
      </x:c>
      <x:c r="D9" s="37" t="str">
        <x:v>Giá trị</x:v>
      </x:c>
      <x:c r="E9" s="37" t="str">
        <x:v>Đơn vị</x:v>
      </x:c>
      <x:c r="F9" s="37" t="str">
        <x:v>Trạng thái</x:v>
      </x:c>
      <x:c r="G9" s="38" t="str">
        <x:v>Ghi chú</x:v>
      </x:c>
      <x:c r="H9" s="96"/>
      <x:c r="I9" s="84" t="str">
        <x:v>Tổng thời gian dự án</x:v>
      </x:c>
      <x:c r="J9" s="88" t="str">
        <x:f>IF(OR(D15="",D17=""),"",D15+D17)</x:f>
      </x:c>
      <x:c r="K9" s="84" t="str">
        <x:v>Năm</x:v>
      </x:c>
    </x:row>
    <x:row r="10" ht="22" hidden="0" customHeight="1">
      <x:c r="A10" s="98" t="str">
        <x:v>1. THÔNG TIN CHUNG VÀ TIẾN ĐỘ DỰ ÁN</x:v>
      </x:c>
      <x:c r="B10" s="40"/>
      <x:c r="C10" s="98"/>
      <x:c r="D10" s="40"/>
      <x:c r="E10" s="98"/>
      <x:c r="F10" s="98"/>
      <x:c r="G10" s="104"/>
      <x:c r="H10" s="96"/>
      <x:c r="I10" s="96"/>
      <x:c r="J10" s="96"/>
      <x:c r="K10" s="96"/>
    </x:row>
    <x:row r="11" ht="15" hidden="0" customHeight="1">
      <x:c r="A11" s="102" t="str">
        <x:v>GEN-01</x:v>
      </x:c>
      <x:c r="B11" s="47" t="str">
        <x:v>Tên dự án</x:v>
      </x:c>
      <x:c r="C11" s="102" t="str">
        <x:v>Project</x:v>
      </x:c>
      <x:c r="D11" s="46"/>
      <x:c r="E11" s="102" t="str">
        <x:v>-</x:v>
      </x:c>
      <x:c r="F11" s="102" t="str">
        <x:v>Bắt buộc</x:v>
      </x:c>
      <x:c r="G11" s="43" t="str">
        <x:v>Nhập tên đầy đủ của dự án.</x:v>
      </x:c>
      <x:c r="H11" s="96"/>
      <x:c r="I11" s="84" t="str">
        <x:v>Vốn đầu tư bao gồm VAT</x:v>
      </x:c>
      <x:c r="J11" s="90" t="str">
        <x:f>IF(D25="","",D25)</x:f>
      </x:c>
      <x:c r="K11" s="84" t="str">
        <x:v>Tỷ VND</x:v>
      </x:c>
    </x:row>
    <x:row r="12" ht="15" hidden="0" customHeight="1">
      <x:c r="A12" s="102" t="str">
        <x:v>GEN-02</x:v>
      </x:c>
      <x:c r="B12" s="43" t="str">
        <x:v>Đồng tiền tính toán</x:v>
      </x:c>
      <x:c r="C12" s="102" t="str">
        <x:v>Currency</x:v>
      </x:c>
      <x:c r="D12" s="49" t="str">
        <x:v>VND</x:v>
      </x:c>
      <x:c r="E12" s="102" t="str">
        <x:v>-</x:v>
      </x:c>
      <x:c r="F12" s="102" t="str">
        <x:v>Bắt buộc</x:v>
      </x:c>
      <x:c r="G12" s="43" t="str">
        <x:v>Ver1 sử dụng VND; giá trị tiền tệ trình bày theo tỷ VND.</x:v>
      </x:c>
      <x:c r="H12" s="96"/>
      <x:c r="I12" s="84" t="str">
        <x:v>Cơ sở vốn đầu tư kinh tế</x:v>
      </x:c>
      <x:c r="J12" s="90" t="str">
        <x:f>IF(D26="","",D26)</x:f>
      </x:c>
      <x:c r="K12" s="84" t="str">
        <x:v>Tỷ VND</x:v>
      </x:c>
    </x:row>
    <x:row r="13" ht="15" hidden="0" customHeight="1">
      <x:c r="A13" s="102" t="str">
        <x:v>GEN-03</x:v>
      </x:c>
      <x:c r="B13" s="43" t="str">
        <x:v>Năm cơ sở của giá</x:v>
      </x:c>
      <x:c r="C13" s="102" t="str">
        <x:v>Base year</x:v>
      </x:c>
      <x:c r="D13" s="51" t="n">
        <x:v>2026</x:v>
      </x:c>
      <x:c r="E13" s="102" t="str">
        <x:v>Năm</x:v>
      </x:c>
      <x:c r="F13" s="102" t="str">
        <x:v>Bắt buộc</x:v>
      </x:c>
      <x:c r="G13" s="43" t="str">
        <x:v>Năm quy đổi các khoản vốn đầu tư, giá điện và O&amp;M.</x:v>
      </x:c>
      <x:c r="H13" s="96"/>
      <x:c r="I13" s="84" t="str">
        <x:v>Giá trị khoản vay</x:v>
      </x:c>
      <x:c r="J13" s="90" t="str">
        <x:f>IF(D63="","",D63)</x:f>
      </x:c>
      <x:c r="K13" s="84" t="str">
        <x:v>Tỷ VND</x:v>
      </x:c>
    </x:row>
    <x:row r="14" ht="15" hidden="0" customHeight="1">
      <x:c r="A14" s="102" t="str">
        <x:v>GEN-04</x:v>
      </x:c>
      <x:c r="B14" s="47" t="str">
        <x:v>Năm bắt đầu đầu tư</x:v>
      </x:c>
      <x:c r="C14" s="102" t="str">
        <x:v>Start year</x:v>
      </x:c>
      <x:c r="D14" s="53" t="n">
        <x:v>2026</x:v>
      </x:c>
      <x:c r="E14" s="102" t="str">
        <x:v>Năm</x:v>
      </x:c>
      <x:c r="F14" s="102" t="str">
        <x:v>Bắt buộc</x:v>
      </x:c>
      <x:c r="G14" s="43" t="str">
        <x:v>Năm bắt đầu phát sinh dòng tiền đầu tư.</x:v>
      </x:c>
      <x:c r="H14" s="96"/>
      <x:c r="I14" s="84" t="str">
        <x:v>Vốn chủ sở hữu ban đầu</x:v>
      </x:c>
      <x:c r="J14" s="90" t="str">
        <x:f>IF(D64="","",D64)</x:f>
      </x:c>
      <x:c r="K14" s="84" t="str">
        <x:v>Tỷ VND</x:v>
      </x:c>
    </x:row>
    <x:row r="15" ht="15" hidden="0" customHeight="1">
      <x:c r="A15" s="102" t="str">
        <x:v>GEN-05</x:v>
      </x:c>
      <x:c r="B15" s="47" t="str">
        <x:v>Thời gian xây dựng</x:v>
      </x:c>
      <x:c r="C15" s="102" t="str">
        <x:v>Construction</x:v>
      </x:c>
      <x:c r="D15" s="53"/>
      <x:c r="E15" s="102" t="str">
        <x:v>Năm</x:v>
      </x:c>
      <x:c r="F15" s="102" t="str">
        <x:v>Bắt buộc</x:v>
      </x:c>
      <x:c r="G15" s="43" t="str">
        <x:v>Nhập số năm xây dựng; tối đa 5 năm trong Ver1.</x:v>
      </x:c>
      <x:c r="H15" s="96"/>
      <x:c r="I15" s="96"/>
      <x:c r="J15" s="96"/>
      <x:c r="K15" s="96"/>
    </x:row>
    <x:row r="16" ht="15" hidden="0" customHeight="1">
      <x:c r="A16" s="102" t="str">
        <x:v>GEN-06</x:v>
      </x:c>
      <x:c r="B16" s="47" t="str">
        <x:v>Năm vận hành thương mại</x:v>
      </x:c>
      <x:c r="C16" s="102" t="str">
        <x:v>COD year</x:v>
      </x:c>
      <x:c r="D16" s="57" t="str">
        <x:f>IF(OR(D14="",D15=""),"",D14+D15)</x:f>
      </x:c>
      <x:c r="E16" s="102" t="str">
        <x:v>Năm</x:v>
      </x:c>
      <x:c r="F16" s="102" t="str">
        <x:v>Tự tính</x:v>
      </x:c>
      <x:c r="G16" s="43" t="str">
        <x:v>Năm bắt đầu ghi nhận sản lượng và doanh thu.</x:v>
      </x:c>
      <x:c r="H16" s="96"/>
      <x:c r="I16" s="84" t="str">
        <x:v>Doanh thu năm đầu</x:v>
      </x:c>
      <x:c r="J16" s="90" t="str">
        <x:f>IF(D47="","",D47)</x:f>
      </x:c>
      <x:c r="K16" s="84" t="str">
        <x:v>Tỷ VND</x:v>
      </x:c>
    </x:row>
    <x:row r="17" ht="15" hidden="0" customHeight="1">
      <x:c r="A17" s="102" t="str">
        <x:v>GEN-07</x:v>
      </x:c>
      <x:c r="B17" s="47" t="str">
        <x:v>Thời gian vận hành</x:v>
      </x:c>
      <x:c r="C17" s="102" t="str">
        <x:v>Operating life</x:v>
      </x:c>
      <x:c r="D17" s="53"/>
      <x:c r="E17" s="102" t="str">
        <x:v>Năm</x:v>
      </x:c>
      <x:c r="F17" s="102" t="str">
        <x:v>Bắt buộc</x:v>
      </x:c>
      <x:c r="G17" s="43" t="str">
        <x:v>Thời gian phân tích vận hành dự án.</x:v>
      </x:c>
      <x:c r="H17" s="96"/>
      <x:c r="I17" s="84" t="str">
        <x:v>EBITDA năm đầu</x:v>
      </x:c>
      <x:c r="J17" s="90" t="str">
        <x:f>IF(D52="","",D52)</x:f>
      </x:c>
      <x:c r="K17" s="84" t="str">
        <x:v>Tỷ VND</x:v>
      </x:c>
    </x:row>
    <x:row r="18" ht="15" hidden="0" customHeight="1">
      <x:c r="A18" s="102" t="str">
        <x:v>GEN-08</x:v>
      </x:c>
      <x:c r="B18" s="47" t="str">
        <x:v>Năm kết thúc vận hành</x:v>
      </x:c>
      <x:c r="C18" s="102" t="str">
        <x:v>End year</x:v>
      </x:c>
      <x:c r="D18" s="57" t="str">
        <x:f>IF(OR(D16="",D17=""),"",D16+D17-1)</x:f>
      </x:c>
      <x:c r="E18" s="102" t="str">
        <x:v>Năm</x:v>
      </x:c>
      <x:c r="F18" s="102" t="str">
        <x:v>Tự tính</x:v>
      </x:c>
      <x:c r="G18" s="43" t="str">
        <x:v>Năm cuối cùng của thời gian phân tích.</x:v>
      </x:c>
      <x:c r="H18" s="96"/>
      <x:c r="I18" s="84" t="str">
        <x:v>Biên EBITDA năm đầu</x:v>
      </x:c>
      <x:c r="J18" s="92" t="str">
        <x:f>IF(OR(D47="",D47=0,D52=""),"",D52/D47)</x:f>
      </x:c>
      <x:c r="K18" s="84" t="str">
        <x:v>%</x:v>
      </x:c>
    </x:row>
    <x:row r="19" ht="15" hidden="0" customHeight="1">
      <x:c r="A19" s="103"/>
      <x:c r="B19" s="96"/>
      <x:c r="C19" s="103"/>
      <x:c r="D19" s="96"/>
      <x:c r="E19" s="103"/>
      <x:c r="F19" s="103"/>
      <x:c r="G19" s="105"/>
      <x:c r="H19" s="96"/>
      <x:c r="I19" s="96"/>
      <x:c r="J19" s="96"/>
      <x:c r="K19" s="96"/>
    </x:row>
    <x:row r="20" ht="22" hidden="0" customHeight="1">
      <x:c r="A20" s="98" t="str">
        <x:v>2. VỐN ĐẦU TƯ</x:v>
      </x:c>
      <x:c r="B20" s="40"/>
      <x:c r="C20" s="98"/>
      <x:c r="D20" s="40"/>
      <x:c r="E20" s="98"/>
      <x:c r="F20" s="98"/>
      <x:c r="G20" s="104"/>
      <x:c r="H20" s="96"/>
      <x:c r="I20" s="84" t="str">
        <x:v>Kiểm tra giải ngân</x:v>
      </x:c>
      <x:c r="J20" s="95" t="str">
        <x:f>IF(D37="","",IF(ABS(D37-1)&lt;0.000001,"OK","CHƯA ĐỦ 100%"))</x:f>
      </x:c>
      <x:c r="K20" s="84" t="str">
        <x:v>-</x:v>
      </x:c>
    </x:row>
    <x:row r="21" ht="24" hidden="0" customHeight="1">
      <x:c r="A21" s="102" t="str">
        <x:v>CAP-01</x:v>
      </x:c>
      <x:c r="B21" s="47" t="str">
        <x:v>Tổng vốn đầu tư chưa VAT</x:v>
      </x:c>
      <x:c r="C21" s="102" t="str">
        <x:v>CAPEX</x:v>
      </x:c>
      <x:c r="D21" s="58"/>
      <x:c r="E21" s="102" t="str">
        <x:v>Tỷ VND</x:v>
      </x:c>
      <x:c r="F21" s="102" t="str">
        <x:v>Bắt buộc</x:v>
      </x:c>
      <x:c r="G21" s="43" t="str">
        <x:v>Không bao gồm VAT được khấu trừ/hoàn; chưa bao gồm lãi vay xây dựng.</x:v>
      </x:c>
      <x:c r="H21" s="96"/>
      <x:c r="I21" s="96"/>
      <x:c r="J21" s="96"/>
      <x:c r="K21" s="96"/>
    </x:row>
    <x:row r="22" ht="15" hidden="0" customHeight="1">
      <x:c r="A22" s="102" t="str">
        <x:v>CAP-02</x:v>
      </x:c>
      <x:c r="B22" s="47" t="str">
        <x:v>Thuế suất VAT đầu tư</x:v>
      </x:c>
      <x:c r="C22" s="102" t="str">
        <x:v>VAT capex</x:v>
      </x:c>
      <x:c r="D22" s="59"/>
      <x:c r="E22" s="102" t="str">
        <x:v>%</x:v>
      </x:c>
      <x:c r="F22" s="102" t="str">
        <x:v>Bắt buộc</x:v>
      </x:c>
      <x:c r="G22" s="43" t="str">
        <x:v>Nhập theo tỷ lệ thập phân, ví dụ 10% nhập 10%.</x:v>
      </x:c>
      <x:c r="H22" s="96"/>
      <x:c r="I22" s="96"/>
      <x:c r="J22" s="96"/>
      <x:c r="K22" s="96"/>
    </x:row>
    <x:row r="23" ht="15" hidden="0" customHeight="1">
      <x:c r="A23" s="102" t="str">
        <x:v>CAP-03</x:v>
      </x:c>
      <x:c r="B23" s="43" t="str">
        <x:v>Tỷ lệ VAT được khấu trừ/hoàn</x:v>
      </x:c>
      <x:c r="C23" s="102" t="str">
        <x:v>VAT recoverable</x:v>
      </x:c>
      <x:c r="D23" s="60"/>
      <x:c r="E23" s="102" t="str">
        <x:v>%</x:v>
      </x:c>
      <x:c r="F23" s="102" t="str">
        <x:v>Bắt buộc</x:v>
      </x:c>
      <x:c r="G23" s="43" t="str">
        <x:v>Phần VAT có thể được khấu trừ hoặc hoàn lại.</x:v>
      </x:c>
      <x:c r="H23" s="96"/>
      <x:c r="I23" s="96"/>
      <x:c r="J23" s="96"/>
      <x:c r="K23" s="96"/>
    </x:row>
    <x:row r="24" ht="15" hidden="0" customHeight="1">
      <x:c r="A24" s="102" t="str">
        <x:v>CAP-04</x:v>
      </x:c>
      <x:c r="B24" s="43" t="str">
        <x:v>Thời gian hoàn VAT</x:v>
      </x:c>
      <x:c r="C24" s="102" t="str">
        <x:v>VAT lag</x:v>
      </x:c>
      <x:c r="D24" s="61"/>
      <x:c r="E24" s="102" t="str">
        <x:v>Năm</x:v>
      </x:c>
      <x:c r="F24" s="102" t="str">
        <x:v>Tùy chọn</x:v>
      </x:c>
      <x:c r="G24" s="43" t="str">
        <x:v>Nhập 0 nếu VAT được khấu trừ ngay.</x:v>
      </x:c>
      <x:c r="H24" s="96"/>
      <x:c r="I24" s="96"/>
      <x:c r="J24" s="96"/>
      <x:c r="K24" s="96"/>
    </x:row>
    <x:row r="25" ht="15" hidden="0" customHeight="1">
      <x:c r="A25" s="102" t="str">
        <x:v>CAP-05</x:v>
      </x:c>
      <x:c r="B25" s="47" t="str">
        <x:v>Tổng vốn đầu tư bao gồm VAT</x:v>
      </x:c>
      <x:c r="C25" s="102" t="str">
        <x:v>CAPEX incl. VAT</x:v>
      </x:c>
      <x:c r="D25" s="62" t="str">
        <x:f>IF(OR(D21="",D22=""),"",D21*(1+D22))</x:f>
      </x:c>
      <x:c r="E25" s="102" t="str">
        <x:v>Tỷ VND</x:v>
      </x:c>
      <x:c r="F25" s="102" t="str">
        <x:v>Tự tính</x:v>
      </x:c>
      <x:c r="G25" s="43" t="str">
        <x:v>Tổng nhu cầu tiền đầu tư trước khi nhận hoàn VAT.</x:v>
      </x:c>
      <x:c r="H25" s="96"/>
      <x:c r="I25" s="96"/>
      <x:c r="J25" s="96"/>
      <x:c r="K25" s="96"/>
    </x:row>
    <x:row r="26" ht="15" hidden="0" customHeight="1">
      <x:c r="A26" s="102" t="str">
        <x:v>CAP-06</x:v>
      </x:c>
      <x:c r="B26" s="47" t="str">
        <x:v>Cơ sở vốn đầu tư kinh tế</x:v>
      </x:c>
      <x:c r="C26" s="102" t="str">
        <x:v>Economic CAPEX</x:v>
      </x:c>
      <x:c r="D26" s="62" t="str">
        <x:f>IF(OR(D21="",D22="",D23=""),"",D21+D21*D22*(1-D23))</x:f>
      </x:c>
      <x:c r="E26" s="102" t="str">
        <x:v>Tỷ VND</x:v>
      </x:c>
      <x:c r="F26" s="102" t="str">
        <x:v>Tự tính</x:v>
      </x:c>
      <x:c r="G26" s="43" t="str">
        <x:v>CAPEX chưa VAT cộng phần VAT không được khấu trừ/hoàn.</x:v>
      </x:c>
      <x:c r="H26" s="96"/>
      <x:c r="I26" s="96"/>
      <x:c r="J26" s="96"/>
      <x:c r="K26" s="96"/>
    </x:row>
    <x:row r="27" ht="15" hidden="0" customHeight="1">
      <x:c r="A27" s="102" t="str">
        <x:v>CAP-07</x:v>
      </x:c>
      <x:c r="B27" s="43" t="str">
        <x:v>Giá trị thu hồi cuối dự án</x:v>
      </x:c>
      <x:c r="C27" s="102" t="str">
        <x:v>Residual value</x:v>
      </x:c>
      <x:c r="D27" s="63"/>
      <x:c r="E27" s="102" t="str">
        <x:v>Tỷ VND</x:v>
      </x:c>
      <x:c r="F27" s="102" t="str">
        <x:v>Tùy chọn</x:v>
      </x:c>
      <x:c r="G27" s="43" t="str">
        <x:v>Nhập 0 nếu không xét.</x:v>
      </x:c>
      <x:c r="H27" s="96"/>
      <x:c r="I27" s="96"/>
      <x:c r="J27" s="96"/>
      <x:c r="K27" s="96"/>
    </x:row>
    <x:row r="28" ht="15" hidden="0" customHeight="1">
      <x:c r="A28" s="102" t="str">
        <x:v>CAP-08</x:v>
      </x:c>
      <x:c r="B28" s="43" t="str">
        <x:v>Chi phí tháo dỡ cuối dự án</x:v>
      </x:c>
      <x:c r="C28" s="102" t="str">
        <x:v>Decommissioning</x:v>
      </x:c>
      <x:c r="D28" s="63"/>
      <x:c r="E28" s="102" t="str">
        <x:v>Tỷ VND</x:v>
      </x:c>
      <x:c r="F28" s="102" t="str">
        <x:v>Tùy chọn</x:v>
      </x:c>
      <x:c r="G28" s="43" t="str">
        <x:v>Nhập 0 nếu đã được bù trừ vào giá trị thu hồi.</x:v>
      </x:c>
      <x:c r="H28" s="96"/>
      <x:c r="I28" s="96"/>
      <x:c r="J28" s="96"/>
      <x:c r="K28" s="96"/>
    </x:row>
    <x:row r="29" ht="15" hidden="0" customHeight="1">
      <x:c r="A29" s="103"/>
      <x:c r="B29" s="96"/>
      <x:c r="C29" s="103"/>
      <x:c r="D29" s="96"/>
      <x:c r="E29" s="103"/>
      <x:c r="F29" s="103"/>
      <x:c r="G29" s="105"/>
      <x:c r="H29" s="96"/>
      <x:c r="I29" s="96"/>
      <x:c r="J29" s="96"/>
      <x:c r="K29" s="96"/>
    </x:row>
    <x:row r="30" ht="22" hidden="0" customHeight="1">
      <x:c r="A30" s="98" t="str">
        <x:v>3. TIẾN ĐỘ GIẢI NGÂN VỐN ĐẦU TƯ</x:v>
      </x:c>
      <x:c r="B30" s="40"/>
      <x:c r="C30" s="98"/>
      <x:c r="D30" s="40"/>
      <x:c r="E30" s="98"/>
      <x:c r="F30" s="98"/>
      <x:c r="G30" s="104"/>
      <x:c r="H30" s="96"/>
      <x:c r="I30" s="96"/>
      <x:c r="J30" s="96"/>
      <x:c r="K30" s="96"/>
    </x:row>
    <x:row r="31" ht="15" hidden="0" customHeight="1">
      <x:c r="A31" s="71" t="str">
        <x:v>Mã</x:v>
      </x:c>
      <x:c r="B31" s="72" t="str">
        <x:v>Năm xây dựng</x:v>
      </x:c>
      <x:c r="C31" s="72" t="str">
        <x:v>Ký hiệu</x:v>
      </x:c>
      <x:c r="D31" s="72" t="str">
        <x:v>Tỷ lệ giải ngân</x:v>
      </x:c>
      <x:c r="E31" s="72" t="str">
        <x:v>Đơn vị</x:v>
      </x:c>
      <x:c r="F31" s="72" t="str">
        <x:v>Trạng thái</x:v>
      </x:c>
      <x:c r="G31" s="106" t="str">
        <x:v>Ghi chú</x:v>
      </x:c>
      <x:c r="H31" s="96"/>
      <x:c r="I31" s="96"/>
      <x:c r="J31" s="96"/>
      <x:c r="K31" s="96"/>
    </x:row>
    <x:row r="32" ht="15" hidden="0" customHeight="1">
      <x:c r="A32" s="102" t="str">
        <x:v>DIS-01</x:v>
      </x:c>
      <x:c r="B32" s="43" t="str">
        <x:v>Năm xây dựng 1</x:v>
      </x:c>
      <x:c r="C32" s="102" t="str">
        <x:v>Year 1</x:v>
      </x:c>
      <x:c r="D32" s="60"/>
      <x:c r="E32" s="102" t="str">
        <x:v>%</x:v>
      </x:c>
      <x:c r="F32" s="102" t="str">
        <x:v>Bắt buộc</x:v>
      </x:c>
      <x:c r="G32" s="43" t="str">
        <x:v>Nhập 0 nếu năm này không phát sinh giải ngân.</x:v>
      </x:c>
      <x:c r="H32" s="96"/>
      <x:c r="I32" s="96"/>
      <x:c r="J32" s="96"/>
      <x:c r="K32" s="96"/>
    </x:row>
    <x:row r="33" ht="15" hidden="0" customHeight="1">
      <x:c r="A33" s="102" t="str">
        <x:v>DIS-02</x:v>
      </x:c>
      <x:c r="B33" s="43" t="str">
        <x:v>Năm xây dựng 2</x:v>
      </x:c>
      <x:c r="C33" s="102" t="str">
        <x:v>Year 2</x:v>
      </x:c>
      <x:c r="D33" s="60"/>
      <x:c r="E33" s="102" t="str">
        <x:v>%</x:v>
      </x:c>
      <x:c r="F33" s="102" t="str">
        <x:v>Bắt buộc</x:v>
      </x:c>
      <x:c r="G33" s="43" t="str">
        <x:v>Nhập 0 nếu năm này không phát sinh giải ngân.</x:v>
      </x:c>
      <x:c r="H33" s="96"/>
      <x:c r="I33" s="96"/>
      <x:c r="J33" s="96"/>
      <x:c r="K33" s="96"/>
    </x:row>
    <x:row r="34" ht="15" hidden="0" customHeight="1">
      <x:c r="A34" s="102" t="str">
        <x:v>DIS-03</x:v>
      </x:c>
      <x:c r="B34" s="43" t="str">
        <x:v>Năm xây dựng 3</x:v>
      </x:c>
      <x:c r="C34" s="102" t="str">
        <x:v>Year 3</x:v>
      </x:c>
      <x:c r="D34" s="60"/>
      <x:c r="E34" s="102" t="str">
        <x:v>%</x:v>
      </x:c>
      <x:c r="F34" s="102" t="str">
        <x:v>Tùy chọn</x:v>
      </x:c>
      <x:c r="G34" s="43" t="str">
        <x:v>Nhập 0 nếu năm này không phát sinh giải ngân.</x:v>
      </x:c>
      <x:c r="H34" s="96"/>
      <x:c r="I34" s="96"/>
      <x:c r="J34" s="96"/>
      <x:c r="K34" s="96"/>
    </x:row>
    <x:row r="35" ht="15" hidden="0" customHeight="1">
      <x:c r="A35" s="102" t="str">
        <x:v>DIS-04</x:v>
      </x:c>
      <x:c r="B35" s="43" t="str">
        <x:v>Năm xây dựng 4</x:v>
      </x:c>
      <x:c r="C35" s="102" t="str">
        <x:v>Year 4</x:v>
      </x:c>
      <x:c r="D35" s="60"/>
      <x:c r="E35" s="102" t="str">
        <x:v>%</x:v>
      </x:c>
      <x:c r="F35" s="102" t="str">
        <x:v>Tùy chọn</x:v>
      </x:c>
      <x:c r="G35" s="43" t="str">
        <x:v>Nhập 0 nếu năm này không phát sinh giải ngân.</x:v>
      </x:c>
      <x:c r="H35" s="96"/>
      <x:c r="I35" s="96"/>
      <x:c r="J35" s="96"/>
      <x:c r="K35" s="96"/>
    </x:row>
    <x:row r="36" ht="15" hidden="0" customHeight="1">
      <x:c r="A36" s="102" t="str">
        <x:v>DIS-05</x:v>
      </x:c>
      <x:c r="B36" s="43" t="str">
        <x:v>Năm xây dựng 5</x:v>
      </x:c>
      <x:c r="C36" s="102" t="str">
        <x:v>Year 5</x:v>
      </x:c>
      <x:c r="D36" s="60"/>
      <x:c r="E36" s="102" t="str">
        <x:v>%</x:v>
      </x:c>
      <x:c r="F36" s="102" t="str">
        <x:v>Tùy chọn</x:v>
      </x:c>
      <x:c r="G36" s="43" t="str">
        <x:v>Nhập 0 nếu năm này không phát sinh giải ngân.</x:v>
      </x:c>
      <x:c r="H36" s="96"/>
      <x:c r="I36" s="96"/>
      <x:c r="J36" s="96"/>
      <x:c r="K36" s="96"/>
    </x:row>
    <x:row r="37" ht="15" hidden="0" customHeight="1">
      <x:c r="A37" s="102" t="str">
        <x:v>DIS-06</x:v>
      </x:c>
      <x:c r="B37" s="47" t="str">
        <x:v>Tổng tỷ lệ giải ngân</x:v>
      </x:c>
      <x:c r="C37" s="102" t="str">
        <x:v>Total</x:v>
      </x:c>
      <x:c r="D37" s="74" t="str">
        <x:f>IF(COUNT(D32:D36)=0,"",SUM(D32:D36))</x:f>
      </x:c>
      <x:c r="E37" s="102" t="str">
        <x:v>%</x:v>
      </x:c>
      <x:c r="F37" s="102" t="str">
        <x:v>Kiểm tra</x:v>
      </x:c>
      <x:c r="G37" s="43" t="str">
        <x:v>Phải bằng 100%.</x:v>
      </x:c>
      <x:c r="H37" s="96"/>
      <x:c r="I37" s="96"/>
      <x:c r="J37" s="96"/>
      <x:c r="K37" s="96"/>
    </x:row>
    <x:row r="38" ht="15" hidden="0" customHeight="1">
      <x:c r="A38" s="103"/>
      <x:c r="B38" s="96"/>
      <x:c r="C38" s="103"/>
      <x:c r="D38" s="96"/>
      <x:c r="E38" s="103"/>
      <x:c r="F38" s="103"/>
      <x:c r="G38" s="105"/>
      <x:c r="H38" s="96"/>
      <x:c r="I38" s="96"/>
      <x:c r="J38" s="96"/>
      <x:c r="K38" s="96"/>
    </x:row>
    <x:row r="39" ht="22" hidden="0" customHeight="1">
      <x:c r="A39" s="98" t="str">
        <x:v>4. SẢN LƯỢNG VÀ DOANH THU</x:v>
      </x:c>
      <x:c r="B39" s="40"/>
      <x:c r="C39" s="98"/>
      <x:c r="D39" s="40"/>
      <x:c r="E39" s="98"/>
      <x:c r="F39" s="98"/>
      <x:c r="G39" s="104"/>
      <x:c r="H39" s="96"/>
      <x:c r="I39" s="96"/>
      <x:c r="J39" s="96"/>
      <x:c r="K39" s="96"/>
    </x:row>
    <x:row r="40" ht="15" hidden="0" customHeight="1">
      <x:c r="A40" s="102" t="str">
        <x:v>REV-01</x:v>
      </x:c>
      <x:c r="B40" s="43" t="str">
        <x:v>Kịch bản sản lượng</x:v>
      </x:c>
      <x:c r="C40" s="102" t="str">
        <x:v>Energy case</x:v>
      </x:c>
      <x:c r="D40" s="49" t="str">
        <x:v>P50</x:v>
      </x:c>
      <x:c r="E40" s="102" t="str">
        <x:v>-</x:v>
      </x:c>
      <x:c r="F40" s="102" t="str">
        <x:v>Bắt buộc</x:v>
      </x:c>
      <x:c r="G40" s="43" t="str">
        <x:v>Chọn P50, P75, P90 hoặc Khác.</x:v>
      </x:c>
      <x:c r="H40" s="96"/>
      <x:c r="I40" s="96"/>
      <x:c r="J40" s="96"/>
      <x:c r="K40" s="96"/>
    </x:row>
    <x:row r="41" ht="15" hidden="0" customHeight="1">
      <x:c r="A41" s="102" t="str">
        <x:v>REV-02</x:v>
      </x:c>
      <x:c r="B41" s="47" t="str">
        <x:v>Sản lượng điện thương phẩm năm đầu</x:v>
      </x:c>
      <x:c r="C41" s="102" t="str">
        <x:v>AEP net</x:v>
      </x:c>
      <x:c r="D41" s="75"/>
      <x:c r="E41" s="102" t="str">
        <x:v>MWh/năm</x:v>
      </x:c>
      <x:c r="F41" s="102" t="str">
        <x:v>Bắt buộc</x:v>
      </x:c>
      <x:c r="G41" s="43" t="str">
        <x:v>Sản lượng thực tế bán được, đã trừ toàn bộ tổn thất.</x:v>
      </x:c>
      <x:c r="H41" s="96"/>
      <x:c r="I41" s="96"/>
      <x:c r="J41" s="96"/>
      <x:c r="K41" s="96"/>
    </x:row>
    <x:row r="42" ht="15" hidden="0" customHeight="1">
      <x:c r="A42" s="102" t="str">
        <x:v>REV-03</x:v>
      </x:c>
      <x:c r="B42" s="43" t="str">
        <x:v>Tỷ lệ suy giảm sản lượng hằng năm</x:v>
      </x:c>
      <x:c r="C42" s="102" t="str">
        <x:v>Degradation</x:v>
      </x:c>
      <x:c r="D42" s="76"/>
      <x:c r="E42" s="102" t="str">
        <x:v>%/năm</x:v>
      </x:c>
      <x:c r="F42" s="102" t="str">
        <x:v>Bắt buộc</x:v>
      </x:c>
      <x:c r="G42" s="43" t="str">
        <x:v>Nhập 0 nếu không xét suy giảm.</x:v>
      </x:c>
      <x:c r="H42" s="96"/>
      <x:c r="I42" s="96"/>
      <x:c r="J42" s="96"/>
      <x:c r="K42" s="96"/>
    </x:row>
    <x:row r="43" ht="15" hidden="0" customHeight="1">
      <x:c r="A43" s="102" t="str">
        <x:v>REV-04</x:v>
      </x:c>
      <x:c r="B43" s="47" t="str">
        <x:v>Giá bán điện năm đầu, chưa VAT</x:v>
      </x:c>
      <x:c r="C43" s="102" t="str">
        <x:v>Tariff</x:v>
      </x:c>
      <x:c r="D43" s="58"/>
      <x:c r="E43" s="102" t="str">
        <x:v>VND/kWh</x:v>
      </x:c>
      <x:c r="F43" s="102" t="str">
        <x:v>Bắt buộc</x:v>
      </x:c>
      <x:c r="G43" s="43" t="str">
        <x:v>Giá điện chưa bao gồm VAT.</x:v>
      </x:c>
      <x:c r="H43" s="96"/>
      <x:c r="I43" s="96"/>
      <x:c r="J43" s="96"/>
      <x:c r="K43" s="96"/>
    </x:row>
    <x:row r="44" ht="15" hidden="0" customHeight="1">
      <x:c r="A44" s="102" t="str">
        <x:v>REV-05</x:v>
      </x:c>
      <x:c r="B44" s="43" t="str">
        <x:v>Tỷ lệ tăng giá điện hằng năm</x:v>
      </x:c>
      <x:c r="C44" s="102" t="str">
        <x:v>Tariff escalation</x:v>
      </x:c>
      <x:c r="D44" s="76"/>
      <x:c r="E44" s="102" t="str">
        <x:v>%/năm</x:v>
      </x:c>
      <x:c r="F44" s="102" t="str">
        <x:v>Bắt buộc</x:v>
      </x:c>
      <x:c r="G44" s="43" t="str">
        <x:v>Nhập 0 nếu giá điện cố định.</x:v>
      </x:c>
      <x:c r="H44" s="96"/>
      <x:c r="I44" s="96"/>
      <x:c r="J44" s="96"/>
      <x:c r="K44" s="96"/>
    </x:row>
    <x:row r="45" ht="15" hidden="0" customHeight="1">
      <x:c r="A45" s="102" t="str">
        <x:v>REV-06</x:v>
      </x:c>
      <x:c r="B45" s="43" t="str">
        <x:v>Doanh thu khác năm đầu</x:v>
      </x:c>
      <x:c r="C45" s="102" t="str">
        <x:v>Other revenue</x:v>
      </x:c>
      <x:c r="D45" s="63"/>
      <x:c r="E45" s="102" t="str">
        <x:v>Tỷ VND/năm</x:v>
      </x:c>
      <x:c r="F45" s="102" t="str">
        <x:v>Tùy chọn</x:v>
      </x:c>
      <x:c r="G45" s="43" t="str">
        <x:v>REC, I-REC, tín chỉ carbon hoặc nguồn thu khác.</x:v>
      </x:c>
      <x:c r="H45" s="96"/>
      <x:c r="I45" s="96"/>
      <x:c r="J45" s="96"/>
      <x:c r="K45" s="96"/>
    </x:row>
    <x:row r="46" ht="15" hidden="0" customHeight="1">
      <x:c r="A46" s="102" t="str">
        <x:v>REV-07</x:v>
      </x:c>
      <x:c r="B46" s="43" t="str">
        <x:v>Tỷ lệ tăng doanh thu khác</x:v>
      </x:c>
      <x:c r="C46" s="102" t="str">
        <x:v>Other escalation</x:v>
      </x:c>
      <x:c r="D46" s="76"/>
      <x:c r="E46" s="102" t="str">
        <x:v>%/năm</x:v>
      </x:c>
      <x:c r="F46" s="102" t="str">
        <x:v>Tùy chọn</x:v>
      </x:c>
      <x:c r="G46" s="43" t="str">
        <x:v>Nhập 0 nếu không tăng.</x:v>
      </x:c>
      <x:c r="H46" s="96"/>
      <x:c r="I46" s="96"/>
      <x:c r="J46" s="96"/>
      <x:c r="K46" s="96"/>
    </x:row>
    <x:row r="47" ht="15" hidden="0" customHeight="1">
      <x:c r="A47" s="102" t="str">
        <x:v>REV-08</x:v>
      </x:c>
      <x:c r="B47" s="47" t="str">
        <x:v>Doanh thu năm vận hành đầu tiên</x:v>
      </x:c>
      <x:c r="C47" s="102" t="str">
        <x:v>Revenue Y1</x:v>
      </x:c>
      <x:c r="D47" s="62" t="str">
        <x:f>IF(OR(D41="",D43=""),"",D41*1000*D43/1000000000+IF(D45="",0,D45))</x:f>
      </x:c>
      <x:c r="E47" s="102" t="str">
        <x:v>Tỷ VND</x:v>
      </x:c>
      <x:c r="F47" s="102" t="str">
        <x:v>Tự tính</x:v>
      </x:c>
      <x:c r="G47" s="43" t="str">
        <x:v>Doanh thu điện cộng doanh thu khác.</x:v>
      </x:c>
      <x:c r="H47" s="96"/>
      <x:c r="I47" s="96"/>
      <x:c r="J47" s="96"/>
      <x:c r="K47" s="96"/>
    </x:row>
    <x:row r="48" ht="15" hidden="0" customHeight="1">
      <x:c r="A48" s="103"/>
      <x:c r="B48" s="96"/>
      <x:c r="C48" s="103"/>
      <x:c r="D48" s="96"/>
      <x:c r="E48" s="103"/>
      <x:c r="F48" s="103"/>
      <x:c r="G48" s="105"/>
      <x:c r="H48" s="96"/>
      <x:c r="I48" s="96"/>
      <x:c r="J48" s="96"/>
      <x:c r="K48" s="96"/>
    </x:row>
    <x:row r="49" ht="22" hidden="0" customHeight="1">
      <x:c r="A49" s="98" t="str">
        <x:v>5. CHI PHÍ VẬN HÀNH</x:v>
      </x:c>
      <x:c r="B49" s="40"/>
      <x:c r="C49" s="98"/>
      <x:c r="D49" s="40"/>
      <x:c r="E49" s="98"/>
      <x:c r="F49" s="98"/>
      <x:c r="G49" s="104"/>
      <x:c r="H49" s="96"/>
      <x:c r="I49" s="96"/>
      <x:c r="J49" s="96"/>
      <x:c r="K49" s="96"/>
    </x:row>
    <x:row r="50" ht="15" hidden="0" customHeight="1">
      <x:c r="A50" s="102" t="str">
        <x:v>OPE-01</x:v>
      </x:c>
      <x:c r="B50" s="47" t="str">
        <x:v>Chi phí O&amp;M năm đầu</x:v>
      </x:c>
      <x:c r="C50" s="102" t="str">
        <x:v>O&amp;M Y1</x:v>
      </x:c>
      <x:c r="D50" s="58"/>
      <x:c r="E50" s="102" t="str">
        <x:v>Tỷ VND/năm</x:v>
      </x:c>
      <x:c r="F50" s="102" t="str">
        <x:v>Bắt buộc</x:v>
      </x:c>
      <x:c r="G50" s="43" t="str">
        <x:v>Tổng chi phí vận hành, bảo dưỡng và quản lý năm đầu.</x:v>
      </x:c>
      <x:c r="H50" s="96"/>
      <x:c r="I50" s="96"/>
      <x:c r="J50" s="96"/>
      <x:c r="K50" s="96"/>
    </x:row>
    <x:row r="51" ht="15" hidden="0" customHeight="1">
      <x:c r="A51" s="102" t="str">
        <x:v>OPE-02</x:v>
      </x:c>
      <x:c r="B51" s="43" t="str">
        <x:v>Tỷ lệ tăng O&amp;M hằng năm</x:v>
      </x:c>
      <x:c r="C51" s="102" t="str">
        <x:v>O&amp;M escalation</x:v>
      </x:c>
      <x:c r="D51" s="76"/>
      <x:c r="E51" s="102" t="str">
        <x:v>%/năm</x:v>
      </x:c>
      <x:c r="F51" s="102" t="str">
        <x:v>Bắt buộc</x:v>
      </x:c>
      <x:c r="G51" s="43" t="str">
        <x:v>Có thể sử dụng tỷ lệ lạm phát O&amp;M.</x:v>
      </x:c>
      <x:c r="H51" s="96"/>
      <x:c r="I51" s="96"/>
      <x:c r="J51" s="96"/>
      <x:c r="K51" s="96"/>
    </x:row>
    <x:row r="52" ht="15" hidden="0" customHeight="1">
      <x:c r="A52" s="102" t="str">
        <x:v>OPE-03</x:v>
      </x:c>
      <x:c r="B52" s="47" t="str">
        <x:v>EBITDA năm vận hành đầu tiên</x:v>
      </x:c>
      <x:c r="C52" s="102" t="str">
        <x:v>EBITDA Y1</x:v>
      </x:c>
      <x:c r="D52" s="62" t="str">
        <x:f>IF(OR(D47="",D50=""),"",D47-D50)</x:f>
      </x:c>
      <x:c r="E52" s="102" t="str">
        <x:v>Tỷ VND</x:v>
      </x:c>
      <x:c r="F52" s="102" t="str">
        <x:v>Tự tính</x:v>
      </x:c>
      <x:c r="G52" s="43" t="str">
        <x:v>Chưa xét khấu hao, lãi vay và thuế.</x:v>
      </x:c>
      <x:c r="H52" s="96"/>
      <x:c r="I52" s="96"/>
      <x:c r="J52" s="96"/>
      <x:c r="K52" s="96"/>
    </x:row>
    <x:row r="53" ht="15" hidden="0" customHeight="1">
      <x:c r="A53" s="103"/>
      <x:c r="B53" s="96"/>
      <x:c r="C53" s="103"/>
      <x:c r="D53" s="96"/>
      <x:c r="E53" s="103"/>
      <x:c r="F53" s="103"/>
      <x:c r="G53" s="105"/>
      <x:c r="H53" s="96"/>
      <x:c r="I53" s="96"/>
      <x:c r="J53" s="96"/>
      <x:c r="K53" s="96"/>
    </x:row>
    <x:row r="54" ht="22" hidden="0" customHeight="1">
      <x:c r="A54" s="98" t="str">
        <x:v>6. CƠ CẤU VỐN VÀ KHOẢN VAY</x:v>
      </x:c>
      <x:c r="B54" s="40"/>
      <x:c r="C54" s="98"/>
      <x:c r="D54" s="40"/>
      <x:c r="E54" s="98"/>
      <x:c r="F54" s="98"/>
      <x:c r="G54" s="104"/>
      <x:c r="H54" s="96"/>
      <x:c r="I54" s="96"/>
      <x:c r="J54" s="96"/>
      <x:c r="K54" s="96"/>
    </x:row>
    <x:row r="55" ht="15" hidden="0" customHeight="1">
      <x:c r="A55" s="102" t="str">
        <x:v>FIN-01</x:v>
      </x:c>
      <x:c r="B55" s="47" t="str">
        <x:v>Tỷ lệ vốn vay</x:v>
      </x:c>
      <x:c r="C55" s="102" t="str">
        <x:v>Debt ratio</x:v>
      </x:c>
      <x:c r="D55" s="59"/>
      <x:c r="E55" s="102" t="str">
        <x:v>%</x:v>
      </x:c>
      <x:c r="F55" s="102" t="str">
        <x:v>Bắt buộc</x:v>
      </x:c>
      <x:c r="G55" s="43" t="str">
        <x:v>Tỷ lệ khoản vay trên cơ sở vốn đầu tư kinh tế.</x:v>
      </x:c>
      <x:c r="H55" s="96"/>
      <x:c r="I55" s="96"/>
      <x:c r="J55" s="96"/>
      <x:c r="K55" s="96"/>
    </x:row>
    <x:row r="56" ht="15" hidden="0" customHeight="1">
      <x:c r="A56" s="102" t="str">
        <x:v>FIN-02</x:v>
      </x:c>
      <x:c r="B56" s="47" t="str">
        <x:v>Tỷ lệ vốn chủ sở hữu</x:v>
      </x:c>
      <x:c r="C56" s="102" t="str">
        <x:v>Equity ratio</x:v>
      </x:c>
      <x:c r="D56" s="74" t="str">
        <x:f>IF(D55="","",1-D55)</x:f>
      </x:c>
      <x:c r="E56" s="102" t="str">
        <x:v>%</x:v>
      </x:c>
      <x:c r="F56" s="102" t="str">
        <x:v>Tự tính</x:v>
      </x:c>
      <x:c r="G56" s="43" t="str">
        <x:v>Bằng 100% trừ tỷ lệ vốn vay.</x:v>
      </x:c>
      <x:c r="H56" s="96"/>
      <x:c r="I56" s="96"/>
      <x:c r="J56" s="96"/>
      <x:c r="K56" s="96"/>
    </x:row>
    <x:row r="57" ht="15" hidden="0" customHeight="1">
      <x:c r="A57" s="102" t="str">
        <x:v>FIN-03</x:v>
      </x:c>
      <x:c r="B57" s="47" t="str">
        <x:v>Lãi suất vay</x:v>
      </x:c>
      <x:c r="C57" s="102" t="str">
        <x:v>Interest rate</x:v>
      </x:c>
      <x:c r="D57" s="77"/>
      <x:c r="E57" s="102" t="str">
        <x:v>%/năm</x:v>
      </x:c>
      <x:c r="F57" s="102" t="str">
        <x:v>Bắt buộc</x:v>
      </x:c>
      <x:c r="G57" s="43" t="str">
        <x:v>Lãi suất cố định trong Ver1.</x:v>
      </x:c>
      <x:c r="H57" s="96"/>
      <x:c r="I57" s="96"/>
      <x:c r="J57" s="96"/>
      <x:c r="K57" s="96"/>
    </x:row>
    <x:row r="58" ht="15" hidden="0" customHeight="1">
      <x:c r="A58" s="102" t="str">
        <x:v>FIN-04</x:v>
      </x:c>
      <x:c r="B58" s="47" t="str">
        <x:v>Thời hạn vay</x:v>
      </x:c>
      <x:c r="C58" s="102" t="str">
        <x:v>Debt tenor</x:v>
      </x:c>
      <x:c r="D58" s="53"/>
      <x:c r="E58" s="102" t="str">
        <x:v>Năm</x:v>
      </x:c>
      <x:c r="F58" s="102" t="str">
        <x:v>Bắt buộc</x:v>
      </x:c>
      <x:c r="G58" s="43" t="str">
        <x:v>Tính từ thời điểm bắt đầu trả nợ.</x:v>
      </x:c>
      <x:c r="H58" s="96"/>
      <x:c r="I58" s="96"/>
      <x:c r="J58" s="96"/>
      <x:c r="K58" s="96"/>
    </x:row>
    <x:row r="59" ht="15" hidden="0" customHeight="1">
      <x:c r="A59" s="102" t="str">
        <x:v>FIN-05</x:v>
      </x:c>
      <x:c r="B59" s="43" t="str">
        <x:v>Thời gian ân hạn gốc</x:v>
      </x:c>
      <x:c r="C59" s="102" t="str">
        <x:v>Grace period</x:v>
      </x:c>
      <x:c r="D59" s="61"/>
      <x:c r="E59" s="102" t="str">
        <x:v>Năm</x:v>
      </x:c>
      <x:c r="F59" s="102" t="str">
        <x:v>Bắt buộc</x:v>
      </x:c>
      <x:c r="G59" s="43" t="str">
        <x:v>Không vượt quá thời hạn vay.</x:v>
      </x:c>
      <x:c r="H59" s="96"/>
      <x:c r="I59" s="96"/>
      <x:c r="J59" s="96"/>
      <x:c r="K59" s="96"/>
    </x:row>
    <x:row r="60" ht="15" hidden="0" customHeight="1">
      <x:c r="A60" s="102" t="str">
        <x:v>FIN-06</x:v>
      </x:c>
      <x:c r="B60" s="43" t="str">
        <x:v>Phương thức trả gốc</x:v>
      </x:c>
      <x:c r="C60" s="102" t="str">
        <x:v>Repayment</x:v>
      </x:c>
      <x:c r="D60" s="49" t="str">
        <x:v>Gốc đều</x:v>
      </x:c>
      <x:c r="E60" s="102" t="str">
        <x:v>-</x:v>
      </x:c>
      <x:c r="F60" s="102" t="str">
        <x:v>Bắt buộc</x:v>
      </x:c>
      <x:c r="G60" s="43" t="str">
        <x:v>Chọn Gốc đều hoặc Niên kim.</x:v>
      </x:c>
      <x:c r="H60" s="96"/>
      <x:c r="I60" s="96"/>
      <x:c r="J60" s="96"/>
      <x:c r="K60" s="96"/>
    </x:row>
    <x:row r="61" ht="15" hidden="0" customHeight="1">
      <x:c r="A61" s="102" t="str">
        <x:v>FIN-07</x:v>
      </x:c>
      <x:c r="B61" s="43" t="str">
        <x:v>Phí thu xếp khoản vay</x:v>
      </x:c>
      <x:c r="C61" s="102" t="str">
        <x:v>Upfront fee</x:v>
      </x:c>
      <x:c r="D61" s="76"/>
      <x:c r="E61" s="102" t="str">
        <x:v>% khoản vay</x:v>
      </x:c>
      <x:c r="F61" s="102" t="str">
        <x:v>Tùy chọn</x:v>
      </x:c>
      <x:c r="G61" s="43" t="str">
        <x:v>Nhập 0 nếu không áp dụng.</x:v>
      </x:c>
      <x:c r="H61" s="96"/>
      <x:c r="I61" s="96"/>
      <x:c r="J61" s="96"/>
      <x:c r="K61" s="96"/>
    </x:row>
    <x:row r="62" ht="15" hidden="0" customHeight="1">
      <x:c r="A62" s="102" t="str">
        <x:v>FIN-08</x:v>
      </x:c>
      <x:c r="B62" s="43" t="str">
        <x:v>DSCR tối thiểu yêu cầu</x:v>
      </x:c>
      <x:c r="C62" s="102" t="str">
        <x:v>Minimum DSCR</x:v>
      </x:c>
      <x:c r="D62" s="78"/>
      <x:c r="E62" s="102" t="str">
        <x:v>Lần</x:v>
      </x:c>
      <x:c r="F62" s="102" t="str">
        <x:v>Tùy chọn</x:v>
      </x:c>
      <x:c r="G62" s="43" t="str">
        <x:v>Dùng để kiểm tra khả năng trả nợ.</x:v>
      </x:c>
      <x:c r="H62" s="96"/>
      <x:c r="I62" s="96"/>
      <x:c r="J62" s="96"/>
      <x:c r="K62" s="96"/>
    </x:row>
    <x:row r="63" ht="15" hidden="0" customHeight="1">
      <x:c r="A63" s="102" t="str">
        <x:v>FIN-09</x:v>
      </x:c>
      <x:c r="B63" s="47" t="str">
        <x:v>Giá trị khoản vay</x:v>
      </x:c>
      <x:c r="C63" s="102" t="str">
        <x:v>Debt amount</x:v>
      </x:c>
      <x:c r="D63" s="62" t="str">
        <x:f>IF(OR(D26="",D55=""),"",D26*D55)</x:f>
      </x:c>
      <x:c r="E63" s="102" t="str">
        <x:v>Tỷ VND</x:v>
      </x:c>
      <x:c r="F63" s="102" t="str">
        <x:v>Tự tính</x:v>
      </x:c>
      <x:c r="G63" s="43" t="str">
        <x:v>Chưa bao gồm lãi vay trong xây dựng và phí thu xếp vốn.</x:v>
      </x:c>
      <x:c r="H63" s="96"/>
      <x:c r="I63" s="96"/>
      <x:c r="J63" s="96"/>
      <x:c r="K63" s="96"/>
    </x:row>
    <x:row r="64" ht="15" hidden="0" customHeight="1">
      <x:c r="A64" s="102" t="str">
        <x:v>FIN-10</x:v>
      </x:c>
      <x:c r="B64" s="47" t="str">
        <x:v>Vốn chủ sở hữu ban đầu</x:v>
      </x:c>
      <x:c r="C64" s="102" t="str">
        <x:v>Equity amount</x:v>
      </x:c>
      <x:c r="D64" s="62" t="str">
        <x:f>IF(OR(D26="",D63=""),"",D26-D63)</x:f>
      </x:c>
      <x:c r="E64" s="102" t="str">
        <x:v>Tỷ VND</x:v>
      </x:c>
      <x:c r="F64" s="102" t="str">
        <x:v>Tự tính</x:v>
      </x:c>
      <x:c r="G64" s="43" t="str">
        <x:v>Phần cơ sở vốn đầu tư kinh tế không được tài trợ bằng khoản vay.</x:v>
      </x:c>
      <x:c r="H64" s="96"/>
      <x:c r="I64" s="96"/>
      <x:c r="J64" s="96"/>
      <x:c r="K64" s="96"/>
    </x:row>
    <x:row r="65" ht="15" hidden="0" customHeight="1">
      <x:c r="A65" s="103"/>
      <x:c r="B65" s="96"/>
      <x:c r="C65" s="103"/>
      <x:c r="D65" s="96"/>
      <x:c r="E65" s="103"/>
      <x:c r="F65" s="103"/>
      <x:c r="G65" s="105"/>
      <x:c r="H65" s="96"/>
      <x:c r="I65" s="96"/>
      <x:c r="J65" s="96"/>
      <x:c r="K65" s="96"/>
    </x:row>
    <x:row r="66" ht="22" hidden="0" customHeight="1">
      <x:c r="A66" s="98" t="str">
        <x:v>7. THUẾ, KHẤU HAO VÀ TỶ LỆ CHIẾT KHẤU</x:v>
      </x:c>
      <x:c r="B66" s="40"/>
      <x:c r="C66" s="98"/>
      <x:c r="D66" s="40"/>
      <x:c r="E66" s="98"/>
      <x:c r="F66" s="98"/>
      <x:c r="G66" s="104"/>
      <x:c r="H66" s="96"/>
      <x:c r="I66" s="96"/>
      <x:c r="J66" s="96"/>
      <x:c r="K66" s="96"/>
    </x:row>
    <x:row r="67" ht="15" hidden="0" customHeight="1">
      <x:c r="A67" s="102" t="str">
        <x:v>TAX-01</x:v>
      </x:c>
      <x:c r="B67" s="47" t="str">
        <x:v>Thuế suất thuế TNDN thông thường</x:v>
      </x:c>
      <x:c r="C67" s="102" t="str">
        <x:v>CIT standard</x:v>
      </x:c>
      <x:c r="D67" s="59"/>
      <x:c r="E67" s="102" t="str">
        <x:v>%</x:v>
      </x:c>
      <x:c r="F67" s="102" t="str">
        <x:v>Bắt buộc</x:v>
      </x:c>
      <x:c r="G67" s="43" t="str">
        <x:v>Nhập theo quy định áp dụng cho dự án.</x:v>
      </x:c>
      <x:c r="H67" s="96"/>
      <x:c r="I67" s="96"/>
      <x:c r="J67" s="96"/>
      <x:c r="K67" s="96"/>
    </x:row>
    <x:row r="68" ht="15" hidden="0" customHeight="1">
      <x:c r="A68" s="102" t="str">
        <x:v>TAX-02</x:v>
      </x:c>
      <x:c r="B68" s="43" t="str">
        <x:v>Thuế suất thuế TNDN ưu đãi</x:v>
      </x:c>
      <x:c r="C68" s="102" t="str">
        <x:v>CIT incentive</x:v>
      </x:c>
      <x:c r="D68" s="60"/>
      <x:c r="E68" s="102" t="str">
        <x:v>%</x:v>
      </x:c>
      <x:c r="F68" s="102" t="str">
        <x:v>Tùy chọn</x:v>
      </x:c>
      <x:c r="G68" s="43" t="str">
        <x:v>Để trống nếu không được hưởng ưu đãi.</x:v>
      </x:c>
      <x:c r="H68" s="96"/>
      <x:c r="I68" s="96"/>
      <x:c r="J68" s="96"/>
      <x:c r="K68" s="96"/>
    </x:row>
    <x:row r="69" ht="15" hidden="0" customHeight="1">
      <x:c r="A69" s="102" t="str">
        <x:v>TAX-03</x:v>
      </x:c>
      <x:c r="B69" s="43" t="str">
        <x:v>Thời gian áp dụng thuế suất ưu đãi</x:v>
      </x:c>
      <x:c r="C69" s="102" t="str">
        <x:v>Incentive period</x:v>
      </x:c>
      <x:c r="D69" s="51"/>
      <x:c r="E69" s="102" t="str">
        <x:v>Năm</x:v>
      </x:c>
      <x:c r="F69" s="102" t="str">
        <x:v>Tùy chọn</x:v>
      </x:c>
      <x:c r="G69" s="43" t="str">
        <x:v>Nhập 0 nếu không áp dụng.</x:v>
      </x:c>
      <x:c r="H69" s="96"/>
      <x:c r="I69" s="96"/>
      <x:c r="J69" s="96"/>
      <x:c r="K69" s="96"/>
    </x:row>
    <x:row r="70" ht="15" hidden="0" customHeight="1">
      <x:c r="A70" s="102" t="str">
        <x:v>TAX-04</x:v>
      </x:c>
      <x:c r="B70" s="43" t="str">
        <x:v>Thời gian miễn thuế</x:v>
      </x:c>
      <x:c r="C70" s="102" t="str">
        <x:v>Tax holiday</x:v>
      </x:c>
      <x:c r="D70" s="51"/>
      <x:c r="E70" s="102" t="str">
        <x:v>Năm</x:v>
      </x:c>
      <x:c r="F70" s="102" t="str">
        <x:v>Tùy chọn</x:v>
      </x:c>
      <x:c r="G70" s="43" t="str">
        <x:v>Tính từ năm phát sinh thu nhập chịu thuế theo quy định áp dụng.</x:v>
      </x:c>
      <x:c r="H70" s="96"/>
      <x:c r="I70" s="96"/>
      <x:c r="J70" s="96"/>
      <x:c r="K70" s="96"/>
    </x:row>
    <x:row r="71" ht="15" hidden="0" customHeight="1">
      <x:c r="A71" s="102" t="str">
        <x:v>TAX-05</x:v>
      </x:c>
      <x:c r="B71" s="43" t="str">
        <x:v>Thời gian giảm 50% thuế</x:v>
      </x:c>
      <x:c r="C71" s="102" t="str">
        <x:v>Tax reduction</x:v>
      </x:c>
      <x:c r="D71" s="51"/>
      <x:c r="E71" s="102" t="str">
        <x:v>Năm</x:v>
      </x:c>
      <x:c r="F71" s="102" t="str">
        <x:v>Tùy chọn</x:v>
      </x:c>
      <x:c r="G71" s="43" t="str">
        <x:v>Giai đoạn sau thời gian miễn thuế.</x:v>
      </x:c>
      <x:c r="H71" s="96"/>
      <x:c r="I71" s="96"/>
      <x:c r="J71" s="96"/>
      <x:c r="K71" s="96"/>
    </x:row>
    <x:row r="72" ht="15" hidden="0" customHeight="1">
      <x:c r="A72" s="102" t="str">
        <x:v>TAX-06</x:v>
      </x:c>
      <x:c r="B72" s="47" t="str">
        <x:v>Thời gian khấu hao tài sản</x:v>
      </x:c>
      <x:c r="C72" s="102" t="str">
        <x:v>Depreciation life</x:v>
      </x:c>
      <x:c r="D72" s="53"/>
      <x:c r="E72" s="102" t="str">
        <x:v>Năm</x:v>
      </x:c>
      <x:c r="F72" s="102" t="str">
        <x:v>Bắt buộc</x:v>
      </x:c>
      <x:c r="G72" s="43" t="str">
        <x:v>Ver1 áp dụng phương pháp đường thẳng.</x:v>
      </x:c>
      <x:c r="H72" s="96"/>
      <x:c r="I72" s="96"/>
      <x:c r="J72" s="96"/>
      <x:c r="K72" s="96"/>
    </x:row>
    <x:row r="73" ht="15" hidden="0" customHeight="1">
      <x:c r="A73" s="102" t="str">
        <x:v>TAX-07</x:v>
      </x:c>
      <x:c r="B73" s="43" t="str">
        <x:v>Thời gian chuyển lỗ tối đa</x:v>
      </x:c>
      <x:c r="C73" s="102" t="str">
        <x:v>Loss carryforward</x:v>
      </x:c>
      <x:c r="D73" s="51"/>
      <x:c r="E73" s="102" t="str">
        <x:v>Năm</x:v>
      </x:c>
      <x:c r="F73" s="102" t="str">
        <x:v>Bắt buộc</x:v>
      </x:c>
      <x:c r="G73" s="43" t="str">
        <x:v>Nhập theo quy định áp dụng tại thời điểm tính toán.</x:v>
      </x:c>
      <x:c r="H73" s="96"/>
      <x:c r="I73" s="96"/>
      <x:c r="J73" s="96"/>
      <x:c r="K73" s="96"/>
    </x:row>
    <x:row r="74" ht="15" hidden="0" customHeight="1">
      <x:c r="A74" s="102" t="str">
        <x:v>VAL-01</x:v>
      </x:c>
      <x:c r="B74" s="47" t="str">
        <x:v>Tỷ lệ chiết khấu dự án</x:v>
      </x:c>
      <x:c r="C74" s="102" t="str">
        <x:v>Project discount</x:v>
      </x:c>
      <x:c r="D74" s="77"/>
      <x:c r="E74" s="102" t="str">
        <x:v>%/năm</x:v>
      </x:c>
      <x:c r="F74" s="102" t="str">
        <x:v>Bắt buộc</x:v>
      </x:c>
      <x:c r="G74" s="43" t="str">
        <x:v>Dùng tính Project NPV.</x:v>
      </x:c>
      <x:c r="H74" s="96"/>
      <x:c r="I74" s="96"/>
      <x:c r="J74" s="96"/>
      <x:c r="K74" s="96"/>
    </x:row>
    <x:row r="75" ht="15" hidden="0" customHeight="1">
      <x:c r="A75" s="102" t="str">
        <x:v>VAL-02</x:v>
      </x:c>
      <x:c r="B75" s="47" t="str">
        <x:v>Tỷ lệ chiết khấu vốn chủ sở hữu</x:v>
      </x:c>
      <x:c r="C75" s="102" t="str">
        <x:v>Equity discount</x:v>
      </x:c>
      <x:c r="D75" s="77"/>
      <x:c r="E75" s="102" t="str">
        <x:v>%/năm</x:v>
      </x:c>
      <x:c r="F75" s="102" t="str">
        <x:v>Bắt buộc</x:v>
      </x:c>
      <x:c r="G75" s="43" t="str">
        <x:v>Dùng tính Equity NPV.</x:v>
      </x:c>
      <x:c r="H75" s="96"/>
      <x:c r="I75" s="96"/>
      <x:c r="J75" s="96"/>
      <x:c r="K75" s="96"/>
    </x:row>
    <x:row r="76" ht="15" hidden="0" customHeight="1">
      <x:c r="A76" s="96"/>
      <x:c r="B76" s="96"/>
      <x:c r="C76" s="96"/>
      <x:c r="D76" s="96"/>
      <x:c r="E76" s="96"/>
      <x:c r="F76" s="96"/>
      <x:c r="G76" s="105"/>
      <x:c r="H76" s="96"/>
      <x:c r="I76" s="96"/>
      <x:c r="J76" s="96"/>
      <x:c r="K76" s="96"/>
    </x:row>
    <x:row r="77" ht="15" hidden="0" customHeight="1">
      <x:c r="A77" s="96"/>
      <x:c r="B77" s="96"/>
      <x:c r="C77" s="96"/>
      <x:c r="D77" s="96"/>
      <x:c r="E77" s="96"/>
      <x:c r="F77" s="96"/>
      <x:c r="G77" s="105"/>
      <x:c r="H77" s="96"/>
      <x:c r="I77" s="96"/>
      <x:c r="J77" s="96"/>
      <x:c r="K77" s="96"/>
    </x:row>
    <x:row r="78" ht="15" hidden="0" customHeight="1">
      <x:c r="A78" s="82" t="str">
        <x:v>Ghi chú: các giả định pháp lý, thuế, giá điện và ưu đãi phải được cập nhật theo hồ sơ và quy định áp dụng cho từng dự án.</x:v>
      </x:c>
      <x:c r="B78" s="82"/>
      <x:c r="C78" s="82"/>
      <x:c r="D78" s="82"/>
      <x:c r="E78" s="82"/>
      <x:c r="F78" s="82"/>
      <x:c r="G78" s="82"/>
      <x:c r="H78" s="96"/>
      <x:c r="I78" s="96"/>
      <x:c r="J78" s="96"/>
      <x:c r="K78" s="96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</x:row>
  </x:sheetData>
  <x:mergeCells>
    <x:mergeCell ref="A1:G1"/>
    <x:mergeCell ref="A2:G2"/>
    <x:mergeCell ref="A3:G3"/>
    <x:mergeCell ref="A5:B5"/>
    <x:mergeCell ref="D6:G6"/>
    <x:mergeCell ref="D7:G7"/>
    <x:mergeCell ref="A10:G10"/>
    <x:mergeCell ref="A20:G20"/>
    <x:mergeCell ref="A30:G30"/>
    <x:mergeCell ref="A39:G39"/>
    <x:mergeCell ref="A49:G49"/>
    <x:mergeCell ref="A54:G54"/>
    <x:mergeCell ref="A66:G66"/>
    <x:mergeCell ref="A78:G78"/>
    <x:mergeCell ref="I5:K5"/>
  </x:mergeCells>
  <x:conditionalFormatting sqref="D37:D37">
    <x:cfRule type="cellIs" dxfId="0" priority="1" operator="equal">
      <x:formula>1</x:formula>
    </x:cfRule>
    <x:cfRule type="cellIs" dxfId="1" priority="2" operator="notEqual">
      <x:formula>1</x:formula>
    </x:cfRule>
  </x:conditionalFormatting>
  <x:conditionalFormatting sqref="J20:J20">
    <x:cfRule type="containsText" dxfId="2" priority="3" operator="containsText" text="OK"/>
    <x:cfRule type="containsText" dxfId="3" priority="4" operator="containsText" text="CHƯA"/>
  </x:conditionalFormatting>
  <x:dataValidations count="17">
    <x:dataValidation type="list" sqref="D12">
      <x:formula1>"VND"</x:formula1>
    </x:dataValidation>
    <x:dataValidation type="list" sqref="D40">
      <x:formula1>"P50,P75,P90,Khác"</x:formula1>
    </x:dataValidation>
    <x:dataValidation type="list" sqref="D60">
      <x:formula1>"Gốc đều,Niên kim"</x:formula1>
    </x:dataValidation>
    <x:dataValidation type="decimal" operator="between" sqref="D22:D23">
      <x:formula1>0</x:formula1>
      <x:formula2>1</x:formula2>
    </x:dataValidation>
    <x:dataValidation type="decimal" operator="between" sqref="D32:D36">
      <x:formula1>0</x:formula1>
      <x:formula2>1</x:formula2>
    </x:dataValidation>
    <x:dataValidation type="decimal" operator="between" sqref="D42:D44">
      <x:formula1>0</x:formula1>
      <x:formula2>1</x:formula2>
    </x:dataValidation>
    <x:dataValidation type="decimal" operator="between" sqref="D46">
      <x:formula1>0</x:formula1>
      <x:formula2>1</x:formula2>
    </x:dataValidation>
    <x:dataValidation type="decimal" operator="between" sqref="D51">
      <x:formula1>0</x:formula1>
      <x:formula2>1</x:formula2>
    </x:dataValidation>
    <x:dataValidation type="decimal" operator="between" sqref="D55">
      <x:formula1>0</x:formula1>
      <x:formula2>1</x:formula2>
    </x:dataValidation>
    <x:dataValidation type="decimal" operator="between" sqref="D57">
      <x:formula1>0</x:formula1>
      <x:formula2>1</x:formula2>
    </x:dataValidation>
    <x:dataValidation type="decimal" operator="between" sqref="D61">
      <x:formula1>0</x:formula1>
      <x:formula2>1</x:formula2>
    </x:dataValidation>
    <x:dataValidation type="decimal" operator="between" sqref="D67:D68">
      <x:formula1>0</x:formula1>
      <x:formula2>1</x:formula2>
    </x:dataValidation>
    <x:dataValidation type="decimal" operator="between" sqref="D74:D75">
      <x:formula1>0</x:formula1>
      <x:formula2>1</x:formula2>
    </x:dataValidation>
    <x:dataValidation type="whole" operator="between" sqref="D15">
      <x:formula1>0</x:formula1>
      <x:formula2>100</x:formula2>
    </x:dataValidation>
    <x:dataValidation type="whole" operator="between" sqref="D17">
      <x:formula1>0</x:formula1>
      <x:formula2>100</x:formula2>
    </x:dataValidation>
    <x:dataValidation type="whole" operator="between" sqref="D58:D59">
      <x:formula1>0</x:formula1>
      <x:formula2>100</x:formula2>
    </x:dataValidation>
    <x:dataValidation type="whole" operator="between" sqref="D69:D73">
      <x:formula1>0</x:formula1>
      <x:formula2>100</x:formula2>
    </x:dataValidation>
  </x:dataValidations>
  <x:pageMargins left="0.7" right="0.7" top="0.75" bottom="0.75" header="0.3" footer="0.3"/>
</x:worksheet>
</file>
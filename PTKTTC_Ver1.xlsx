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d.docs.live.net/3dbcede58d366e00/GitHub/Phan-tich-tai-chinh/"/>
    </mc:Choice>
  </mc:AlternateContent>
  <xr:revisionPtr revIDLastSave="64" documentId="6_{DB199FF9-9439-45F4-B17D-CB19DE1C89B0}" xr6:coauthVersionLast="47" xr6:coauthVersionMax="47" xr10:uidLastSave="{8E4F8461-7D8E-4B0E-9205-6B247E97B3D1}"/>
  <bookViews>
    <workbookView xWindow="-38510" yWindow="-100" windowWidth="38620" windowHeight="21820" activeTab="1" xr2:uid="{00000000-000D-0000-FFFF-FFFF00000000}"/>
  </bookViews>
  <sheets>
    <sheet name="Abbreviations" sheetId="11" r:id="rId1"/>
    <sheet name="Input" sheetId="1" r:id="rId2"/>
    <sheet name="Summary" sheetId="2" r:id="rId3"/>
    <sheet name="CAPEX" sheetId="3" r:id="rId4"/>
    <sheet name="Energy_Revenue" sheetId="4" r:id="rId5"/>
    <sheet name="Debt" sheetId="5" r:id="rId6"/>
    <sheet name="Dep_Tax" sheetId="6" r:id="rId7"/>
    <sheet name="Income_Statement" sheetId="7" r:id="rId8"/>
    <sheet name="Project_CF" sheetId="8" r:id="rId9"/>
    <sheet name="Equity_CF" sheetId="9" r:id="rId10"/>
    <sheet name="Sensitivity" sheetId="10"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F7" i="9" l="1"/>
  <c r="AE7" i="9"/>
  <c r="AD7" i="9"/>
  <c r="AC7" i="9"/>
  <c r="AB7" i="9"/>
  <c r="AA7" i="9"/>
  <c r="Z7" i="9"/>
  <c r="Y7" i="9"/>
  <c r="X7" i="9"/>
  <c r="W7" i="9"/>
  <c r="V7" i="9"/>
  <c r="U7" i="9"/>
  <c r="T7" i="9"/>
  <c r="S7" i="9"/>
  <c r="R7" i="9"/>
  <c r="Q7" i="9"/>
  <c r="P7" i="9"/>
  <c r="O7" i="9"/>
  <c r="N7" i="9"/>
  <c r="M7" i="9"/>
  <c r="L7" i="9"/>
  <c r="K7" i="9"/>
  <c r="J7" i="9"/>
  <c r="I7" i="9"/>
  <c r="H7" i="9"/>
  <c r="G7" i="9"/>
  <c r="F7" i="9"/>
  <c r="E7" i="9"/>
  <c r="D7" i="9"/>
  <c r="C7" i="9"/>
  <c r="AF7" i="8"/>
  <c r="AE7" i="8"/>
  <c r="AD7" i="8"/>
  <c r="AC7" i="8"/>
  <c r="AB7" i="8"/>
  <c r="AA7" i="8"/>
  <c r="Z7" i="8"/>
  <c r="Y7" i="8"/>
  <c r="X7" i="8"/>
  <c r="W7" i="8"/>
  <c r="V7" i="8"/>
  <c r="U7" i="8"/>
  <c r="T7" i="8"/>
  <c r="S7" i="8"/>
  <c r="R7" i="8"/>
  <c r="Q7" i="8"/>
  <c r="P7" i="8"/>
  <c r="O7" i="8"/>
  <c r="N7" i="8"/>
  <c r="M7" i="8"/>
  <c r="L7" i="8"/>
  <c r="K7" i="8"/>
  <c r="J7" i="8"/>
  <c r="I7" i="8"/>
  <c r="H7" i="8"/>
  <c r="G7" i="8"/>
  <c r="F7" i="8"/>
  <c r="E7" i="8"/>
  <c r="D7" i="8"/>
  <c r="C7" i="8"/>
  <c r="AF7" i="7"/>
  <c r="AE7" i="7"/>
  <c r="AD7" i="7"/>
  <c r="AC7" i="7"/>
  <c r="AB7" i="7"/>
  <c r="AA7" i="7"/>
  <c r="Z7" i="7"/>
  <c r="Y7" i="7"/>
  <c r="X7" i="7"/>
  <c r="W7" i="7"/>
  <c r="V7" i="7"/>
  <c r="U7" i="7"/>
  <c r="T7" i="7"/>
  <c r="S7" i="7"/>
  <c r="R7" i="7"/>
  <c r="Q7" i="7"/>
  <c r="P7" i="7"/>
  <c r="O7" i="7"/>
  <c r="N7" i="7"/>
  <c r="M7" i="7"/>
  <c r="L7" i="7"/>
  <c r="K7" i="7"/>
  <c r="J7" i="7"/>
  <c r="I7" i="7"/>
  <c r="H7" i="7"/>
  <c r="G7" i="7"/>
  <c r="F7" i="7"/>
  <c r="E7" i="7"/>
  <c r="D7" i="7"/>
  <c r="C7" i="7"/>
  <c r="C19" i="6"/>
  <c r="AF7" i="6"/>
  <c r="AE7" i="6"/>
  <c r="AD7" i="6"/>
  <c r="AC7" i="6"/>
  <c r="AB7" i="6"/>
  <c r="AA7" i="6"/>
  <c r="Z7" i="6"/>
  <c r="Y7" i="6"/>
  <c r="X7" i="6"/>
  <c r="W7" i="6"/>
  <c r="V7" i="6"/>
  <c r="U7" i="6"/>
  <c r="T7" i="6"/>
  <c r="S7" i="6"/>
  <c r="R7" i="6"/>
  <c r="Q7" i="6"/>
  <c r="P7" i="6"/>
  <c r="O7" i="6"/>
  <c r="N7" i="6"/>
  <c r="M7" i="6"/>
  <c r="L7" i="6"/>
  <c r="K7" i="6"/>
  <c r="J7" i="6"/>
  <c r="I7" i="6"/>
  <c r="H7" i="6"/>
  <c r="G7" i="6"/>
  <c r="F7" i="6"/>
  <c r="E7" i="6"/>
  <c r="D7" i="6"/>
  <c r="C7" i="6"/>
  <c r="AF19" i="5"/>
  <c r="AF15" i="9" s="1"/>
  <c r="AE19" i="5"/>
  <c r="AE15" i="9" s="1"/>
  <c r="AD19" i="5"/>
  <c r="AD15" i="9" s="1"/>
  <c r="AC19" i="5"/>
  <c r="AC15" i="9" s="1"/>
  <c r="AB19" i="5"/>
  <c r="AB15" i="9" s="1"/>
  <c r="AA19" i="5"/>
  <c r="AA15" i="9" s="1"/>
  <c r="Z19" i="5"/>
  <c r="Z15" i="9" s="1"/>
  <c r="Y19" i="5"/>
  <c r="Y15" i="9" s="1"/>
  <c r="X19" i="5"/>
  <c r="X15" i="9" s="1"/>
  <c r="W19" i="5"/>
  <c r="W15" i="9" s="1"/>
  <c r="V19" i="5"/>
  <c r="V15" i="9" s="1"/>
  <c r="U19" i="5"/>
  <c r="U15" i="9" s="1"/>
  <c r="T19" i="5"/>
  <c r="T15" i="9" s="1"/>
  <c r="S19" i="5"/>
  <c r="S15" i="9" s="1"/>
  <c r="R19" i="5"/>
  <c r="R15" i="9" s="1"/>
  <c r="Q19" i="5"/>
  <c r="Q15" i="9" s="1"/>
  <c r="P19" i="5"/>
  <c r="P15" i="9" s="1"/>
  <c r="O19" i="5"/>
  <c r="O15" i="9" s="1"/>
  <c r="N19" i="5"/>
  <c r="N15" i="9" s="1"/>
  <c r="M19" i="5"/>
  <c r="M15" i="9" s="1"/>
  <c r="L19" i="5"/>
  <c r="L15" i="9" s="1"/>
  <c r="K19" i="5"/>
  <c r="K15" i="9" s="1"/>
  <c r="J19" i="5"/>
  <c r="J15" i="9" s="1"/>
  <c r="I19" i="5"/>
  <c r="I15" i="9" s="1"/>
  <c r="H19" i="5"/>
  <c r="H15" i="9" s="1"/>
  <c r="G19" i="5"/>
  <c r="G15" i="9" s="1"/>
  <c r="F19" i="5"/>
  <c r="F15" i="9" s="1"/>
  <c r="E19" i="5"/>
  <c r="E15" i="9" s="1"/>
  <c r="D19" i="5"/>
  <c r="D15" i="9" s="1"/>
  <c r="C11" i="5"/>
  <c r="AF7" i="5"/>
  <c r="AE7" i="5"/>
  <c r="AD7" i="5"/>
  <c r="AC7" i="5"/>
  <c r="AB7" i="5"/>
  <c r="AA7" i="5"/>
  <c r="Z7" i="5"/>
  <c r="Y7" i="5"/>
  <c r="X7" i="5"/>
  <c r="W7" i="5"/>
  <c r="V7" i="5"/>
  <c r="U7" i="5"/>
  <c r="T7" i="5"/>
  <c r="S7" i="5"/>
  <c r="R7" i="5"/>
  <c r="Q7" i="5"/>
  <c r="P7" i="5"/>
  <c r="O7" i="5"/>
  <c r="N7" i="5"/>
  <c r="M7" i="5"/>
  <c r="L7" i="5"/>
  <c r="K7" i="5"/>
  <c r="J7" i="5"/>
  <c r="I7" i="5"/>
  <c r="H7" i="5"/>
  <c r="G7" i="5"/>
  <c r="F7" i="5"/>
  <c r="E7" i="5"/>
  <c r="D7" i="5"/>
  <c r="C7" i="5"/>
  <c r="AF7" i="4"/>
  <c r="AE7" i="4"/>
  <c r="AD7" i="4"/>
  <c r="AC7" i="4"/>
  <c r="AB7" i="4"/>
  <c r="AA7" i="4"/>
  <c r="Z7" i="4"/>
  <c r="Y7" i="4"/>
  <c r="X7" i="4"/>
  <c r="W7" i="4"/>
  <c r="V7" i="4"/>
  <c r="U7" i="4"/>
  <c r="T7" i="4"/>
  <c r="S7" i="4"/>
  <c r="R7" i="4"/>
  <c r="Q7" i="4"/>
  <c r="P7" i="4"/>
  <c r="O7" i="4"/>
  <c r="N7" i="4"/>
  <c r="M7" i="4"/>
  <c r="L7" i="4"/>
  <c r="K7" i="4"/>
  <c r="J7" i="4"/>
  <c r="I7" i="4"/>
  <c r="H7" i="4"/>
  <c r="G7" i="4"/>
  <c r="F7" i="4"/>
  <c r="E7" i="4"/>
  <c r="D7" i="4"/>
  <c r="C7" i="4"/>
  <c r="C34" i="3"/>
  <c r="C33" i="3"/>
  <c r="C31" i="3"/>
  <c r="AF22" i="3"/>
  <c r="AE22" i="3"/>
  <c r="AD22" i="3"/>
  <c r="AC22" i="3"/>
  <c r="AB22" i="3"/>
  <c r="AA22" i="3"/>
  <c r="Z22" i="3"/>
  <c r="Y22" i="3"/>
  <c r="X22" i="3"/>
  <c r="W22" i="3"/>
  <c r="V22" i="3"/>
  <c r="U22" i="3"/>
  <c r="T22" i="3"/>
  <c r="S22" i="3"/>
  <c r="R22" i="3"/>
  <c r="Q22" i="3"/>
  <c r="P22" i="3"/>
  <c r="O22" i="3"/>
  <c r="N22" i="3"/>
  <c r="M22" i="3"/>
  <c r="L22" i="3"/>
  <c r="K22" i="3"/>
  <c r="J22" i="3"/>
  <c r="I22" i="3"/>
  <c r="H22" i="3"/>
  <c r="G22" i="3"/>
  <c r="F22" i="3"/>
  <c r="E22" i="3"/>
  <c r="D22" i="3"/>
  <c r="AF6" i="3"/>
  <c r="AE6" i="3"/>
  <c r="AD6" i="3"/>
  <c r="AC6" i="3"/>
  <c r="AB6" i="3"/>
  <c r="AA6" i="3"/>
  <c r="Z6" i="3"/>
  <c r="Y6" i="3"/>
  <c r="X6" i="3"/>
  <c r="W6" i="3"/>
  <c r="V6" i="3"/>
  <c r="U6" i="3"/>
  <c r="T6" i="3"/>
  <c r="S6" i="3"/>
  <c r="R6" i="3"/>
  <c r="Q6" i="3"/>
  <c r="P6" i="3"/>
  <c r="O6" i="3"/>
  <c r="N6" i="3"/>
  <c r="M6" i="3"/>
  <c r="L6" i="3"/>
  <c r="K6" i="3"/>
  <c r="J6" i="3"/>
  <c r="I6" i="3"/>
  <c r="H6" i="3"/>
  <c r="G6" i="3"/>
  <c r="F6" i="3"/>
  <c r="E6" i="3"/>
  <c r="D6" i="3"/>
  <c r="C6" i="3"/>
  <c r="H8" i="2"/>
  <c r="E8" i="2"/>
  <c r="B8" i="2"/>
  <c r="H7" i="2"/>
  <c r="H6" i="2"/>
  <c r="B6" i="2"/>
  <c r="A2" i="2"/>
  <c r="D59" i="1"/>
  <c r="D46" i="1"/>
  <c r="D40" i="1"/>
  <c r="J23" i="1" s="1"/>
  <c r="D29" i="1"/>
  <c r="J13" i="1" s="1"/>
  <c r="J20" i="1"/>
  <c r="O19" i="1"/>
  <c r="M19" i="1"/>
  <c r="O18" i="1"/>
  <c r="M18" i="1"/>
  <c r="J18" i="1"/>
  <c r="D16" i="1"/>
  <c r="J8" i="1" s="1"/>
  <c r="J12" i="1"/>
  <c r="J7" i="1"/>
  <c r="B7" i="1"/>
  <c r="C32" i="3" l="1"/>
  <c r="D21" i="1"/>
  <c r="J16" i="1"/>
  <c r="J15" i="1"/>
  <c r="J14" i="1"/>
  <c r="AF6" i="8"/>
  <c r="AF6" i="9"/>
  <c r="AF6" i="4"/>
  <c r="AF6" i="6"/>
  <c r="AF6" i="5"/>
  <c r="AF6" i="7"/>
  <c r="AF8" i="3"/>
  <c r="AE6" i="8"/>
  <c r="AE6" i="9"/>
  <c r="AE6" i="5"/>
  <c r="AE6" i="4"/>
  <c r="AE6" i="7"/>
  <c r="AE6" i="6"/>
  <c r="AE8" i="3"/>
  <c r="AD6" i="8"/>
  <c r="AD6" i="6"/>
  <c r="AD6" i="5"/>
  <c r="AD6" i="9"/>
  <c r="AD6" i="4"/>
  <c r="AD8" i="3"/>
  <c r="AD6" i="7"/>
  <c r="AC6" i="7"/>
  <c r="AC6" i="6"/>
  <c r="AC6" i="4"/>
  <c r="AC6" i="8"/>
  <c r="AC6" i="9"/>
  <c r="AC8" i="3"/>
  <c r="AC6" i="5"/>
  <c r="AB6" i="4"/>
  <c r="AB6" i="7"/>
  <c r="AB6" i="6"/>
  <c r="AB6" i="5"/>
  <c r="AB8" i="3"/>
  <c r="AB6" i="9"/>
  <c r="AB6" i="8"/>
  <c r="AA6" i="4"/>
  <c r="AA6" i="9"/>
  <c r="AA8" i="3"/>
  <c r="AA6" i="5"/>
  <c r="AA6" i="7"/>
  <c r="AA6" i="6"/>
  <c r="AA6" i="8"/>
  <c r="Z6" i="7"/>
  <c r="Z6" i="9"/>
  <c r="Z6" i="6"/>
  <c r="Z8" i="3"/>
  <c r="Z6" i="4"/>
  <c r="Z6" i="5"/>
  <c r="Z6" i="8"/>
  <c r="Y6" i="8"/>
  <c r="Y6" i="9"/>
  <c r="Y6" i="7"/>
  <c r="Y6" i="4"/>
  <c r="Y8" i="3"/>
  <c r="Y6" i="5"/>
  <c r="Y6" i="6"/>
  <c r="X6" i="9"/>
  <c r="X6" i="7"/>
  <c r="X6" i="5"/>
  <c r="X6" i="4"/>
  <c r="X6" i="8"/>
  <c r="X8" i="3"/>
  <c r="X6" i="6"/>
  <c r="W6" i="7"/>
  <c r="W6" i="5"/>
  <c r="W6" i="4"/>
  <c r="W6" i="8"/>
  <c r="W8" i="3"/>
  <c r="W6" i="6"/>
  <c r="W6" i="9"/>
  <c r="V6" i="6"/>
  <c r="V6" i="9"/>
  <c r="V6" i="4"/>
  <c r="V6" i="8"/>
  <c r="V6" i="7"/>
  <c r="V6" i="5"/>
  <c r="V8" i="3"/>
  <c r="U6" i="4"/>
  <c r="U6" i="7"/>
  <c r="U6" i="5"/>
  <c r="U6" i="8"/>
  <c r="U6" i="9"/>
  <c r="U6" i="6"/>
  <c r="U8" i="3"/>
  <c r="T6" i="4"/>
  <c r="T6" i="9"/>
  <c r="T6" i="8"/>
  <c r="T6" i="5"/>
  <c r="T6" i="7"/>
  <c r="T6" i="6"/>
  <c r="T8" i="3"/>
  <c r="S6" i="4"/>
  <c r="S6" i="9"/>
  <c r="S6" i="7"/>
  <c r="S6" i="5"/>
  <c r="S6" i="8"/>
  <c r="S6" i="6"/>
  <c r="S8" i="3"/>
  <c r="R6" i="8"/>
  <c r="R6" i="5"/>
  <c r="R6" i="6"/>
  <c r="R6" i="7"/>
  <c r="R6" i="4"/>
  <c r="R6" i="9"/>
  <c r="R8" i="3"/>
  <c r="Q6" i="4"/>
  <c r="Q6" i="6"/>
  <c r="Q6" i="8"/>
  <c r="Q6" i="7"/>
  <c r="Q6" i="9"/>
  <c r="Q6" i="5"/>
  <c r="Q8" i="3"/>
  <c r="P6" i="6"/>
  <c r="P6" i="8"/>
  <c r="P6" i="7"/>
  <c r="P6" i="5"/>
  <c r="P6" i="4"/>
  <c r="P6" i="9"/>
  <c r="P8" i="3"/>
  <c r="O6" i="7"/>
  <c r="O6" i="6"/>
  <c r="O6" i="8"/>
  <c r="O6" i="5"/>
  <c r="O6" i="4"/>
  <c r="O6" i="9"/>
  <c r="O8" i="3"/>
  <c r="N6" i="7"/>
  <c r="N6" i="9"/>
  <c r="N6" i="8"/>
  <c r="N8" i="3"/>
  <c r="N6" i="5"/>
  <c r="N6" i="4"/>
  <c r="N6" i="6"/>
  <c r="M6" i="7"/>
  <c r="M6" i="6"/>
  <c r="M6" i="5"/>
  <c r="M8" i="3"/>
  <c r="M6" i="8"/>
  <c r="M6" i="9"/>
  <c r="M6" i="4"/>
  <c r="L6" i="9"/>
  <c r="L6" i="4"/>
  <c r="L6" i="6"/>
  <c r="L6" i="7"/>
  <c r="L8" i="3"/>
  <c r="L6" i="8"/>
  <c r="L6" i="5"/>
  <c r="K6" i="7"/>
  <c r="K6" i="9"/>
  <c r="K6" i="6"/>
  <c r="K8" i="3"/>
  <c r="K6" i="5"/>
  <c r="K6" i="8"/>
  <c r="K6" i="4"/>
  <c r="J6" i="7"/>
  <c r="J8" i="3"/>
  <c r="J6" i="9"/>
  <c r="J6" i="8"/>
  <c r="J6" i="6"/>
  <c r="J6" i="4"/>
  <c r="J6" i="5"/>
  <c r="I6" i="7"/>
  <c r="I8" i="3"/>
  <c r="I6" i="6"/>
  <c r="I6" i="5"/>
  <c r="I6" i="9"/>
  <c r="I6" i="4"/>
  <c r="I6" i="8"/>
  <c r="H6" i="9"/>
  <c r="H6" i="6"/>
  <c r="H6" i="8"/>
  <c r="H6" i="4"/>
  <c r="H6" i="7"/>
  <c r="H6" i="5"/>
  <c r="H8" i="3"/>
  <c r="G6" i="6"/>
  <c r="G6" i="5"/>
  <c r="G6" i="4"/>
  <c r="G6" i="8"/>
  <c r="G6" i="7"/>
  <c r="G6" i="9"/>
  <c r="G8" i="3"/>
  <c r="F6" i="8"/>
  <c r="F6" i="5"/>
  <c r="F6" i="9"/>
  <c r="F6" i="7"/>
  <c r="F6" i="6"/>
  <c r="F6" i="4"/>
  <c r="F8" i="3"/>
  <c r="E6" i="8"/>
  <c r="E6" i="9"/>
  <c r="E6" i="5"/>
  <c r="E6" i="6"/>
  <c r="E6" i="7"/>
  <c r="E6" i="4"/>
  <c r="E8" i="3"/>
  <c r="D8" i="3"/>
  <c r="D6" i="6"/>
  <c r="D6" i="9"/>
  <c r="D6" i="5"/>
  <c r="D6" i="8"/>
  <c r="D6" i="7"/>
  <c r="D6" i="4"/>
  <c r="C8" i="3"/>
  <c r="C6" i="9"/>
  <c r="C17" i="3"/>
  <c r="C6" i="7"/>
  <c r="C6" i="8"/>
  <c r="C6" i="5"/>
  <c r="C6" i="4"/>
  <c r="C6" i="6"/>
  <c r="D45" i="1"/>
  <c r="E7" i="2"/>
  <c r="D50" i="1"/>
  <c r="J17" i="1"/>
  <c r="E6" i="2"/>
  <c r="D18" i="1"/>
  <c r="AC9" i="3" l="1"/>
  <c r="AF9" i="3"/>
  <c r="AE9" i="3"/>
  <c r="AD9" i="3"/>
  <c r="J11" i="1"/>
  <c r="D25" i="1"/>
  <c r="B7" i="2" s="1"/>
  <c r="D26" i="1"/>
  <c r="D66" i="1" s="1"/>
  <c r="D67" i="1" s="1"/>
  <c r="N9" i="3"/>
  <c r="R9" i="3"/>
  <c r="R8" i="9" s="1"/>
  <c r="Q9" i="3"/>
  <c r="M9" i="3"/>
  <c r="S9" i="3"/>
  <c r="P9" i="3"/>
  <c r="O9" i="3"/>
  <c r="L9" i="3"/>
  <c r="K9" i="3"/>
  <c r="J9" i="3"/>
  <c r="AF25" i="8"/>
  <c r="AF23" i="8"/>
  <c r="AF21" i="9"/>
  <c r="AF19" i="9"/>
  <c r="AF13" i="5"/>
  <c r="AF12" i="3"/>
  <c r="AF13" i="3" s="1"/>
  <c r="AF23" i="3"/>
  <c r="AE25" i="8"/>
  <c r="AE23" i="8"/>
  <c r="AE19" i="9"/>
  <c r="AE21" i="9"/>
  <c r="AE13" i="5"/>
  <c r="AE12" i="3"/>
  <c r="AE13" i="3" s="1"/>
  <c r="AE23" i="3"/>
  <c r="AD25" i="8"/>
  <c r="AD23" i="8"/>
  <c r="AD13" i="5"/>
  <c r="AD21" i="9"/>
  <c r="AD19" i="9"/>
  <c r="AD12" i="3"/>
  <c r="AD13" i="3" s="1"/>
  <c r="AD23" i="3"/>
  <c r="AC23" i="8"/>
  <c r="AC25" i="8"/>
  <c r="AC19" i="9"/>
  <c r="AC21" i="9"/>
  <c r="AC12" i="3"/>
  <c r="AC13" i="3" s="1"/>
  <c r="AC23" i="3"/>
  <c r="AC13" i="5"/>
  <c r="AB13" i="5"/>
  <c r="AB12" i="3"/>
  <c r="AB13" i="3" s="1"/>
  <c r="AB23" i="3"/>
  <c r="AB19" i="9"/>
  <c r="AB21" i="9"/>
  <c r="AB25" i="8"/>
  <c r="AB23" i="8"/>
  <c r="AA19" i="9"/>
  <c r="AA21" i="9"/>
  <c r="AA12" i="3"/>
  <c r="AA13" i="3" s="1"/>
  <c r="AA23" i="3"/>
  <c r="AA13" i="5"/>
  <c r="AA25" i="8"/>
  <c r="AA23" i="8"/>
  <c r="Z19" i="9"/>
  <c r="Z21" i="9"/>
  <c r="Z12" i="3"/>
  <c r="Z13" i="3" s="1"/>
  <c r="Z23" i="3"/>
  <c r="Z13" i="5"/>
  <c r="Z25" i="8"/>
  <c r="Z23" i="8"/>
  <c r="Y23" i="8"/>
  <c r="Y25" i="8"/>
  <c r="Y21" i="9"/>
  <c r="Y19" i="9"/>
  <c r="Y12" i="3"/>
  <c r="Y13" i="3" s="1"/>
  <c r="Y23" i="3"/>
  <c r="Y13" i="5"/>
  <c r="X19" i="9"/>
  <c r="X21" i="9"/>
  <c r="X13" i="5"/>
  <c r="X25" i="8"/>
  <c r="X23" i="8"/>
  <c r="X12" i="3"/>
  <c r="X13" i="3" s="1"/>
  <c r="X23" i="3"/>
  <c r="W13" i="5"/>
  <c r="W25" i="8"/>
  <c r="W23" i="8"/>
  <c r="W12" i="3"/>
  <c r="W13" i="3" s="1"/>
  <c r="W23" i="3"/>
  <c r="W21" i="9"/>
  <c r="W19" i="9"/>
  <c r="V19" i="9"/>
  <c r="V21" i="9"/>
  <c r="V25" i="8"/>
  <c r="V23" i="8"/>
  <c r="V13" i="5"/>
  <c r="V12" i="3"/>
  <c r="V13" i="3" s="1"/>
  <c r="V23" i="3"/>
  <c r="U13" i="5"/>
  <c r="U23" i="8"/>
  <c r="U25" i="8"/>
  <c r="U19" i="9"/>
  <c r="U21" i="9"/>
  <c r="U12" i="3"/>
  <c r="U13" i="3" s="1"/>
  <c r="U23" i="3"/>
  <c r="T19" i="9"/>
  <c r="T21" i="9"/>
  <c r="T25" i="8"/>
  <c r="T23" i="8"/>
  <c r="T13" i="5"/>
  <c r="T12" i="3"/>
  <c r="T13" i="3" s="1"/>
  <c r="T23" i="3"/>
  <c r="S21" i="9"/>
  <c r="S19" i="9"/>
  <c r="S13" i="5"/>
  <c r="S25" i="8"/>
  <c r="S23" i="8"/>
  <c r="S12" i="3"/>
  <c r="S13" i="3" s="1"/>
  <c r="S23" i="3"/>
  <c r="R25" i="8"/>
  <c r="R23" i="8"/>
  <c r="R13" i="5"/>
  <c r="R19" i="9"/>
  <c r="R21" i="9"/>
  <c r="R12" i="3"/>
  <c r="R13" i="3" s="1"/>
  <c r="R23" i="3"/>
  <c r="Q25" i="8"/>
  <c r="Q23" i="8"/>
  <c r="Q19" i="9"/>
  <c r="Q21" i="9"/>
  <c r="Q13" i="5"/>
  <c r="Q12" i="3"/>
  <c r="Q13" i="3" s="1"/>
  <c r="Q23" i="3"/>
  <c r="P25" i="8"/>
  <c r="P23" i="8"/>
  <c r="P13" i="5"/>
  <c r="P19" i="9"/>
  <c r="P21" i="9"/>
  <c r="P12" i="3"/>
  <c r="P13" i="3" s="1"/>
  <c r="P23" i="3"/>
  <c r="O25" i="8"/>
  <c r="O23" i="8"/>
  <c r="O13" i="5"/>
  <c r="O21" i="9"/>
  <c r="O19" i="9"/>
  <c r="O12" i="3"/>
  <c r="O13" i="3" s="1"/>
  <c r="O23" i="3"/>
  <c r="N19" i="9"/>
  <c r="N21" i="9"/>
  <c r="N25" i="8"/>
  <c r="N23" i="8"/>
  <c r="N12" i="3"/>
  <c r="N13" i="3" s="1"/>
  <c r="N23" i="3"/>
  <c r="N13" i="5"/>
  <c r="M13" i="5"/>
  <c r="M12" i="3"/>
  <c r="M13" i="3" s="1"/>
  <c r="M23" i="3"/>
  <c r="M25" i="8"/>
  <c r="M23" i="8"/>
  <c r="M19" i="9"/>
  <c r="M21" i="9"/>
  <c r="L21" i="9"/>
  <c r="L19" i="9"/>
  <c r="L12" i="3"/>
  <c r="L13" i="3" s="1"/>
  <c r="L23" i="3"/>
  <c r="L25" i="8"/>
  <c r="L23" i="8"/>
  <c r="L13" i="5"/>
  <c r="K19" i="9"/>
  <c r="K21" i="9"/>
  <c r="K12" i="3"/>
  <c r="K13" i="3" s="1"/>
  <c r="K23" i="3"/>
  <c r="K13" i="5"/>
  <c r="K25" i="8"/>
  <c r="K23" i="8"/>
  <c r="J12" i="3"/>
  <c r="J13" i="3" s="1"/>
  <c r="J23" i="3"/>
  <c r="J19" i="9"/>
  <c r="J21" i="9"/>
  <c r="J23" i="8"/>
  <c r="J25" i="8"/>
  <c r="J13" i="5"/>
  <c r="I12" i="3"/>
  <c r="I13" i="3" s="1"/>
  <c r="I23" i="3"/>
  <c r="I13" i="5"/>
  <c r="I19" i="9"/>
  <c r="I21" i="9"/>
  <c r="I25" i="8"/>
  <c r="I23" i="8"/>
  <c r="H19" i="9"/>
  <c r="H21" i="9"/>
  <c r="H23" i="8"/>
  <c r="H25" i="8"/>
  <c r="H13" i="5"/>
  <c r="H12" i="3"/>
  <c r="H13" i="3" s="1"/>
  <c r="H23" i="3"/>
  <c r="G13" i="5"/>
  <c r="G23" i="8"/>
  <c r="G25" i="8"/>
  <c r="G19" i="9"/>
  <c r="G21" i="9"/>
  <c r="G12" i="3"/>
  <c r="G13" i="3" s="1"/>
  <c r="G23" i="3"/>
  <c r="F25" i="8"/>
  <c r="F23" i="8"/>
  <c r="F13" i="5"/>
  <c r="F19" i="9"/>
  <c r="F21" i="9"/>
  <c r="F12" i="3"/>
  <c r="F13" i="3" s="1"/>
  <c r="F23" i="3"/>
  <c r="E25" i="8"/>
  <c r="E23" i="8"/>
  <c r="E19" i="9"/>
  <c r="E21" i="9"/>
  <c r="E13" i="5"/>
  <c r="E12" i="3"/>
  <c r="E13" i="3" s="1"/>
  <c r="E23" i="3"/>
  <c r="D12" i="3"/>
  <c r="D13" i="3" s="1"/>
  <c r="D21" i="9"/>
  <c r="D19" i="9"/>
  <c r="D13" i="5"/>
  <c r="D25" i="8"/>
  <c r="D23" i="8"/>
  <c r="C12" i="3"/>
  <c r="C19" i="9"/>
  <c r="C21" i="9"/>
  <c r="C13" i="9"/>
  <c r="C22" i="8"/>
  <c r="C23" i="8"/>
  <c r="C25" i="8"/>
  <c r="C13" i="5"/>
  <c r="D55" i="1"/>
  <c r="E16" i="2"/>
  <c r="J19" i="1"/>
  <c r="J9" i="1"/>
  <c r="AB9" i="3"/>
  <c r="T9" i="3"/>
  <c r="AA9" i="3"/>
  <c r="Z9" i="3"/>
  <c r="Y9" i="3"/>
  <c r="X9" i="3"/>
  <c r="W9" i="3"/>
  <c r="V9" i="3"/>
  <c r="U9" i="3"/>
  <c r="I9" i="3"/>
  <c r="H9" i="3"/>
  <c r="G9" i="3"/>
  <c r="F9" i="3"/>
  <c r="E9" i="3"/>
  <c r="D9" i="3"/>
  <c r="C9" i="3"/>
  <c r="AF8" i="8" l="1"/>
  <c r="AF8" i="5"/>
  <c r="AF17" i="5" s="1"/>
  <c r="AF8" i="9"/>
  <c r="AC8" i="7"/>
  <c r="AC8" i="4"/>
  <c r="AC8" i="8"/>
  <c r="AC8" i="9"/>
  <c r="AC8" i="5"/>
  <c r="AC17" i="5" s="1"/>
  <c r="AC8" i="6"/>
  <c r="AE8" i="6"/>
  <c r="AE8" i="7"/>
  <c r="AE8" i="8"/>
  <c r="AE8" i="9"/>
  <c r="AE8" i="5"/>
  <c r="AE17" i="5" s="1"/>
  <c r="AE8" i="4"/>
  <c r="Q8" i="8"/>
  <c r="Q8" i="9"/>
  <c r="Q8" i="4"/>
  <c r="Q8" i="5"/>
  <c r="Q8" i="6"/>
  <c r="Q8" i="7"/>
  <c r="M8" i="4"/>
  <c r="M8" i="7"/>
  <c r="M8" i="6"/>
  <c r="M8" i="8"/>
  <c r="M8" i="9"/>
  <c r="M8" i="5"/>
  <c r="S8" i="5"/>
  <c r="S8" i="6"/>
  <c r="S8" i="4"/>
  <c r="S8" i="8"/>
  <c r="S8" i="7"/>
  <c r="S8" i="9"/>
  <c r="P8" i="7"/>
  <c r="P8" i="4"/>
  <c r="P8" i="8"/>
  <c r="P8" i="5"/>
  <c r="P8" i="6"/>
  <c r="P8" i="9"/>
  <c r="O8" i="5"/>
  <c r="O8" i="4"/>
  <c r="O19" i="4" s="1"/>
  <c r="O8" i="7"/>
  <c r="O8" i="6"/>
  <c r="O8" i="8"/>
  <c r="O8" i="9"/>
  <c r="L8" i="4"/>
  <c r="L8" i="5"/>
  <c r="L8" i="7"/>
  <c r="L8" i="6"/>
  <c r="L8" i="8"/>
  <c r="L8" i="9"/>
  <c r="K8" i="4"/>
  <c r="K8" i="5"/>
  <c r="K8" i="6"/>
  <c r="K8" i="7"/>
  <c r="K8" i="8"/>
  <c r="K8" i="9"/>
  <c r="J8" i="4"/>
  <c r="J8" i="5"/>
  <c r="J8" i="7"/>
  <c r="J8" i="6"/>
  <c r="J8" i="8"/>
  <c r="J8" i="9"/>
  <c r="AD8" i="6"/>
  <c r="AD8" i="8"/>
  <c r="AD8" i="9"/>
  <c r="R8" i="4"/>
  <c r="R8" i="5"/>
  <c r="R8" i="7"/>
  <c r="R8" i="6"/>
  <c r="R8" i="8"/>
  <c r="AD8" i="4"/>
  <c r="AD8" i="7"/>
  <c r="AD8" i="5"/>
  <c r="AD17" i="5" s="1"/>
  <c r="AF8" i="4"/>
  <c r="AF8" i="7"/>
  <c r="AF8" i="6"/>
  <c r="N8" i="4"/>
  <c r="N8" i="5"/>
  <c r="N8" i="6"/>
  <c r="N8" i="7"/>
  <c r="N8" i="8"/>
  <c r="N8" i="9"/>
  <c r="J22" i="1"/>
  <c r="H14" i="2"/>
  <c r="AC14" i="3"/>
  <c r="AB14" i="3"/>
  <c r="AB15" i="3" s="1"/>
  <c r="AF15" i="5"/>
  <c r="AF17" i="9" s="1"/>
  <c r="AF14" i="5"/>
  <c r="AF25" i="5"/>
  <c r="AE15" i="5"/>
  <c r="AE17" i="9" s="1"/>
  <c r="AE14" i="5"/>
  <c r="AE25" i="5"/>
  <c r="AD14" i="5"/>
  <c r="AD15" i="5"/>
  <c r="AD17" i="9" s="1"/>
  <c r="AD25" i="5"/>
  <c r="AC14" i="5"/>
  <c r="AC15" i="5"/>
  <c r="AC17" i="9" s="1"/>
  <c r="AC25" i="5"/>
  <c r="AB14" i="5"/>
  <c r="AB25" i="5"/>
  <c r="AB15" i="5"/>
  <c r="AB17" i="9" s="1"/>
  <c r="AA14" i="5"/>
  <c r="AA25" i="5"/>
  <c r="AA15" i="5"/>
  <c r="AA17" i="9" s="1"/>
  <c r="Z15" i="5"/>
  <c r="Z17" i="9" s="1"/>
  <c r="Z14" i="5"/>
  <c r="Z25" i="5"/>
  <c r="Y15" i="5"/>
  <c r="Y17" i="9" s="1"/>
  <c r="Y25" i="5"/>
  <c r="Y14" i="5"/>
  <c r="X14" i="5"/>
  <c r="X25" i="5"/>
  <c r="X15" i="5"/>
  <c r="X17" i="9" s="1"/>
  <c r="W15" i="5"/>
  <c r="W17" i="9" s="1"/>
  <c r="W25" i="5"/>
  <c r="W14" i="5"/>
  <c r="V15" i="5"/>
  <c r="V17" i="9" s="1"/>
  <c r="V25" i="5"/>
  <c r="V14" i="5"/>
  <c r="U15" i="5"/>
  <c r="U17" i="9" s="1"/>
  <c r="U25" i="5"/>
  <c r="U14" i="5"/>
  <c r="T14" i="5"/>
  <c r="S11" i="4"/>
  <c r="S12" i="4"/>
  <c r="S13" i="4"/>
  <c r="S15" i="4"/>
  <c r="S19" i="4"/>
  <c r="S11" i="6"/>
  <c r="S24" i="6"/>
  <c r="S14" i="5"/>
  <c r="R14" i="5"/>
  <c r="Q11" i="4"/>
  <c r="Q12" i="4"/>
  <c r="Q13" i="4"/>
  <c r="Q15" i="4"/>
  <c r="Q19" i="4"/>
  <c r="Q24" i="6"/>
  <c r="Q11" i="6"/>
  <c r="Q14" i="5"/>
  <c r="P14" i="5"/>
  <c r="P11" i="4"/>
  <c r="P12" i="4"/>
  <c r="P13" i="4"/>
  <c r="P15" i="4"/>
  <c r="P19" i="4"/>
  <c r="P11" i="6"/>
  <c r="P24" i="6"/>
  <c r="O14" i="5"/>
  <c r="O11" i="4"/>
  <c r="O12" i="4"/>
  <c r="O13" i="4"/>
  <c r="O15" i="4"/>
  <c r="N14" i="5"/>
  <c r="M11" i="4"/>
  <c r="M12" i="4"/>
  <c r="M14" i="5"/>
  <c r="L14" i="5"/>
  <c r="K14" i="5"/>
  <c r="J14" i="5"/>
  <c r="I14" i="5"/>
  <c r="H14" i="5"/>
  <c r="G14" i="5"/>
  <c r="F14" i="5"/>
  <c r="E14" i="5"/>
  <c r="D15" i="5"/>
  <c r="D17" i="9" s="1"/>
  <c r="D25" i="5"/>
  <c r="D14" i="5"/>
  <c r="C13" i="3"/>
  <c r="C27" i="3"/>
  <c r="C26" i="2" s="1"/>
  <c r="D26" i="2" s="1"/>
  <c r="C25" i="5"/>
  <c r="C14" i="5"/>
  <c r="C15" i="5"/>
  <c r="J21" i="1"/>
  <c r="B16" i="2"/>
  <c r="C22" i="3"/>
  <c r="C19" i="5"/>
  <c r="C15" i="9" s="1"/>
  <c r="AB8" i="5"/>
  <c r="AB17" i="5" s="1"/>
  <c r="AB8" i="9"/>
  <c r="AB8" i="8"/>
  <c r="AB8" i="7"/>
  <c r="AB8" i="6"/>
  <c r="AB8" i="4"/>
  <c r="T8" i="9"/>
  <c r="T8" i="8"/>
  <c r="T8" i="6"/>
  <c r="T8" i="7"/>
  <c r="T8" i="5"/>
  <c r="T8" i="4"/>
  <c r="AA8" i="5"/>
  <c r="AA17" i="5" s="1"/>
  <c r="AA8" i="9"/>
  <c r="AA8" i="8"/>
  <c r="AA8" i="6"/>
  <c r="AA8" i="7"/>
  <c r="AA8" i="4"/>
  <c r="Z8" i="5"/>
  <c r="Z17" i="5" s="1"/>
  <c r="Z8" i="9"/>
  <c r="Z8" i="8"/>
  <c r="Z8" i="7"/>
  <c r="Z8" i="6"/>
  <c r="Z8" i="4"/>
  <c r="Y8" i="5"/>
  <c r="Y17" i="5" s="1"/>
  <c r="Y8" i="9"/>
  <c r="Y8" i="8"/>
  <c r="Y8" i="6"/>
  <c r="Y8" i="7"/>
  <c r="Y8" i="4"/>
  <c r="X8" i="9"/>
  <c r="X8" i="5"/>
  <c r="X8" i="8"/>
  <c r="X8" i="6"/>
  <c r="X8" i="7"/>
  <c r="X8" i="4"/>
  <c r="W8" i="5"/>
  <c r="W8" i="9"/>
  <c r="W8" i="8"/>
  <c r="W8" i="6"/>
  <c r="W8" i="7"/>
  <c r="W8" i="4"/>
  <c r="V8" i="9"/>
  <c r="V8" i="8"/>
  <c r="V8" i="7"/>
  <c r="V8" i="6"/>
  <c r="V8" i="5"/>
  <c r="V8" i="4"/>
  <c r="U8" i="9"/>
  <c r="U8" i="5"/>
  <c r="U8" i="8"/>
  <c r="U8" i="6"/>
  <c r="U8" i="7"/>
  <c r="U8" i="4"/>
  <c r="I8" i="9"/>
  <c r="I8" i="8"/>
  <c r="I8" i="7"/>
  <c r="I8" i="6"/>
  <c r="I8" i="5"/>
  <c r="I8" i="4"/>
  <c r="H8" i="9"/>
  <c r="H8" i="8"/>
  <c r="H8" i="6"/>
  <c r="H8" i="7"/>
  <c r="H8" i="5"/>
  <c r="H8" i="4"/>
  <c r="G8" i="9"/>
  <c r="G8" i="8"/>
  <c r="G8" i="7"/>
  <c r="G8" i="6"/>
  <c r="G8" i="5"/>
  <c r="G8" i="4"/>
  <c r="F8" i="9"/>
  <c r="F8" i="8"/>
  <c r="F8" i="6"/>
  <c r="F8" i="7"/>
  <c r="F8" i="5"/>
  <c r="F8" i="4"/>
  <c r="E8" i="9"/>
  <c r="E8" i="8"/>
  <c r="E8" i="7"/>
  <c r="E8" i="6"/>
  <c r="E8" i="5"/>
  <c r="E8" i="4"/>
  <c r="D8" i="9"/>
  <c r="D8" i="8"/>
  <c r="D8" i="6"/>
  <c r="D8" i="7"/>
  <c r="D8" i="5"/>
  <c r="D17" i="5" s="1"/>
  <c r="D8" i="4"/>
  <c r="C8" i="9"/>
  <c r="C8" i="8"/>
  <c r="C8" i="7"/>
  <c r="C8" i="6"/>
  <c r="C8" i="5"/>
  <c r="C17" i="5" s="1"/>
  <c r="C8" i="4"/>
  <c r="AF14" i="3"/>
  <c r="AF15" i="3" s="1"/>
  <c r="AE14" i="3"/>
  <c r="AE15" i="3" s="1"/>
  <c r="AD14" i="3"/>
  <c r="AD15" i="3" s="1"/>
  <c r="AA14" i="3"/>
  <c r="AA15" i="3" s="1"/>
  <c r="Z14" i="3"/>
  <c r="Z15" i="3" s="1"/>
  <c r="Y14" i="3"/>
  <c r="Y15" i="3" s="1"/>
  <c r="X14" i="3"/>
  <c r="X15" i="3" s="1"/>
  <c r="W14" i="3"/>
  <c r="W15" i="3" s="1"/>
  <c r="V14" i="3"/>
  <c r="V15" i="3" s="1"/>
  <c r="U14" i="3"/>
  <c r="U15" i="3" s="1"/>
  <c r="T14" i="3"/>
  <c r="T15" i="3" s="1"/>
  <c r="S14" i="3"/>
  <c r="S15" i="3" s="1"/>
  <c r="R14" i="3"/>
  <c r="R15" i="3" s="1"/>
  <c r="Q14" i="3"/>
  <c r="Q15" i="3" s="1"/>
  <c r="P14" i="3"/>
  <c r="P15" i="3" s="1"/>
  <c r="O14" i="3"/>
  <c r="O15" i="3"/>
  <c r="N14" i="3"/>
  <c r="N15" i="3" s="1"/>
  <c r="M14" i="3"/>
  <c r="M15" i="3" s="1"/>
  <c r="L14" i="3"/>
  <c r="L15" i="3" s="1"/>
  <c r="K14" i="3"/>
  <c r="K15" i="3" s="1"/>
  <c r="J14" i="3"/>
  <c r="J15" i="3"/>
  <c r="I14" i="3"/>
  <c r="I15" i="3"/>
  <c r="H14" i="3"/>
  <c r="H15" i="3" s="1"/>
  <c r="G14" i="3"/>
  <c r="G15" i="3" s="1"/>
  <c r="F14" i="3"/>
  <c r="F15" i="3"/>
  <c r="E14" i="3"/>
  <c r="E15" i="3" s="1"/>
  <c r="D14" i="3"/>
  <c r="D15" i="3" s="1"/>
  <c r="AF23" i="5" l="1"/>
  <c r="AF24" i="5"/>
  <c r="AC11" i="4"/>
  <c r="AC12" i="4"/>
  <c r="AC13" i="4"/>
  <c r="AC15" i="4"/>
  <c r="AC19" i="4"/>
  <c r="AC12" i="6"/>
  <c r="AC24" i="6"/>
  <c r="AC11" i="6"/>
  <c r="AC17" i="6"/>
  <c r="AC16" i="7" s="1"/>
  <c r="AE11" i="6"/>
  <c r="AE24" i="6"/>
  <c r="AE12" i="6"/>
  <c r="AE17" i="6"/>
  <c r="AE16" i="7" s="1"/>
  <c r="AE11" i="4"/>
  <c r="AE12" i="4"/>
  <c r="AE13" i="4"/>
  <c r="AE15" i="4"/>
  <c r="AE19" i="4"/>
  <c r="O11" i="6"/>
  <c r="O24" i="6"/>
  <c r="N11" i="4"/>
  <c r="N12" i="4"/>
  <c r="N13" i="4"/>
  <c r="N15" i="4"/>
  <c r="N19" i="4"/>
  <c r="N11" i="6"/>
  <c r="N24" i="6"/>
  <c r="AE24" i="5"/>
  <c r="AE23" i="5"/>
  <c r="AC23" i="5"/>
  <c r="AC24" i="5"/>
  <c r="M13" i="4"/>
  <c r="M14" i="4" s="1"/>
  <c r="M15" i="4"/>
  <c r="M19" i="4"/>
  <c r="M24" i="6"/>
  <c r="M11" i="6"/>
  <c r="L11" i="4"/>
  <c r="L12" i="4"/>
  <c r="L13" i="4"/>
  <c r="L15" i="4"/>
  <c r="L19" i="4"/>
  <c r="L24" i="6"/>
  <c r="L11" i="6"/>
  <c r="K11" i="4"/>
  <c r="K12" i="4"/>
  <c r="K13" i="4"/>
  <c r="K15" i="4"/>
  <c r="K19" i="4"/>
  <c r="K24" i="6"/>
  <c r="K11" i="6"/>
  <c r="J11" i="4"/>
  <c r="J12" i="4"/>
  <c r="J13" i="4"/>
  <c r="J15" i="4"/>
  <c r="J19" i="4"/>
  <c r="J11" i="6"/>
  <c r="J24" i="6"/>
  <c r="AD12" i="6"/>
  <c r="AD17" i="6"/>
  <c r="AD16" i="7" s="1"/>
  <c r="AD24" i="6"/>
  <c r="AD11" i="6"/>
  <c r="R11" i="4"/>
  <c r="R13" i="4"/>
  <c r="R15" i="4"/>
  <c r="R19" i="4"/>
  <c r="R12" i="4"/>
  <c r="R24" i="6"/>
  <c r="R11" i="6"/>
  <c r="AD11" i="4"/>
  <c r="AD12" i="4"/>
  <c r="AD13" i="4"/>
  <c r="AD15" i="4"/>
  <c r="AD19" i="4"/>
  <c r="AD24" i="5"/>
  <c r="AD23" i="5"/>
  <c r="AF11" i="4"/>
  <c r="AF12" i="4"/>
  <c r="AF13" i="4"/>
  <c r="AF15" i="4"/>
  <c r="AF19" i="4"/>
  <c r="AF11" i="6"/>
  <c r="AF12" i="6"/>
  <c r="AF24" i="6"/>
  <c r="AF17" i="6"/>
  <c r="AF16" i="7" s="1"/>
  <c r="AC15" i="3"/>
  <c r="AC16" i="3"/>
  <c r="AB16" i="3"/>
  <c r="AB12" i="9"/>
  <c r="AB21" i="8"/>
  <c r="AF12" i="7"/>
  <c r="AF13" i="8"/>
  <c r="AE12" i="7"/>
  <c r="AE13" i="8"/>
  <c r="S14" i="4"/>
  <c r="S16" i="4" s="1"/>
  <c r="S11" i="8"/>
  <c r="S12" i="7"/>
  <c r="S13" i="8"/>
  <c r="Q14" i="4"/>
  <c r="Q16" i="4" s="1"/>
  <c r="Q11" i="8"/>
  <c r="Q12" i="7"/>
  <c r="Q13" i="8"/>
  <c r="P14" i="4"/>
  <c r="P16" i="4" s="1"/>
  <c r="P11" i="8"/>
  <c r="P12" i="7"/>
  <c r="P13" i="8"/>
  <c r="O14" i="4"/>
  <c r="O16" i="4" s="1"/>
  <c r="O11" i="8"/>
  <c r="O12" i="7"/>
  <c r="O13" i="8"/>
  <c r="N14" i="4"/>
  <c r="N16" i="4" s="1"/>
  <c r="N11" i="8"/>
  <c r="M11" i="8"/>
  <c r="C28" i="3"/>
  <c r="C27" i="2" s="1"/>
  <c r="D27" i="2" s="1"/>
  <c r="C14" i="3"/>
  <c r="C15" i="3" s="1"/>
  <c r="C17" i="9"/>
  <c r="AB23" i="5"/>
  <c r="AB24" i="5"/>
  <c r="AB11" i="6"/>
  <c r="AB24" i="6"/>
  <c r="AB12" i="6"/>
  <c r="AB17" i="6"/>
  <c r="AB16" i="7" s="1"/>
  <c r="AB11" i="4"/>
  <c r="AB12" i="4"/>
  <c r="AB13" i="4"/>
  <c r="AB15" i="4"/>
  <c r="AB19" i="4"/>
  <c r="T11" i="6"/>
  <c r="T24" i="6"/>
  <c r="T11" i="4"/>
  <c r="T12" i="4"/>
  <c r="T13" i="4"/>
  <c r="T15" i="4"/>
  <c r="T19" i="4"/>
  <c r="AA24" i="5"/>
  <c r="AA23" i="5"/>
  <c r="AA12" i="6"/>
  <c r="AA11" i="6"/>
  <c r="AA17" i="6"/>
  <c r="AA16" i="7" s="1"/>
  <c r="AA24" i="6"/>
  <c r="AA11" i="4"/>
  <c r="AA12" i="4"/>
  <c r="AA13" i="4"/>
  <c r="AA15" i="4"/>
  <c r="AA19" i="4"/>
  <c r="Z23" i="5"/>
  <c r="Z24" i="5"/>
  <c r="Z12" i="6"/>
  <c r="Z17" i="6"/>
  <c r="Z16" i="7" s="1"/>
  <c r="Z24" i="6"/>
  <c r="Z11" i="6"/>
  <c r="Z11" i="4"/>
  <c r="Z12" i="4"/>
  <c r="Z13" i="4"/>
  <c r="Z15" i="4"/>
  <c r="Z19" i="4"/>
  <c r="Y23" i="5"/>
  <c r="Y24" i="5"/>
  <c r="Y12" i="6"/>
  <c r="Y17" i="6"/>
  <c r="Y16" i="7" s="1"/>
  <c r="Y11" i="6"/>
  <c r="Y24" i="6"/>
  <c r="Y11" i="4"/>
  <c r="Y12" i="4"/>
  <c r="Y13" i="4"/>
  <c r="Y15" i="4"/>
  <c r="Y19" i="4"/>
  <c r="X11" i="6"/>
  <c r="X24" i="6"/>
  <c r="X11" i="4"/>
  <c r="X12" i="4"/>
  <c r="X13" i="4"/>
  <c r="X15" i="4"/>
  <c r="X19" i="4"/>
  <c r="W11" i="6"/>
  <c r="W24" i="6"/>
  <c r="W11" i="4"/>
  <c r="W12" i="4"/>
  <c r="W13" i="4"/>
  <c r="W15" i="4"/>
  <c r="W19" i="4"/>
  <c r="V11" i="6"/>
  <c r="V24" i="6"/>
  <c r="V11" i="4"/>
  <c r="V12" i="4"/>
  <c r="V13" i="4"/>
  <c r="V15" i="4"/>
  <c r="V19" i="4"/>
  <c r="U11" i="6"/>
  <c r="U24" i="6"/>
  <c r="U11" i="4"/>
  <c r="U12" i="4"/>
  <c r="U13" i="4"/>
  <c r="U15" i="4"/>
  <c r="U19" i="4"/>
  <c r="I24" i="6"/>
  <c r="I11" i="6"/>
  <c r="I11" i="4"/>
  <c r="I12" i="4"/>
  <c r="I13" i="4"/>
  <c r="I15" i="4"/>
  <c r="I19" i="4"/>
  <c r="H11" i="6"/>
  <c r="H24" i="6"/>
  <c r="H11" i="4"/>
  <c r="H12" i="4"/>
  <c r="H13" i="4"/>
  <c r="H15" i="4"/>
  <c r="H19" i="4"/>
  <c r="G24" i="6"/>
  <c r="G11" i="6"/>
  <c r="G11" i="4"/>
  <c r="G12" i="4"/>
  <c r="G13" i="4"/>
  <c r="G15" i="4"/>
  <c r="G19" i="4"/>
  <c r="F24" i="6"/>
  <c r="F11" i="6"/>
  <c r="F11" i="4"/>
  <c r="F12" i="4"/>
  <c r="F13" i="4"/>
  <c r="F15" i="4"/>
  <c r="F19" i="4"/>
  <c r="E24" i="6"/>
  <c r="E11" i="4"/>
  <c r="E12" i="4"/>
  <c r="E13" i="4"/>
  <c r="E15" i="4"/>
  <c r="E19" i="4"/>
  <c r="D12" i="6"/>
  <c r="D11" i="6"/>
  <c r="D17" i="6"/>
  <c r="D16" i="7" s="1"/>
  <c r="D24" i="6"/>
  <c r="D24" i="5"/>
  <c r="D23" i="5"/>
  <c r="D11" i="4"/>
  <c r="D12" i="4"/>
  <c r="D13" i="4"/>
  <c r="D15" i="4"/>
  <c r="D19" i="4"/>
  <c r="C12" i="6"/>
  <c r="C24" i="6"/>
  <c r="C11" i="6"/>
  <c r="C17" i="6"/>
  <c r="C16" i="7" s="1"/>
  <c r="C23" i="5"/>
  <c r="C24" i="5"/>
  <c r="C11" i="4"/>
  <c r="C12" i="4"/>
  <c r="C13" i="4"/>
  <c r="C15" i="4"/>
  <c r="C19" i="4"/>
  <c r="AF21" i="8"/>
  <c r="AF12" i="9"/>
  <c r="AF16" i="3"/>
  <c r="AF18" i="3" s="1"/>
  <c r="AF19" i="3" s="1"/>
  <c r="AE12" i="9"/>
  <c r="AE21" i="8"/>
  <c r="AE16" i="3"/>
  <c r="AD12" i="9"/>
  <c r="AD21" i="8"/>
  <c r="AD16" i="3"/>
  <c r="AA21" i="8"/>
  <c r="AA12" i="9"/>
  <c r="AA16" i="3"/>
  <c r="Z21" i="8"/>
  <c r="Z12" i="9"/>
  <c r="Z16" i="3"/>
  <c r="Y21" i="8"/>
  <c r="Y12" i="9"/>
  <c r="Y16" i="3"/>
  <c r="X21" i="8"/>
  <c r="X12" i="9"/>
  <c r="X16" i="3"/>
  <c r="W21" i="8"/>
  <c r="W12" i="9"/>
  <c r="W16" i="3"/>
  <c r="V21" i="8"/>
  <c r="V12" i="9"/>
  <c r="V16" i="3"/>
  <c r="U16" i="3"/>
  <c r="U21" i="8"/>
  <c r="U12" i="9"/>
  <c r="T12" i="9"/>
  <c r="T21" i="8"/>
  <c r="T16" i="3"/>
  <c r="S21" i="8"/>
  <c r="S12" i="9"/>
  <c r="S16" i="3"/>
  <c r="R12" i="9"/>
  <c r="R21" i="8"/>
  <c r="R16" i="3"/>
  <c r="Q21" i="8"/>
  <c r="Q12" i="9"/>
  <c r="Q16" i="3"/>
  <c r="P21" i="8"/>
  <c r="P12" i="9"/>
  <c r="P16" i="3"/>
  <c r="O16" i="3"/>
  <c r="O12" i="9"/>
  <c r="O21" i="8"/>
  <c r="N16" i="3"/>
  <c r="N21" i="8"/>
  <c r="N12" i="9"/>
  <c r="M21" i="8"/>
  <c r="M12" i="9"/>
  <c r="M16" i="3"/>
  <c r="L21" i="8"/>
  <c r="L12" i="9"/>
  <c r="L16" i="3"/>
  <c r="K12" i="9"/>
  <c r="K21" i="8"/>
  <c r="K16" i="3"/>
  <c r="J16" i="3"/>
  <c r="J21" i="8"/>
  <c r="J12" i="9"/>
  <c r="I16" i="3"/>
  <c r="I21" i="8"/>
  <c r="I12" i="9"/>
  <c r="H21" i="8"/>
  <c r="H12" i="9"/>
  <c r="H16" i="3"/>
  <c r="G16" i="3"/>
  <c r="G12" i="9"/>
  <c r="G21" i="8"/>
  <c r="F16" i="3"/>
  <c r="F12" i="9"/>
  <c r="F21" i="8"/>
  <c r="E21" i="8"/>
  <c r="E12" i="9"/>
  <c r="E16" i="3"/>
  <c r="D12" i="9"/>
  <c r="D21" i="8"/>
  <c r="D16" i="3"/>
  <c r="AF14" i="4" l="1"/>
  <c r="AF16" i="4" s="1"/>
  <c r="AF11" i="8"/>
  <c r="N12" i="7"/>
  <c r="N13" i="8"/>
  <c r="M16" i="4"/>
  <c r="AC14" i="4"/>
  <c r="AC16" i="4" s="1"/>
  <c r="AC11" i="8"/>
  <c r="AC12" i="7"/>
  <c r="AC13" i="8"/>
  <c r="AC14" i="7"/>
  <c r="AC15" i="8"/>
  <c r="AE15" i="8"/>
  <c r="AE14" i="7"/>
  <c r="AE14" i="4"/>
  <c r="AE16" i="4" s="1"/>
  <c r="AE11" i="8"/>
  <c r="M12" i="7"/>
  <c r="M13" i="8"/>
  <c r="L14" i="4"/>
  <c r="L16" i="4" s="1"/>
  <c r="L11" i="8"/>
  <c r="L12" i="7"/>
  <c r="L13" i="8"/>
  <c r="K14" i="4"/>
  <c r="K16" i="4" s="1"/>
  <c r="K11" i="8"/>
  <c r="K12" i="7"/>
  <c r="K13" i="8"/>
  <c r="J14" i="4"/>
  <c r="J16" i="4" s="1"/>
  <c r="J11" i="8"/>
  <c r="J12" i="7"/>
  <c r="J13" i="8"/>
  <c r="R14" i="4"/>
  <c r="R16" i="4" s="1"/>
  <c r="R11" i="8"/>
  <c r="R12" i="7"/>
  <c r="R13" i="8"/>
  <c r="AD14" i="4"/>
  <c r="AD16" i="4" s="1"/>
  <c r="AD12" i="8" s="1"/>
  <c r="AD11" i="8"/>
  <c r="AD12" i="7"/>
  <c r="AD13" i="8"/>
  <c r="AD17" i="3"/>
  <c r="AC18" i="3"/>
  <c r="AC19" i="3" s="1"/>
  <c r="AD14" i="7"/>
  <c r="AD15" i="8"/>
  <c r="AF14" i="7"/>
  <c r="AF15" i="8"/>
  <c r="AC17" i="3"/>
  <c r="AB18" i="3"/>
  <c r="AB19" i="3" s="1"/>
  <c r="AC21" i="8"/>
  <c r="AC12" i="9"/>
  <c r="AC20" i="3"/>
  <c r="AC21" i="3" s="1"/>
  <c r="AB20" i="3"/>
  <c r="AB21" i="3" s="1"/>
  <c r="S20" i="4"/>
  <c r="S21" i="4" s="1"/>
  <c r="S11" i="7"/>
  <c r="S13" i="7" s="1"/>
  <c r="S12" i="8"/>
  <c r="S14" i="8" s="1"/>
  <c r="S30" i="8"/>
  <c r="S31" i="8"/>
  <c r="Q20" i="4"/>
  <c r="Q21" i="4" s="1"/>
  <c r="Q11" i="7"/>
  <c r="Q13" i="7" s="1"/>
  <c r="Q12" i="8"/>
  <c r="Q14" i="8" s="1"/>
  <c r="Q30" i="8"/>
  <c r="Q31" i="8"/>
  <c r="P20" i="4"/>
  <c r="P21" i="4" s="1"/>
  <c r="P11" i="7"/>
  <c r="P13" i="7" s="1"/>
  <c r="P12" i="8"/>
  <c r="P14" i="8" s="1"/>
  <c r="P30" i="8"/>
  <c r="P31" i="8"/>
  <c r="O20" i="4"/>
  <c r="O21" i="4" s="1"/>
  <c r="O11" i="7"/>
  <c r="O13" i="7" s="1"/>
  <c r="O12" i="8"/>
  <c r="O14" i="8" s="1"/>
  <c r="O30" i="8"/>
  <c r="O31" i="8"/>
  <c r="N20" i="4"/>
  <c r="N21" i="4" s="1"/>
  <c r="N11" i="7"/>
  <c r="N12" i="8"/>
  <c r="N30" i="8"/>
  <c r="N31" i="8"/>
  <c r="M30" i="8"/>
  <c r="M31" i="8"/>
  <c r="C12" i="9"/>
  <c r="C21" i="8"/>
  <c r="C16" i="3"/>
  <c r="AB14" i="7"/>
  <c r="AB15" i="8"/>
  <c r="AB14" i="4"/>
  <c r="AB16" i="4" s="1"/>
  <c r="AB11" i="8"/>
  <c r="AB12" i="7"/>
  <c r="AB13" i="8"/>
  <c r="T14" i="4"/>
  <c r="T16" i="4" s="1"/>
  <c r="T11" i="8"/>
  <c r="T12" i="7"/>
  <c r="T13" i="8"/>
  <c r="AA15" i="8"/>
  <c r="AA14" i="7"/>
  <c r="AA14" i="4"/>
  <c r="AA16" i="4" s="1"/>
  <c r="AA11" i="8"/>
  <c r="AA12" i="7"/>
  <c r="AA13" i="8"/>
  <c r="Z14" i="7"/>
  <c r="Z15" i="8"/>
  <c r="Z14" i="4"/>
  <c r="Z16" i="4" s="1"/>
  <c r="Z11" i="8"/>
  <c r="Z12" i="7"/>
  <c r="Z13" i="8"/>
  <c r="Y15" i="8"/>
  <c r="Y14" i="7"/>
  <c r="Y14" i="4"/>
  <c r="Y16" i="4" s="1"/>
  <c r="Y11" i="8"/>
  <c r="Y12" i="7"/>
  <c r="Y13" i="8"/>
  <c r="X14" i="4"/>
  <c r="X16" i="4" s="1"/>
  <c r="X11" i="8"/>
  <c r="X12" i="7"/>
  <c r="X13" i="8"/>
  <c r="W14" i="4"/>
  <c r="W16" i="4" s="1"/>
  <c r="W11" i="8"/>
  <c r="W12" i="7"/>
  <c r="W13" i="8"/>
  <c r="V14" i="4"/>
  <c r="V16" i="4" s="1"/>
  <c r="V11" i="8"/>
  <c r="V12" i="7"/>
  <c r="V13" i="8"/>
  <c r="U14" i="4"/>
  <c r="U16" i="4" s="1"/>
  <c r="U11" i="8"/>
  <c r="U12" i="7"/>
  <c r="U13" i="8"/>
  <c r="I14" i="4"/>
  <c r="I16" i="4" s="1"/>
  <c r="I11" i="8"/>
  <c r="I12" i="7"/>
  <c r="I13" i="8"/>
  <c r="H14" i="4"/>
  <c r="H16" i="4" s="1"/>
  <c r="H11" i="8"/>
  <c r="H12" i="7"/>
  <c r="H13" i="8"/>
  <c r="G14" i="4"/>
  <c r="G16" i="4" s="1"/>
  <c r="G11" i="8"/>
  <c r="G12" i="7"/>
  <c r="G13" i="8"/>
  <c r="F14" i="4"/>
  <c r="F16" i="4" s="1"/>
  <c r="F11" i="8"/>
  <c r="F12" i="7"/>
  <c r="F13" i="8"/>
  <c r="E14" i="4"/>
  <c r="E16" i="4" s="1"/>
  <c r="E11" i="8"/>
  <c r="E12" i="7"/>
  <c r="E13" i="8"/>
  <c r="D15" i="8"/>
  <c r="D14" i="7"/>
  <c r="D14" i="4"/>
  <c r="D16" i="4" s="1"/>
  <c r="D11" i="8"/>
  <c r="D12" i="7"/>
  <c r="D13" i="8"/>
  <c r="C14" i="7"/>
  <c r="C15" i="8"/>
  <c r="C14" i="4"/>
  <c r="C16" i="4" s="1"/>
  <c r="C24" i="4"/>
  <c r="C11" i="8"/>
  <c r="C26" i="4"/>
  <c r="C12" i="7"/>
  <c r="C13" i="8"/>
  <c r="AF20" i="3"/>
  <c r="AF21" i="3" s="1"/>
  <c r="AF17" i="3"/>
  <c r="AE18" i="3"/>
  <c r="AE19" i="3" s="1"/>
  <c r="AE17" i="3"/>
  <c r="AD18" i="3"/>
  <c r="AD19" i="3" s="1"/>
  <c r="AB17" i="3"/>
  <c r="AA18" i="3"/>
  <c r="AA19" i="3" s="1"/>
  <c r="AA17" i="3"/>
  <c r="Z18" i="3"/>
  <c r="Z19" i="3" s="1"/>
  <c r="Z17" i="3"/>
  <c r="Y18" i="3"/>
  <c r="Y19" i="3" s="1"/>
  <c r="Y17" i="3"/>
  <c r="X18" i="3"/>
  <c r="X19" i="3" s="1"/>
  <c r="X17" i="3"/>
  <c r="W18" i="3"/>
  <c r="W19" i="3" s="1"/>
  <c r="W17" i="3"/>
  <c r="V18" i="3"/>
  <c r="V19" i="3" s="1"/>
  <c r="V17" i="3"/>
  <c r="U18" i="3"/>
  <c r="U19" i="3" s="1"/>
  <c r="U17" i="3"/>
  <c r="T18" i="3"/>
  <c r="T19" i="3" s="1"/>
  <c r="T17" i="3"/>
  <c r="S18" i="3"/>
  <c r="S19" i="3" s="1"/>
  <c r="S17" i="3"/>
  <c r="R18" i="3"/>
  <c r="R19" i="3" s="1"/>
  <c r="R17" i="3"/>
  <c r="Q18" i="3"/>
  <c r="Q19" i="3" s="1"/>
  <c r="Q17" i="3"/>
  <c r="P18" i="3"/>
  <c r="P19" i="3" s="1"/>
  <c r="P17" i="3"/>
  <c r="O18" i="3"/>
  <c r="O19" i="3" s="1"/>
  <c r="O17" i="3"/>
  <c r="N18" i="3"/>
  <c r="N19" i="3" s="1"/>
  <c r="N17" i="3"/>
  <c r="M18" i="3"/>
  <c r="M19" i="3" s="1"/>
  <c r="M17" i="3"/>
  <c r="L18" i="3"/>
  <c r="L19" i="3" s="1"/>
  <c r="L17" i="3"/>
  <c r="K18" i="3"/>
  <c r="K19" i="3" s="1"/>
  <c r="K17" i="3"/>
  <c r="J18" i="3"/>
  <c r="J19" i="3" s="1"/>
  <c r="J17" i="3"/>
  <c r="I18" i="3"/>
  <c r="I19" i="3" s="1"/>
  <c r="I17" i="3"/>
  <c r="H18" i="3"/>
  <c r="H19" i="3" s="1"/>
  <c r="H17" i="3"/>
  <c r="G18" i="3"/>
  <c r="G19" i="3" s="1"/>
  <c r="G17" i="3"/>
  <c r="F18" i="3"/>
  <c r="F19" i="3" s="1"/>
  <c r="F17" i="3"/>
  <c r="E18" i="3"/>
  <c r="E19" i="3" s="1"/>
  <c r="E17" i="3"/>
  <c r="D18" i="3"/>
  <c r="D19" i="3" s="1"/>
  <c r="AF11" i="7" l="1"/>
  <c r="AF13" i="7" s="1"/>
  <c r="AF15" i="7" s="1"/>
  <c r="AF17" i="7" s="1"/>
  <c r="AF12" i="8"/>
  <c r="AF14" i="8" s="1"/>
  <c r="AF16" i="8" s="1"/>
  <c r="AF17" i="8" s="1"/>
  <c r="AF18" i="8" s="1"/>
  <c r="AF30" i="8"/>
  <c r="AF31" i="8"/>
  <c r="AC20" i="4"/>
  <c r="AC21" i="4"/>
  <c r="AC11" i="7"/>
  <c r="AC13" i="7" s="1"/>
  <c r="AC15" i="7" s="1"/>
  <c r="AC17" i="7" s="1"/>
  <c r="AC12" i="8"/>
  <c r="AC14" i="8" s="1"/>
  <c r="AC16" i="8" s="1"/>
  <c r="AC17" i="8" s="1"/>
  <c r="AC18" i="8" s="1"/>
  <c r="AC31" i="8"/>
  <c r="AC30" i="8"/>
  <c r="AE20" i="4"/>
  <c r="AE21" i="4"/>
  <c r="AE11" i="7"/>
  <c r="AE13" i="7" s="1"/>
  <c r="AE15" i="7" s="1"/>
  <c r="AE17" i="7" s="1"/>
  <c r="AE12" i="8"/>
  <c r="AE14" i="8" s="1"/>
  <c r="AE16" i="8" s="1"/>
  <c r="AE17" i="8" s="1"/>
  <c r="AE18" i="8" s="1"/>
  <c r="AE30" i="8"/>
  <c r="AE31" i="8"/>
  <c r="N14" i="8"/>
  <c r="N13" i="7"/>
  <c r="AF20" i="4"/>
  <c r="AF21" i="4"/>
  <c r="AD22" i="8"/>
  <c r="AD29" i="8" s="1"/>
  <c r="AD13" i="9"/>
  <c r="AC13" i="9"/>
  <c r="AC22" i="8"/>
  <c r="AC29" i="8" s="1"/>
  <c r="M20" i="4"/>
  <c r="M11" i="7"/>
  <c r="M13" i="7" s="1"/>
  <c r="M12" i="8"/>
  <c r="AD20" i="4"/>
  <c r="AD21" i="4"/>
  <c r="AD11" i="7"/>
  <c r="AD13" i="7"/>
  <c r="AD15" i="7" s="1"/>
  <c r="AD17" i="7" s="1"/>
  <c r="AD14" i="8"/>
  <c r="AD16" i="8" s="1"/>
  <c r="AD17" i="8" s="1"/>
  <c r="AD18" i="8" s="1"/>
  <c r="M14" i="8"/>
  <c r="L20" i="4"/>
  <c r="L12" i="8"/>
  <c r="L14" i="8" s="1"/>
  <c r="L11" i="7"/>
  <c r="L13" i="7" s="1"/>
  <c r="L31" i="8"/>
  <c r="L30" i="8"/>
  <c r="K12" i="8"/>
  <c r="K14" i="8" s="1"/>
  <c r="K20" i="4"/>
  <c r="K11" i="7"/>
  <c r="K13" i="7" s="1"/>
  <c r="K21" i="4"/>
  <c r="K31" i="8"/>
  <c r="K30" i="8"/>
  <c r="J20" i="4"/>
  <c r="J12" i="8"/>
  <c r="J14" i="8" s="1"/>
  <c r="J11" i="7"/>
  <c r="J13" i="7" s="1"/>
  <c r="J30" i="8"/>
  <c r="J31" i="8"/>
  <c r="R20" i="4"/>
  <c r="R11" i="7"/>
  <c r="R13" i="7" s="1"/>
  <c r="R12" i="8"/>
  <c r="R14" i="8" s="1"/>
  <c r="R30" i="8"/>
  <c r="R31" i="8"/>
  <c r="AD30" i="8"/>
  <c r="AD31" i="8"/>
  <c r="C29" i="8"/>
  <c r="AC24" i="3"/>
  <c r="AC12" i="5"/>
  <c r="AC14" i="9" s="1"/>
  <c r="AB24" i="3"/>
  <c r="AB12" i="5"/>
  <c r="AB14" i="9" s="1"/>
  <c r="S15" i="6"/>
  <c r="S11" i="9"/>
  <c r="Q15" i="6"/>
  <c r="Q11" i="9"/>
  <c r="P15" i="6"/>
  <c r="P11" i="9"/>
  <c r="O15" i="6"/>
  <c r="O11" i="9"/>
  <c r="N15" i="6"/>
  <c r="N11" i="9"/>
  <c r="AB20" i="4"/>
  <c r="AB21" i="4"/>
  <c r="AB11" i="7"/>
  <c r="AB13" i="7" s="1"/>
  <c r="AB15" i="7" s="1"/>
  <c r="AB17" i="7" s="1"/>
  <c r="AB12" i="8"/>
  <c r="AB14" i="8" s="1"/>
  <c r="AB30" i="8"/>
  <c r="AB31" i="8"/>
  <c r="T20" i="4"/>
  <c r="T21" i="4" s="1"/>
  <c r="T11" i="7"/>
  <c r="T13" i="7" s="1"/>
  <c r="T12" i="8"/>
  <c r="T14" i="8" s="1"/>
  <c r="T30" i="8"/>
  <c r="T31" i="8"/>
  <c r="AA20" i="4"/>
  <c r="AA21" i="4"/>
  <c r="AA11" i="7"/>
  <c r="AA13" i="7" s="1"/>
  <c r="AA15" i="7" s="1"/>
  <c r="AA17" i="7" s="1"/>
  <c r="AA12" i="8"/>
  <c r="AA14" i="8" s="1"/>
  <c r="AA30" i="8"/>
  <c r="AA31" i="8"/>
  <c r="Z20" i="4"/>
  <c r="Z21" i="4"/>
  <c r="Z11" i="7"/>
  <c r="Z13" i="7" s="1"/>
  <c r="Z15" i="7" s="1"/>
  <c r="Z17" i="7" s="1"/>
  <c r="Z12" i="8"/>
  <c r="Z14" i="8" s="1"/>
  <c r="Z30" i="8"/>
  <c r="Z31" i="8"/>
  <c r="Y20" i="4"/>
  <c r="Y21" i="4"/>
  <c r="Y11" i="7"/>
  <c r="Y13" i="7" s="1"/>
  <c r="Y15" i="7" s="1"/>
  <c r="Y17" i="7" s="1"/>
  <c r="Y12" i="8"/>
  <c r="Y14" i="8" s="1"/>
  <c r="Y30" i="8"/>
  <c r="Y31" i="8"/>
  <c r="X20" i="4"/>
  <c r="X21" i="4"/>
  <c r="X11" i="7"/>
  <c r="X13" i="7" s="1"/>
  <c r="X12" i="8"/>
  <c r="X14" i="8" s="1"/>
  <c r="X30" i="8"/>
  <c r="X31" i="8"/>
  <c r="W20" i="4"/>
  <c r="W21" i="4" s="1"/>
  <c r="W11" i="7"/>
  <c r="W13" i="7" s="1"/>
  <c r="W12" i="8"/>
  <c r="W14" i="8" s="1"/>
  <c r="W30" i="8"/>
  <c r="W31" i="8"/>
  <c r="V20" i="4"/>
  <c r="V21" i="4"/>
  <c r="V11" i="7"/>
  <c r="V13" i="7" s="1"/>
  <c r="V12" i="8"/>
  <c r="V14" i="8" s="1"/>
  <c r="V30" i="8"/>
  <c r="V31" i="8"/>
  <c r="U20" i="4"/>
  <c r="U21" i="4"/>
  <c r="U11" i="7"/>
  <c r="U13" i="7" s="1"/>
  <c r="U12" i="8"/>
  <c r="U14" i="8" s="1"/>
  <c r="U30" i="8"/>
  <c r="U31" i="8"/>
  <c r="I20" i="4"/>
  <c r="I21" i="4" s="1"/>
  <c r="I11" i="7"/>
  <c r="I13" i="7" s="1"/>
  <c r="I12" i="8"/>
  <c r="I14" i="8" s="1"/>
  <c r="I30" i="8"/>
  <c r="I31" i="8"/>
  <c r="H20" i="4"/>
  <c r="H21" i="4" s="1"/>
  <c r="H11" i="7"/>
  <c r="H13" i="7" s="1"/>
  <c r="H12" i="8"/>
  <c r="H14" i="8" s="1"/>
  <c r="H30" i="8"/>
  <c r="H31" i="8"/>
  <c r="G20" i="4"/>
  <c r="G21" i="4" s="1"/>
  <c r="G11" i="7"/>
  <c r="G13" i="7" s="1"/>
  <c r="G12" i="8"/>
  <c r="G14" i="8" s="1"/>
  <c r="G30" i="8"/>
  <c r="G31" i="8"/>
  <c r="F20" i="4"/>
  <c r="F21" i="4" s="1"/>
  <c r="F11" i="7"/>
  <c r="F13" i="7" s="1"/>
  <c r="F12" i="8"/>
  <c r="F14" i="8" s="1"/>
  <c r="F30" i="8"/>
  <c r="F31" i="8"/>
  <c r="E20" i="4"/>
  <c r="E21" i="4" s="1"/>
  <c r="E11" i="7"/>
  <c r="E13" i="7" s="1"/>
  <c r="E12" i="8"/>
  <c r="E14" i="8" s="1"/>
  <c r="E30" i="8"/>
  <c r="E31" i="8"/>
  <c r="D20" i="4"/>
  <c r="D21" i="4"/>
  <c r="D11" i="7"/>
  <c r="D13" i="7" s="1"/>
  <c r="D15" i="7" s="1"/>
  <c r="D17" i="7" s="1"/>
  <c r="D12" i="8"/>
  <c r="D14" i="8" s="1"/>
  <c r="D30" i="8"/>
  <c r="D31" i="8"/>
  <c r="C20" i="4"/>
  <c r="C21" i="4"/>
  <c r="C25" i="4"/>
  <c r="C11" i="7"/>
  <c r="C12" i="8"/>
  <c r="C14" i="8" s="1"/>
  <c r="C30" i="8"/>
  <c r="C31" i="8"/>
  <c r="AF24" i="3"/>
  <c r="AF12" i="5"/>
  <c r="AF14" i="9" s="1"/>
  <c r="AF13" i="9"/>
  <c r="AF22" i="8"/>
  <c r="AF29" i="8" s="1"/>
  <c r="AE20" i="3"/>
  <c r="AE21" i="3" s="1"/>
  <c r="AE13" i="9"/>
  <c r="AE22" i="8"/>
  <c r="AE29" i="8" s="1"/>
  <c r="AD20" i="3"/>
  <c r="AD21" i="3" s="1"/>
  <c r="AB22" i="8"/>
  <c r="AB29" i="8" s="1"/>
  <c r="AB13" i="9"/>
  <c r="AA20" i="3"/>
  <c r="AA21" i="3" s="1"/>
  <c r="AA13" i="9"/>
  <c r="AA22" i="8"/>
  <c r="AA29" i="8" s="1"/>
  <c r="Z20" i="3"/>
  <c r="Z21" i="3" s="1"/>
  <c r="Z22" i="8"/>
  <c r="Z29" i="8" s="1"/>
  <c r="Z13" i="9"/>
  <c r="Y20" i="3"/>
  <c r="Y21" i="3" s="1"/>
  <c r="Y13" i="9"/>
  <c r="Y22" i="8"/>
  <c r="Y29" i="8" s="1"/>
  <c r="X20" i="3"/>
  <c r="X21" i="3" s="1"/>
  <c r="X13" i="9"/>
  <c r="X22" i="8"/>
  <c r="X29" i="8" s="1"/>
  <c r="W20" i="3"/>
  <c r="W21" i="3" s="1"/>
  <c r="W22" i="8"/>
  <c r="W29" i="8" s="1"/>
  <c r="W13" i="9"/>
  <c r="V20" i="3"/>
  <c r="V21" i="3" s="1"/>
  <c r="V13" i="9"/>
  <c r="V22" i="8"/>
  <c r="V29" i="8" s="1"/>
  <c r="U20" i="3"/>
  <c r="U21" i="3" s="1"/>
  <c r="U13" i="9"/>
  <c r="U22" i="8"/>
  <c r="U29" i="8" s="1"/>
  <c r="T20" i="3"/>
  <c r="T21" i="3" s="1"/>
  <c r="T13" i="9"/>
  <c r="T22" i="8"/>
  <c r="T29" i="8" s="1"/>
  <c r="S20" i="3"/>
  <c r="S21" i="3" s="1"/>
  <c r="S13" i="9"/>
  <c r="S22" i="8"/>
  <c r="S29" i="8" s="1"/>
  <c r="R20" i="3"/>
  <c r="R21" i="3" s="1"/>
  <c r="R13" i="9"/>
  <c r="R22" i="8"/>
  <c r="R29" i="8" s="1"/>
  <c r="Q20" i="3"/>
  <c r="Q21" i="3" s="1"/>
  <c r="Q13" i="9"/>
  <c r="Q22" i="8"/>
  <c r="Q29" i="8" s="1"/>
  <c r="P20" i="3"/>
  <c r="P21" i="3" s="1"/>
  <c r="P22" i="8"/>
  <c r="P29" i="8" s="1"/>
  <c r="P13" i="9"/>
  <c r="O20" i="3"/>
  <c r="O21" i="3" s="1"/>
  <c r="O13" i="9"/>
  <c r="O22" i="8"/>
  <c r="O29" i="8" s="1"/>
  <c r="N20" i="3"/>
  <c r="N21" i="3" s="1"/>
  <c r="N22" i="8"/>
  <c r="N29" i="8" s="1"/>
  <c r="N13" i="9"/>
  <c r="M20" i="3"/>
  <c r="M21" i="3" s="1"/>
  <c r="M13" i="9"/>
  <c r="M22" i="8"/>
  <c r="M29" i="8" s="1"/>
  <c r="L20" i="3"/>
  <c r="L21" i="3" s="1"/>
  <c r="L13" i="9"/>
  <c r="L22" i="8"/>
  <c r="L29" i="8" s="1"/>
  <c r="K20" i="3"/>
  <c r="K21" i="3" s="1"/>
  <c r="K13" i="9"/>
  <c r="K22" i="8"/>
  <c r="K29" i="8" s="1"/>
  <c r="J20" i="3"/>
  <c r="J21" i="3" s="1"/>
  <c r="J22" i="8"/>
  <c r="J29" i="8" s="1"/>
  <c r="J13" i="9"/>
  <c r="I20" i="3"/>
  <c r="I21" i="3" s="1"/>
  <c r="I22" i="8"/>
  <c r="I29" i="8" s="1"/>
  <c r="I13" i="9"/>
  <c r="H20" i="3"/>
  <c r="H21" i="3" s="1"/>
  <c r="H13" i="9"/>
  <c r="H22" i="8"/>
  <c r="H29" i="8" s="1"/>
  <c r="G20" i="3"/>
  <c r="G21" i="3" s="1"/>
  <c r="G13" i="9"/>
  <c r="G22" i="8"/>
  <c r="G29" i="8" s="1"/>
  <c r="F20" i="3"/>
  <c r="F21" i="3" s="1"/>
  <c r="F22" i="8"/>
  <c r="F29" i="8" s="1"/>
  <c r="F13" i="9"/>
  <c r="E20" i="3"/>
  <c r="E21" i="3" s="1"/>
  <c r="E13" i="9"/>
  <c r="E22" i="8"/>
  <c r="E29" i="8" s="1"/>
  <c r="D20" i="3"/>
  <c r="D17" i="3"/>
  <c r="C18" i="3"/>
  <c r="C19" i="3" s="1"/>
  <c r="AC15" i="6" l="1"/>
  <c r="AC16" i="6" s="1"/>
  <c r="AC18" i="6" s="1"/>
  <c r="AC11" i="9"/>
  <c r="AE15" i="6"/>
  <c r="AE16" i="6" s="1"/>
  <c r="AE18" i="6" s="1"/>
  <c r="AE20" i="6" s="1"/>
  <c r="AE11" i="9"/>
  <c r="AF11" i="9"/>
  <c r="AF15" i="6"/>
  <c r="AF16" i="6" s="1"/>
  <c r="AF18" i="6" s="1"/>
  <c r="AF20" i="6" s="1"/>
  <c r="M21" i="4"/>
  <c r="M15" i="6"/>
  <c r="M11" i="9"/>
  <c r="AD15" i="6"/>
  <c r="AD16" i="6" s="1"/>
  <c r="AD18" i="6" s="1"/>
  <c r="AD20" i="6" s="1"/>
  <c r="AD11" i="9"/>
  <c r="L21" i="4"/>
  <c r="L15" i="6"/>
  <c r="L11" i="9"/>
  <c r="K15" i="6"/>
  <c r="K11" i="9"/>
  <c r="J21" i="4"/>
  <c r="J15" i="6"/>
  <c r="J11" i="9"/>
  <c r="R21" i="4"/>
  <c r="R15" i="6"/>
  <c r="R11" i="9"/>
  <c r="AF22" i="5"/>
  <c r="AF24" i="8"/>
  <c r="AE24" i="8"/>
  <c r="AE22" i="5"/>
  <c r="AD24" i="8"/>
  <c r="AD22" i="5"/>
  <c r="AC20" i="6"/>
  <c r="AC22" i="5"/>
  <c r="AC24" i="8"/>
  <c r="AB15" i="6"/>
  <c r="AB16" i="6" s="1"/>
  <c r="AB18" i="6" s="1"/>
  <c r="AB11" i="9"/>
  <c r="AB16" i="8"/>
  <c r="AB17" i="8" s="1"/>
  <c r="AB18" i="8" s="1"/>
  <c r="T15" i="6"/>
  <c r="T11" i="9"/>
  <c r="AA15" i="6"/>
  <c r="AA16" i="6" s="1"/>
  <c r="AA18" i="6" s="1"/>
  <c r="AA11" i="9"/>
  <c r="AA16" i="8"/>
  <c r="AA17" i="8" s="1"/>
  <c r="AA18" i="8" s="1"/>
  <c r="Z15" i="6"/>
  <c r="Z16" i="6" s="1"/>
  <c r="Z18" i="6" s="1"/>
  <c r="Z11" i="9"/>
  <c r="Z16" i="8"/>
  <c r="Z17" i="8" s="1"/>
  <c r="Z18" i="8" s="1"/>
  <c r="Y15" i="6"/>
  <c r="Y16" i="6" s="1"/>
  <c r="Y18" i="6" s="1"/>
  <c r="Y11" i="9"/>
  <c r="Y16" i="8"/>
  <c r="Y17" i="8" s="1"/>
  <c r="Y18" i="8" s="1"/>
  <c r="X15" i="6"/>
  <c r="X11" i="9"/>
  <c r="W15" i="6"/>
  <c r="W11" i="9"/>
  <c r="V15" i="6"/>
  <c r="V11" i="9"/>
  <c r="U15" i="6"/>
  <c r="U11" i="9"/>
  <c r="I15" i="6"/>
  <c r="I11" i="9"/>
  <c r="H15" i="6"/>
  <c r="H11" i="9"/>
  <c r="G15" i="6"/>
  <c r="G11" i="9"/>
  <c r="F15" i="6"/>
  <c r="F11" i="9"/>
  <c r="E15" i="6"/>
  <c r="E11" i="9"/>
  <c r="D15" i="6"/>
  <c r="D16" i="6" s="1"/>
  <c r="D18" i="6" s="1"/>
  <c r="D11" i="9"/>
  <c r="D16" i="8"/>
  <c r="D17" i="8" s="1"/>
  <c r="D18" i="8" s="1"/>
  <c r="C27" i="4"/>
  <c r="C15" i="6"/>
  <c r="C16" i="6" s="1"/>
  <c r="C18" i="6" s="1"/>
  <c r="C11" i="9"/>
  <c r="C13" i="7"/>
  <c r="C24" i="7"/>
  <c r="C16" i="8"/>
  <c r="C17" i="8" s="1"/>
  <c r="C18" i="8" s="1"/>
  <c r="AE24" i="3"/>
  <c r="AE12" i="5"/>
  <c r="AE14" i="9" s="1"/>
  <c r="AD24" i="3"/>
  <c r="AD12" i="5"/>
  <c r="AD14" i="9" s="1"/>
  <c r="AA24" i="3"/>
  <c r="AA12" i="5"/>
  <c r="AA14" i="9" s="1"/>
  <c r="Z24" i="3"/>
  <c r="Z12" i="5"/>
  <c r="Z14" i="9" s="1"/>
  <c r="Y24" i="3"/>
  <c r="Y12" i="5"/>
  <c r="Y14" i="9" s="1"/>
  <c r="X24" i="3"/>
  <c r="X12" i="5"/>
  <c r="X14" i="9" s="1"/>
  <c r="W24" i="3"/>
  <c r="W12" i="5"/>
  <c r="W14" i="9" s="1"/>
  <c r="V24" i="3"/>
  <c r="V12" i="5"/>
  <c r="V14" i="9" s="1"/>
  <c r="U24" i="3"/>
  <c r="U12" i="5"/>
  <c r="U14" i="9" s="1"/>
  <c r="T24" i="3"/>
  <c r="T12" i="5"/>
  <c r="T14" i="9" s="1"/>
  <c r="S24" i="3"/>
  <c r="S12" i="5"/>
  <c r="S14" i="9" s="1"/>
  <c r="R24" i="3"/>
  <c r="R12" i="5"/>
  <c r="R14" i="9" s="1"/>
  <c r="Q24" i="3"/>
  <c r="Q12" i="5"/>
  <c r="Q14" i="9" s="1"/>
  <c r="P24" i="3"/>
  <c r="P12" i="5"/>
  <c r="P14" i="9" s="1"/>
  <c r="O24" i="3"/>
  <c r="O12" i="5"/>
  <c r="O14" i="9" s="1"/>
  <c r="N24" i="3"/>
  <c r="N12" i="5"/>
  <c r="N14" i="9" s="1"/>
  <c r="M24" i="3"/>
  <c r="M12" i="5"/>
  <c r="M14" i="9" s="1"/>
  <c r="L24" i="3"/>
  <c r="L12" i="5"/>
  <c r="L14" i="9" s="1"/>
  <c r="K24" i="3"/>
  <c r="K12" i="5"/>
  <c r="K14" i="9" s="1"/>
  <c r="J24" i="3"/>
  <c r="J12" i="5"/>
  <c r="J14" i="9" s="1"/>
  <c r="I24" i="3"/>
  <c r="I12" i="5"/>
  <c r="I14" i="9" s="1"/>
  <c r="H24" i="3"/>
  <c r="H12" i="5"/>
  <c r="H14" i="9" s="1"/>
  <c r="G24" i="3"/>
  <c r="G12" i="5"/>
  <c r="G14" i="9" s="1"/>
  <c r="F24" i="3"/>
  <c r="F12" i="5"/>
  <c r="F14" i="9" s="1"/>
  <c r="E24" i="3"/>
  <c r="E12" i="5"/>
  <c r="E14" i="9" s="1"/>
  <c r="D13" i="9"/>
  <c r="D22" i="8"/>
  <c r="D29" i="8" s="1"/>
  <c r="C20" i="3"/>
  <c r="C21" i="3" s="1"/>
  <c r="D12" i="5"/>
  <c r="D14" i="9" s="1"/>
  <c r="D21" i="3"/>
  <c r="C38" i="8" l="1"/>
  <c r="B14" i="2" s="1"/>
  <c r="C39" i="8"/>
  <c r="E14" i="2" s="1"/>
  <c r="AF44" i="10"/>
  <c r="AF45" i="10"/>
  <c r="AF46" i="10"/>
  <c r="AF47" i="10"/>
  <c r="AF48" i="10"/>
  <c r="AF49" i="10"/>
  <c r="AF50" i="10"/>
  <c r="AF51" i="10"/>
  <c r="AF52" i="10"/>
  <c r="AF53" i="10"/>
  <c r="AF54" i="10"/>
  <c r="AF55" i="10"/>
  <c r="AF41" i="10"/>
  <c r="AF58" i="10"/>
  <c r="AF63" i="10"/>
  <c r="AF64" i="10"/>
  <c r="AF43" i="10"/>
  <c r="AF59" i="10"/>
  <c r="AF62" i="10"/>
  <c r="AF40" i="10"/>
  <c r="AF42" i="10"/>
  <c r="AF56" i="10"/>
  <c r="AF57" i="10"/>
  <c r="AF60" i="10"/>
  <c r="AF61" i="10"/>
  <c r="AF26" i="8"/>
  <c r="AE43" i="10"/>
  <c r="AE60" i="10"/>
  <c r="AE26" i="8"/>
  <c r="AE44" i="10"/>
  <c r="AE45" i="10"/>
  <c r="AE46" i="10"/>
  <c r="AE47" i="10"/>
  <c r="AE48" i="10"/>
  <c r="AE49" i="10"/>
  <c r="AE50" i="10"/>
  <c r="AE51" i="10"/>
  <c r="AE52" i="10"/>
  <c r="AE53" i="10"/>
  <c r="AE54" i="10"/>
  <c r="AE55" i="10"/>
  <c r="AE40" i="10"/>
  <c r="AE42" i="10"/>
  <c r="AE56" i="10"/>
  <c r="AE59" i="10"/>
  <c r="AE61" i="10"/>
  <c r="AE62" i="10"/>
  <c r="AE63" i="10"/>
  <c r="AE64" i="10"/>
  <c r="AE41" i="10"/>
  <c r="AE57" i="10"/>
  <c r="AE58" i="10"/>
  <c r="AD43" i="10"/>
  <c r="AD60" i="10"/>
  <c r="AD61" i="10"/>
  <c r="AD40" i="10"/>
  <c r="AD41" i="10"/>
  <c r="AD42" i="10"/>
  <c r="AD56" i="10"/>
  <c r="AD57" i="10"/>
  <c r="AD59" i="10"/>
  <c r="AD62" i="10"/>
  <c r="AD26" i="8"/>
  <c r="AD44" i="10"/>
  <c r="AD45" i="10"/>
  <c r="AD46" i="10"/>
  <c r="AD47" i="10"/>
  <c r="AD48" i="10"/>
  <c r="AD49" i="10"/>
  <c r="AD50" i="10"/>
  <c r="AD51" i="10"/>
  <c r="AD52" i="10"/>
  <c r="AD53" i="10"/>
  <c r="AD54" i="10"/>
  <c r="AD55" i="10"/>
  <c r="AD58" i="10"/>
  <c r="AD63" i="10"/>
  <c r="AD64" i="10"/>
  <c r="AC42" i="10"/>
  <c r="AC44" i="10"/>
  <c r="AC45" i="10"/>
  <c r="AC46" i="10"/>
  <c r="AC47" i="10"/>
  <c r="AC48" i="10"/>
  <c r="AC49" i="10"/>
  <c r="AC50" i="10"/>
  <c r="AC51" i="10"/>
  <c r="AC52" i="10"/>
  <c r="AC53" i="10"/>
  <c r="AC54" i="10"/>
  <c r="AC55" i="10"/>
  <c r="AC41" i="10"/>
  <c r="AC43" i="10"/>
  <c r="AC56" i="10"/>
  <c r="AC60" i="10"/>
  <c r="AC63" i="10"/>
  <c r="AC64" i="10"/>
  <c r="AC40" i="10"/>
  <c r="AC57" i="10"/>
  <c r="AC59" i="10"/>
  <c r="AC62" i="10"/>
  <c r="AC58" i="10"/>
  <c r="AC61" i="10"/>
  <c r="AC26" i="8"/>
  <c r="AB20" i="6"/>
  <c r="AB22" i="5"/>
  <c r="AB24" i="8"/>
  <c r="AA20" i="6"/>
  <c r="AA22" i="5"/>
  <c r="AA24" i="8"/>
  <c r="Z20" i="6"/>
  <c r="Z24" i="8"/>
  <c r="Z22" i="5"/>
  <c r="Y20" i="6"/>
  <c r="Y24" i="8"/>
  <c r="Y22" i="5"/>
  <c r="D20" i="6"/>
  <c r="D24" i="8"/>
  <c r="D22" i="5"/>
  <c r="C20" i="6"/>
  <c r="C21" i="6"/>
  <c r="C15" i="7"/>
  <c r="C17" i="7" s="1"/>
  <c r="C25" i="7"/>
  <c r="C22" i="5"/>
  <c r="C24" i="8"/>
  <c r="C29" i="3"/>
  <c r="C12" i="5"/>
  <c r="C18" i="7" l="1"/>
  <c r="C23" i="6"/>
  <c r="AB42" i="10"/>
  <c r="AB58" i="10"/>
  <c r="AB59" i="10"/>
  <c r="AB61" i="10"/>
  <c r="AB63" i="10"/>
  <c r="AB64" i="10"/>
  <c r="AB41" i="10"/>
  <c r="AB43" i="10"/>
  <c r="AB62" i="10"/>
  <c r="AB56" i="10"/>
  <c r="AB57" i="10"/>
  <c r="AB60" i="10"/>
  <c r="AB26" i="8"/>
  <c r="AB40" i="10"/>
  <c r="AB44" i="10"/>
  <c r="AB45" i="10"/>
  <c r="AB46" i="10"/>
  <c r="AB47" i="10"/>
  <c r="AB48" i="10"/>
  <c r="AB49" i="10"/>
  <c r="AB50" i="10"/>
  <c r="AB51" i="10"/>
  <c r="AB52" i="10"/>
  <c r="AB53" i="10"/>
  <c r="AB54" i="10"/>
  <c r="AB55" i="10"/>
  <c r="AA26" i="8"/>
  <c r="AA41" i="10"/>
  <c r="AA42" i="10"/>
  <c r="AA45" i="10"/>
  <c r="AA46" i="10"/>
  <c r="AA47" i="10"/>
  <c r="AA48" i="10"/>
  <c r="AA49" i="10"/>
  <c r="AA50" i="10"/>
  <c r="AA51" i="10"/>
  <c r="AA52" i="10"/>
  <c r="AA53" i="10"/>
  <c r="AA54" i="10"/>
  <c r="AA55" i="10"/>
  <c r="AA40" i="10"/>
  <c r="AA44" i="10"/>
  <c r="AA62" i="10"/>
  <c r="AA63" i="10"/>
  <c r="AA64" i="10"/>
  <c r="AA56" i="10"/>
  <c r="AA57" i="10"/>
  <c r="AA58" i="10"/>
  <c r="AA60" i="10"/>
  <c r="AA61" i="10"/>
  <c r="AA43" i="10"/>
  <c r="AA59" i="10"/>
  <c r="Z45" i="10"/>
  <c r="Z46" i="10"/>
  <c r="Z47" i="10"/>
  <c r="Z48" i="10"/>
  <c r="Z49" i="10"/>
  <c r="Z50" i="10"/>
  <c r="Z51" i="10"/>
  <c r="Z52" i="10"/>
  <c r="Z53" i="10"/>
  <c r="Z54" i="10"/>
  <c r="Z55" i="10"/>
  <c r="Z42" i="10"/>
  <c r="Z56" i="10"/>
  <c r="Z58" i="10"/>
  <c r="Z60" i="10"/>
  <c r="Z63" i="10"/>
  <c r="Z64" i="10"/>
  <c r="Z43" i="10"/>
  <c r="Z44" i="10"/>
  <c r="Z59" i="10"/>
  <c r="Z62" i="10"/>
  <c r="Z40" i="10"/>
  <c r="Z41" i="10"/>
  <c r="Z57" i="10"/>
  <c r="Z61" i="10"/>
  <c r="Z26" i="8"/>
  <c r="Y42" i="10"/>
  <c r="Y59" i="10"/>
  <c r="Y60" i="10"/>
  <c r="Y62" i="10"/>
  <c r="Y26" i="8"/>
  <c r="Y44" i="10"/>
  <c r="Y45" i="10"/>
  <c r="Y46" i="10"/>
  <c r="Y47" i="10"/>
  <c r="Y48" i="10"/>
  <c r="Y49" i="10"/>
  <c r="Y50" i="10"/>
  <c r="Y51" i="10"/>
  <c r="Y52" i="10"/>
  <c r="Y53" i="10"/>
  <c r="Y54" i="10"/>
  <c r="Y55" i="10"/>
  <c r="Y41" i="10"/>
  <c r="Y43" i="10"/>
  <c r="Y61" i="10"/>
  <c r="Y63" i="10"/>
  <c r="Y64" i="10"/>
  <c r="Y40" i="10"/>
  <c r="Y56" i="10"/>
  <c r="Y57" i="10"/>
  <c r="Y58" i="10"/>
  <c r="D59" i="10"/>
  <c r="D62" i="10"/>
  <c r="D63" i="10"/>
  <c r="D64" i="10"/>
  <c r="D44" i="10"/>
  <c r="D57" i="10"/>
  <c r="D60" i="10"/>
  <c r="D61" i="10"/>
  <c r="D42" i="10"/>
  <c r="D43" i="10"/>
  <c r="D58" i="10"/>
  <c r="D26" i="8"/>
  <c r="D40" i="10"/>
  <c r="D41" i="10"/>
  <c r="D45" i="10"/>
  <c r="D46" i="10"/>
  <c r="D47" i="10"/>
  <c r="D48" i="10"/>
  <c r="D49" i="10"/>
  <c r="D50" i="10"/>
  <c r="D51" i="10"/>
  <c r="D52" i="10"/>
  <c r="D53" i="10"/>
  <c r="D54" i="10"/>
  <c r="D55" i="10"/>
  <c r="D56" i="10"/>
  <c r="C40" i="10"/>
  <c r="C41" i="10"/>
  <c r="C42" i="10"/>
  <c r="C58" i="10"/>
  <c r="C62" i="10"/>
  <c r="C59" i="10"/>
  <c r="C60" i="10"/>
  <c r="C63" i="10"/>
  <c r="C27" i="8"/>
  <c r="C26" i="8"/>
  <c r="C43" i="10"/>
  <c r="C45" i="10"/>
  <c r="C46" i="10"/>
  <c r="C47" i="10"/>
  <c r="C48" i="10"/>
  <c r="C49" i="10"/>
  <c r="C50" i="10"/>
  <c r="C51" i="10"/>
  <c r="C52" i="10"/>
  <c r="C53" i="10"/>
  <c r="C54" i="10"/>
  <c r="C55" i="10"/>
  <c r="C56" i="10"/>
  <c r="C44" i="10"/>
  <c r="C57" i="10"/>
  <c r="C61" i="10"/>
  <c r="C64" i="10"/>
  <c r="C16" i="5"/>
  <c r="C18" i="5"/>
  <c r="D11" i="5" s="1"/>
  <c r="C28" i="5"/>
  <c r="C28" i="2" s="1"/>
  <c r="D28" i="2" s="1"/>
  <c r="C14" i="9"/>
  <c r="C22" i="6"/>
  <c r="D19" i="6" s="1"/>
  <c r="C25" i="6" l="1"/>
  <c r="C20" i="7" s="1"/>
  <c r="C19" i="7"/>
  <c r="D27" i="8"/>
  <c r="C28" i="8"/>
  <c r="C16" i="9"/>
  <c r="C23" i="3"/>
  <c r="D16" i="5"/>
  <c r="D18" i="5"/>
  <c r="E11" i="5" s="1"/>
  <c r="D21" i="6"/>
  <c r="D22" i="6" s="1"/>
  <c r="E19" i="6" s="1"/>
  <c r="C26" i="6" l="1"/>
  <c r="C18" i="9"/>
  <c r="C20" i="9" s="1"/>
  <c r="C21" i="7"/>
  <c r="D28" i="8"/>
  <c r="C24" i="3"/>
  <c r="D23" i="3"/>
  <c r="L12" i="6" s="1"/>
  <c r="D16" i="9"/>
  <c r="E16" i="5"/>
  <c r="E15" i="5" s="1"/>
  <c r="E18" i="5" s="1"/>
  <c r="F11" i="5" s="1"/>
  <c r="D23" i="6"/>
  <c r="D18" i="7"/>
  <c r="C81" i="10" l="1"/>
  <c r="C80" i="10"/>
  <c r="C79" i="10"/>
  <c r="C23" i="9"/>
  <c r="C24" i="9" s="1"/>
  <c r="C78" i="10"/>
  <c r="C77" i="10"/>
  <c r="C86" i="10"/>
  <c r="C85" i="10"/>
  <c r="C84" i="10"/>
  <c r="C83" i="10"/>
  <c r="C82" i="10"/>
  <c r="C75" i="10"/>
  <c r="C74" i="10"/>
  <c r="C73" i="10"/>
  <c r="C72" i="10"/>
  <c r="C71" i="10"/>
  <c r="C94" i="10"/>
  <c r="C93" i="10"/>
  <c r="C92" i="10"/>
  <c r="C91" i="10"/>
  <c r="C90" i="10"/>
  <c r="C89" i="10"/>
  <c r="C88" i="10"/>
  <c r="C87" i="10"/>
  <c r="C22" i="9"/>
  <c r="C76" i="10"/>
  <c r="C70" i="10"/>
  <c r="O12" i="6"/>
  <c r="M12" i="6"/>
  <c r="L16" i="6"/>
  <c r="L14" i="7"/>
  <c r="L15" i="7" s="1"/>
  <c r="L15" i="8"/>
  <c r="L16" i="8" s="1"/>
  <c r="L17" i="8" s="1"/>
  <c r="L18" i="8" s="1"/>
  <c r="E17" i="5"/>
  <c r="E17" i="9"/>
  <c r="E17" i="6"/>
  <c r="E16" i="7" s="1"/>
  <c r="E16" i="9"/>
  <c r="F16" i="5"/>
  <c r="F15" i="5" s="1"/>
  <c r="D19" i="7"/>
  <c r="D25" i="6"/>
  <c r="D24" i="3"/>
  <c r="E11" i="6"/>
  <c r="E12" i="6"/>
  <c r="F12" i="6"/>
  <c r="G12" i="6"/>
  <c r="H12" i="6"/>
  <c r="I12" i="6"/>
  <c r="U12" i="6"/>
  <c r="V12" i="6"/>
  <c r="W12" i="6"/>
  <c r="X12" i="6"/>
  <c r="T12" i="6"/>
  <c r="P12" i="6"/>
  <c r="R12" i="6"/>
  <c r="S12" i="6"/>
  <c r="J12" i="6"/>
  <c r="K12" i="6"/>
  <c r="Q12" i="6"/>
  <c r="N12" i="6"/>
  <c r="C30" i="3"/>
  <c r="O14" i="7" l="1"/>
  <c r="O15" i="7" s="1"/>
  <c r="O15" i="8"/>
  <c r="O16" i="8" s="1"/>
  <c r="O17" i="8" s="1"/>
  <c r="O18" i="8" s="1"/>
  <c r="O16" i="6"/>
  <c r="M14" i="7"/>
  <c r="M15" i="7" s="1"/>
  <c r="M16" i="6"/>
  <c r="M15" i="8"/>
  <c r="M16" i="8" s="1"/>
  <c r="M17" i="8" s="1"/>
  <c r="M18" i="8" s="1"/>
  <c r="L24" i="8"/>
  <c r="L22" i="5"/>
  <c r="L25" i="5" s="1"/>
  <c r="F17" i="5"/>
  <c r="F17" i="9"/>
  <c r="F17" i="6"/>
  <c r="F16" i="7" s="1"/>
  <c r="F16" i="9"/>
  <c r="D26" i="6"/>
  <c r="D20" i="7"/>
  <c r="D18" i="9"/>
  <c r="D20" i="9" s="1"/>
  <c r="E14" i="7"/>
  <c r="E15" i="7" s="1"/>
  <c r="E17" i="7" s="1"/>
  <c r="E15" i="8"/>
  <c r="E16" i="8" s="1"/>
  <c r="E17" i="8" s="1"/>
  <c r="E18" i="8" s="1"/>
  <c r="E16" i="6"/>
  <c r="E18" i="6" s="1"/>
  <c r="F14" i="7"/>
  <c r="F15" i="7" s="1"/>
  <c r="F15" i="8"/>
  <c r="F16" i="8" s="1"/>
  <c r="F17" i="8" s="1"/>
  <c r="F18" i="8" s="1"/>
  <c r="F16" i="6"/>
  <c r="G14" i="7"/>
  <c r="G15" i="7" s="1"/>
  <c r="G15" i="8"/>
  <c r="G16" i="8" s="1"/>
  <c r="G17" i="8" s="1"/>
  <c r="G18" i="8" s="1"/>
  <c r="G16" i="6"/>
  <c r="H14" i="7"/>
  <c r="H15" i="7" s="1"/>
  <c r="H15" i="8"/>
  <c r="H16" i="8" s="1"/>
  <c r="H17" i="8" s="1"/>
  <c r="H18" i="8" s="1"/>
  <c r="H16" i="6"/>
  <c r="I15" i="8"/>
  <c r="I16" i="8" s="1"/>
  <c r="I17" i="8" s="1"/>
  <c r="I18" i="8" s="1"/>
  <c r="I14" i="7"/>
  <c r="I15" i="7" s="1"/>
  <c r="I16" i="6"/>
  <c r="U14" i="7"/>
  <c r="U15" i="7" s="1"/>
  <c r="U15" i="8"/>
  <c r="U16" i="8" s="1"/>
  <c r="U17" i="8" s="1"/>
  <c r="U18" i="8" s="1"/>
  <c r="U16" i="6"/>
  <c r="V15" i="8"/>
  <c r="V16" i="8" s="1"/>
  <c r="V17" i="8" s="1"/>
  <c r="V18" i="8" s="1"/>
  <c r="V14" i="7"/>
  <c r="V15" i="7" s="1"/>
  <c r="V16" i="6"/>
  <c r="W14" i="7"/>
  <c r="W15" i="7" s="1"/>
  <c r="W15" i="8"/>
  <c r="W16" i="8" s="1"/>
  <c r="W17" i="8" s="1"/>
  <c r="W18" i="8" s="1"/>
  <c r="W16" i="6"/>
  <c r="X14" i="7"/>
  <c r="X15" i="7" s="1"/>
  <c r="X15" i="8"/>
  <c r="X16" i="8" s="1"/>
  <c r="X17" i="8" s="1"/>
  <c r="X18" i="8" s="1"/>
  <c r="X16" i="6"/>
  <c r="T14" i="7"/>
  <c r="T15" i="7" s="1"/>
  <c r="T15" i="8"/>
  <c r="T16" i="8" s="1"/>
  <c r="T17" i="8" s="1"/>
  <c r="T18" i="8" s="1"/>
  <c r="T16" i="6"/>
  <c r="P14" i="7"/>
  <c r="P15" i="7" s="1"/>
  <c r="P15" i="8"/>
  <c r="P16" i="8" s="1"/>
  <c r="P17" i="8" s="1"/>
  <c r="P18" i="8" s="1"/>
  <c r="P16" i="6"/>
  <c r="R15" i="8"/>
  <c r="R16" i="8" s="1"/>
  <c r="R17" i="8" s="1"/>
  <c r="R18" i="8" s="1"/>
  <c r="R14" i="7"/>
  <c r="R15" i="7" s="1"/>
  <c r="R16" i="6"/>
  <c r="S14" i="7"/>
  <c r="S15" i="7" s="1"/>
  <c r="S15" i="8"/>
  <c r="S16" i="8" s="1"/>
  <c r="S17" i="8" s="1"/>
  <c r="S18" i="8" s="1"/>
  <c r="S16" i="6"/>
  <c r="J14" i="7"/>
  <c r="J15" i="7" s="1"/>
  <c r="J15" i="8"/>
  <c r="J16" i="8" s="1"/>
  <c r="J17" i="8" s="1"/>
  <c r="J18" i="8" s="1"/>
  <c r="J16" i="6"/>
  <c r="K14" i="7"/>
  <c r="K15" i="7" s="1"/>
  <c r="K15" i="8"/>
  <c r="K16" i="8" s="1"/>
  <c r="K17" i="8" s="1"/>
  <c r="K18" i="8" s="1"/>
  <c r="K16" i="6"/>
  <c r="Q14" i="7"/>
  <c r="Q15" i="7" s="1"/>
  <c r="Q15" i="8"/>
  <c r="Q16" i="8" s="1"/>
  <c r="Q17" i="8" s="1"/>
  <c r="Q18" i="8" s="1"/>
  <c r="Q16" i="6"/>
  <c r="N14" i="7"/>
  <c r="N15" i="7" s="1"/>
  <c r="N15" i="8"/>
  <c r="N16" i="8" s="1"/>
  <c r="N17" i="8" s="1"/>
  <c r="N18" i="8" s="1"/>
  <c r="N16" i="6"/>
  <c r="F18" i="5"/>
  <c r="G11" i="5" s="1"/>
  <c r="M22" i="5" l="1"/>
  <c r="M25" i="5" s="1"/>
  <c r="M24" i="8"/>
  <c r="O22" i="5"/>
  <c r="O25" i="5" s="1"/>
  <c r="O24" i="8"/>
  <c r="O43" i="10" s="1"/>
  <c r="L43" i="10"/>
  <c r="L44" i="10"/>
  <c r="L56" i="10"/>
  <c r="L60" i="10"/>
  <c r="L63" i="10"/>
  <c r="L40" i="10"/>
  <c r="L57" i="10"/>
  <c r="L58" i="10"/>
  <c r="L61" i="10"/>
  <c r="L26" i="8"/>
  <c r="L41" i="10"/>
  <c r="L45" i="10"/>
  <c r="L46" i="10"/>
  <c r="L47" i="10"/>
  <c r="L48" i="10"/>
  <c r="L49" i="10"/>
  <c r="L50" i="10"/>
  <c r="L51" i="10"/>
  <c r="L52" i="10"/>
  <c r="L53" i="10"/>
  <c r="L54" i="10"/>
  <c r="L55" i="10"/>
  <c r="L42" i="10"/>
  <c r="L59" i="10"/>
  <c r="L62" i="10"/>
  <c r="L64" i="10"/>
  <c r="D21" i="7"/>
  <c r="D23" i="9"/>
  <c r="D22" i="9"/>
  <c r="D70" i="10"/>
  <c r="D71" i="10"/>
  <c r="D72" i="10"/>
  <c r="D73" i="10"/>
  <c r="D74" i="10"/>
  <c r="D75" i="10"/>
  <c r="D76" i="10"/>
  <c r="D77" i="10"/>
  <c r="D78" i="10"/>
  <c r="D79" i="10"/>
  <c r="D80" i="10"/>
  <c r="D81" i="10"/>
  <c r="D82" i="10"/>
  <c r="D83" i="10"/>
  <c r="D84" i="10"/>
  <c r="D85" i="10"/>
  <c r="D86" i="10"/>
  <c r="D87" i="10"/>
  <c r="D88" i="10"/>
  <c r="D89" i="10"/>
  <c r="D90" i="10"/>
  <c r="D91" i="10"/>
  <c r="D92" i="10"/>
  <c r="D93" i="10"/>
  <c r="D94" i="10"/>
  <c r="E24" i="8"/>
  <c r="E22" i="5"/>
  <c r="E21" i="6"/>
  <c r="E20" i="6"/>
  <c r="F24" i="8"/>
  <c r="F22" i="5"/>
  <c r="G22" i="5"/>
  <c r="G25" i="5" s="1"/>
  <c r="G24" i="8"/>
  <c r="H24" i="8"/>
  <c r="H22" i="5"/>
  <c r="H25" i="5" s="1"/>
  <c r="I22" i="5"/>
  <c r="I25" i="5" s="1"/>
  <c r="I24" i="8"/>
  <c r="U22" i="5"/>
  <c r="U24" i="8"/>
  <c r="V24" i="8"/>
  <c r="V22" i="5"/>
  <c r="W22" i="5"/>
  <c r="W24" i="8"/>
  <c r="X24" i="8"/>
  <c r="X22" i="5"/>
  <c r="T22" i="5"/>
  <c r="T25" i="5" s="1"/>
  <c r="T24" i="8"/>
  <c r="P22" i="5"/>
  <c r="P25" i="5" s="1"/>
  <c r="P24" i="8"/>
  <c r="R22" i="5"/>
  <c r="R25" i="5" s="1"/>
  <c r="R24" i="8"/>
  <c r="S22" i="5"/>
  <c r="S25" i="5" s="1"/>
  <c r="S24" i="8"/>
  <c r="J22" i="5"/>
  <c r="J25" i="5" s="1"/>
  <c r="J24" i="8"/>
  <c r="K22" i="5"/>
  <c r="K25" i="5" s="1"/>
  <c r="K24" i="8"/>
  <c r="Q24" i="8"/>
  <c r="Q22" i="5"/>
  <c r="Q25" i="5" s="1"/>
  <c r="N24" i="8"/>
  <c r="N22" i="5"/>
  <c r="N25" i="5" s="1"/>
  <c r="G16" i="5"/>
  <c r="G15" i="5"/>
  <c r="G18" i="5" s="1"/>
  <c r="H11" i="5" s="1"/>
  <c r="F17" i="7"/>
  <c r="F18" i="6"/>
  <c r="M58" i="10" l="1"/>
  <c r="M60" i="10"/>
  <c r="M61" i="10"/>
  <c r="M64" i="10"/>
  <c r="M41" i="10"/>
  <c r="M57" i="10"/>
  <c r="M59" i="10"/>
  <c r="M62" i="10"/>
  <c r="M56" i="10"/>
  <c r="M63" i="10"/>
  <c r="M26" i="8"/>
  <c r="M40" i="10"/>
  <c r="M42" i="10"/>
  <c r="M43" i="10"/>
  <c r="M44" i="10"/>
  <c r="M45" i="10"/>
  <c r="M46" i="10"/>
  <c r="M47" i="10"/>
  <c r="M48" i="10"/>
  <c r="M49" i="10"/>
  <c r="M50" i="10"/>
  <c r="M51" i="10"/>
  <c r="M52" i="10"/>
  <c r="M53" i="10"/>
  <c r="M54" i="10"/>
  <c r="M55" i="10"/>
  <c r="O45" i="10"/>
  <c r="O46" i="10"/>
  <c r="O47" i="10"/>
  <c r="O48" i="10"/>
  <c r="O49" i="10"/>
  <c r="O50" i="10"/>
  <c r="O51" i="10"/>
  <c r="O52" i="10"/>
  <c r="O53" i="10"/>
  <c r="O54" i="10"/>
  <c r="O41" i="10"/>
  <c r="O44" i="10"/>
  <c r="O56" i="10"/>
  <c r="O59" i="10"/>
  <c r="O55" i="10"/>
  <c r="O26" i="8"/>
  <c r="O42" i="10"/>
  <c r="O60" i="10"/>
  <c r="O61" i="10"/>
  <c r="O62" i="10"/>
  <c r="O63" i="10"/>
  <c r="O64" i="10"/>
  <c r="O58" i="10"/>
  <c r="O40" i="10"/>
  <c r="O57" i="10"/>
  <c r="E22" i="6"/>
  <c r="F19" i="6" s="1"/>
  <c r="F21" i="6" s="1"/>
  <c r="F25" i="5"/>
  <c r="F23" i="5"/>
  <c r="F24" i="5" s="1"/>
  <c r="D24" i="9"/>
  <c r="E27" i="8"/>
  <c r="C34" i="8"/>
  <c r="B11" i="2" s="1"/>
  <c r="C30" i="2"/>
  <c r="D30" i="2" s="1"/>
  <c r="E42" i="10"/>
  <c r="E45" i="10"/>
  <c r="E46" i="10"/>
  <c r="E47" i="10"/>
  <c r="E48" i="10"/>
  <c r="E49" i="10"/>
  <c r="E50" i="10"/>
  <c r="E51" i="10"/>
  <c r="E52" i="10"/>
  <c r="E53" i="10"/>
  <c r="E54" i="10"/>
  <c r="E55" i="10"/>
  <c r="E43" i="10"/>
  <c r="E44" i="10"/>
  <c r="E60" i="10"/>
  <c r="E61" i="10"/>
  <c r="E64" i="10"/>
  <c r="E40" i="10"/>
  <c r="E41" i="10"/>
  <c r="E58" i="10"/>
  <c r="E59" i="10"/>
  <c r="E63" i="10"/>
  <c r="E56" i="10"/>
  <c r="E57" i="10"/>
  <c r="E62" i="10"/>
  <c r="E26" i="8"/>
  <c r="E23" i="5"/>
  <c r="E24" i="5" s="1"/>
  <c r="E25" i="5"/>
  <c r="F26" i="8"/>
  <c r="F43" i="10"/>
  <c r="F45" i="10"/>
  <c r="F46" i="10"/>
  <c r="F47" i="10"/>
  <c r="F48" i="10"/>
  <c r="F49" i="10"/>
  <c r="F50" i="10"/>
  <c r="F51" i="10"/>
  <c r="F52" i="10"/>
  <c r="F53" i="10"/>
  <c r="F54" i="10"/>
  <c r="F55" i="10"/>
  <c r="F40" i="10"/>
  <c r="F41" i="10"/>
  <c r="F56" i="10"/>
  <c r="F57" i="10"/>
  <c r="F59" i="10"/>
  <c r="F64" i="10"/>
  <c r="F44" i="10"/>
  <c r="F62" i="10"/>
  <c r="F42" i="10"/>
  <c r="F58" i="10"/>
  <c r="F60" i="10"/>
  <c r="F61" i="10"/>
  <c r="F63" i="10"/>
  <c r="G56" i="10"/>
  <c r="G59" i="10"/>
  <c r="G62" i="10"/>
  <c r="G26" i="8"/>
  <c r="G45" i="10"/>
  <c r="G46" i="10"/>
  <c r="G47" i="10"/>
  <c r="G48" i="10"/>
  <c r="G49" i="10"/>
  <c r="G50" i="10"/>
  <c r="G51" i="10"/>
  <c r="G52" i="10"/>
  <c r="G53" i="10"/>
  <c r="G54" i="10"/>
  <c r="G55" i="10"/>
  <c r="G43" i="10"/>
  <c r="G44" i="10"/>
  <c r="G60" i="10"/>
  <c r="G63" i="10"/>
  <c r="G64" i="10"/>
  <c r="G40" i="10"/>
  <c r="G41" i="10"/>
  <c r="G42" i="10"/>
  <c r="G57" i="10"/>
  <c r="G58" i="10"/>
  <c r="G61" i="10"/>
  <c r="H40" i="10"/>
  <c r="H45" i="10"/>
  <c r="H46" i="10"/>
  <c r="H47" i="10"/>
  <c r="H48" i="10"/>
  <c r="H49" i="10"/>
  <c r="H50" i="10"/>
  <c r="H51" i="10"/>
  <c r="H52" i="10"/>
  <c r="H53" i="10"/>
  <c r="H54" i="10"/>
  <c r="H55" i="10"/>
  <c r="H56" i="10"/>
  <c r="H59" i="10"/>
  <c r="H64" i="10"/>
  <c r="H44" i="10"/>
  <c r="H62" i="10"/>
  <c r="H41" i="10"/>
  <c r="H42" i="10"/>
  <c r="H43" i="10"/>
  <c r="H57" i="10"/>
  <c r="H58" i="10"/>
  <c r="H60" i="10"/>
  <c r="H61" i="10"/>
  <c r="H63" i="10"/>
  <c r="H26" i="8"/>
  <c r="I44" i="10"/>
  <c r="I45" i="10"/>
  <c r="I46" i="10"/>
  <c r="I47" i="10"/>
  <c r="I48" i="10"/>
  <c r="I49" i="10"/>
  <c r="I50" i="10"/>
  <c r="I51" i="10"/>
  <c r="I52" i="10"/>
  <c r="I53" i="10"/>
  <c r="I54" i="10"/>
  <c r="I55" i="10"/>
  <c r="I41" i="10"/>
  <c r="I43" i="10"/>
  <c r="I62" i="10"/>
  <c r="I63" i="10"/>
  <c r="I64" i="10"/>
  <c r="I42" i="10"/>
  <c r="I56" i="10"/>
  <c r="I57" i="10"/>
  <c r="I58" i="10"/>
  <c r="I59" i="10"/>
  <c r="I60" i="10"/>
  <c r="I61" i="10"/>
  <c r="I40" i="10"/>
  <c r="I26" i="8"/>
  <c r="U42" i="10"/>
  <c r="U43" i="10"/>
  <c r="U60" i="10"/>
  <c r="U26" i="8"/>
  <c r="U44" i="10"/>
  <c r="U45" i="10"/>
  <c r="U46" i="10"/>
  <c r="U47" i="10"/>
  <c r="U48" i="10"/>
  <c r="U49" i="10"/>
  <c r="U50" i="10"/>
  <c r="U51" i="10"/>
  <c r="U52" i="10"/>
  <c r="U53" i="10"/>
  <c r="U54" i="10"/>
  <c r="U55" i="10"/>
  <c r="U40" i="10"/>
  <c r="U41" i="10"/>
  <c r="U58" i="10"/>
  <c r="U61" i="10"/>
  <c r="U62" i="10"/>
  <c r="U63" i="10"/>
  <c r="U64" i="10"/>
  <c r="U56" i="10"/>
  <c r="U57" i="10"/>
  <c r="U59" i="10"/>
  <c r="V26" i="8"/>
  <c r="V42" i="10"/>
  <c r="V45" i="10"/>
  <c r="V46" i="10"/>
  <c r="V47" i="10"/>
  <c r="V48" i="10"/>
  <c r="V49" i="10"/>
  <c r="V50" i="10"/>
  <c r="V51" i="10"/>
  <c r="V52" i="10"/>
  <c r="V53" i="10"/>
  <c r="V54" i="10"/>
  <c r="V55" i="10"/>
  <c r="V60" i="10"/>
  <c r="V63" i="10"/>
  <c r="V64" i="10"/>
  <c r="V40" i="10"/>
  <c r="V41" i="10"/>
  <c r="V43" i="10"/>
  <c r="V44" i="10"/>
  <c r="V56" i="10"/>
  <c r="V57" i="10"/>
  <c r="V58" i="10"/>
  <c r="V59" i="10"/>
  <c r="V61" i="10"/>
  <c r="V62" i="10"/>
  <c r="W40" i="10"/>
  <c r="W41" i="10"/>
  <c r="W45" i="10"/>
  <c r="W46" i="10"/>
  <c r="W47" i="10"/>
  <c r="W48" i="10"/>
  <c r="W49" i="10"/>
  <c r="W50" i="10"/>
  <c r="W51" i="10"/>
  <c r="W52" i="10"/>
  <c r="W53" i="10"/>
  <c r="W54" i="10"/>
  <c r="W55" i="10"/>
  <c r="W43" i="10"/>
  <c r="W44" i="10"/>
  <c r="W59" i="10"/>
  <c r="W61" i="10"/>
  <c r="W63" i="10"/>
  <c r="W64" i="10"/>
  <c r="W57" i="10"/>
  <c r="W58" i="10"/>
  <c r="W60" i="10"/>
  <c r="W62" i="10"/>
  <c r="W42" i="10"/>
  <c r="W56" i="10"/>
  <c r="W26" i="8"/>
  <c r="X45" i="10"/>
  <c r="X46" i="10"/>
  <c r="X47" i="10"/>
  <c r="X48" i="10"/>
  <c r="X49" i="10"/>
  <c r="X50" i="10"/>
  <c r="X51" i="10"/>
  <c r="X52" i="10"/>
  <c r="X53" i="10"/>
  <c r="X54" i="10"/>
  <c r="X55" i="10"/>
  <c r="X40" i="10"/>
  <c r="X42" i="10"/>
  <c r="X56" i="10"/>
  <c r="X60" i="10"/>
  <c r="X62" i="10"/>
  <c r="X63" i="10"/>
  <c r="X64" i="10"/>
  <c r="X44" i="10"/>
  <c r="X59" i="10"/>
  <c r="X61" i="10"/>
  <c r="X41" i="10"/>
  <c r="X43" i="10"/>
  <c r="X57" i="10"/>
  <c r="X58" i="10"/>
  <c r="X26" i="8"/>
  <c r="T42" i="10"/>
  <c r="T56" i="10"/>
  <c r="T63" i="10"/>
  <c r="T64" i="10"/>
  <c r="T43" i="10"/>
  <c r="T44" i="10"/>
  <c r="T60" i="10"/>
  <c r="T61" i="10"/>
  <c r="T40" i="10"/>
  <c r="T41" i="10"/>
  <c r="T57" i="10"/>
  <c r="T58" i="10"/>
  <c r="T59" i="10"/>
  <c r="T62" i="10"/>
  <c r="T26" i="8"/>
  <c r="T45" i="10"/>
  <c r="T46" i="10"/>
  <c r="T47" i="10"/>
  <c r="T48" i="10"/>
  <c r="T49" i="10"/>
  <c r="T50" i="10"/>
  <c r="T51" i="10"/>
  <c r="T52" i="10"/>
  <c r="T53" i="10"/>
  <c r="T54" i="10"/>
  <c r="T55" i="10"/>
  <c r="P40" i="10"/>
  <c r="P43" i="10"/>
  <c r="P57" i="10"/>
  <c r="P59" i="10"/>
  <c r="P41" i="10"/>
  <c r="P56" i="10"/>
  <c r="P60" i="10"/>
  <c r="P61" i="10"/>
  <c r="P62" i="10"/>
  <c r="P26" i="8"/>
  <c r="P45" i="10"/>
  <c r="P46" i="10"/>
  <c r="P47" i="10"/>
  <c r="P48" i="10"/>
  <c r="P49" i="10"/>
  <c r="P50" i="10"/>
  <c r="P51" i="10"/>
  <c r="P52" i="10"/>
  <c r="P53" i="10"/>
  <c r="P54" i="10"/>
  <c r="P55" i="10"/>
  <c r="P42" i="10"/>
  <c r="P44" i="10"/>
  <c r="P58" i="10"/>
  <c r="P63" i="10"/>
  <c r="P64" i="10"/>
  <c r="R45" i="10"/>
  <c r="R46" i="10"/>
  <c r="R47" i="10"/>
  <c r="R48" i="10"/>
  <c r="R49" i="10"/>
  <c r="R50" i="10"/>
  <c r="R51" i="10"/>
  <c r="R52" i="10"/>
  <c r="R53" i="10"/>
  <c r="R54" i="10"/>
  <c r="R55" i="10"/>
  <c r="R41" i="10"/>
  <c r="R42" i="10"/>
  <c r="R58" i="10"/>
  <c r="R59" i="10"/>
  <c r="R61" i="10"/>
  <c r="R63" i="10"/>
  <c r="R64" i="10"/>
  <c r="R40" i="10"/>
  <c r="R43" i="10"/>
  <c r="R44" i="10"/>
  <c r="R57" i="10"/>
  <c r="R56" i="10"/>
  <c r="R60" i="10"/>
  <c r="R62" i="10"/>
  <c r="R26" i="8"/>
  <c r="S41" i="10"/>
  <c r="S56" i="10"/>
  <c r="S57" i="10"/>
  <c r="S58" i="10"/>
  <c r="S59" i="10"/>
  <c r="S61" i="10"/>
  <c r="S26" i="8"/>
  <c r="S42" i="10"/>
  <c r="S45" i="10"/>
  <c r="S46" i="10"/>
  <c r="S47" i="10"/>
  <c r="S48" i="10"/>
  <c r="S49" i="10"/>
  <c r="S50" i="10"/>
  <c r="S51" i="10"/>
  <c r="S52" i="10"/>
  <c r="S53" i="10"/>
  <c r="S54" i="10"/>
  <c r="S55" i="10"/>
  <c r="S40" i="10"/>
  <c r="S43" i="10"/>
  <c r="S44" i="10"/>
  <c r="S60" i="10"/>
  <c r="S62" i="10"/>
  <c r="S63" i="10"/>
  <c r="S64" i="10"/>
  <c r="J40" i="10"/>
  <c r="J44" i="10"/>
  <c r="J41" i="10"/>
  <c r="J56" i="10"/>
  <c r="J57" i="10"/>
  <c r="J58" i="10"/>
  <c r="J59" i="10"/>
  <c r="J62" i="10"/>
  <c r="J63" i="10"/>
  <c r="J26" i="8"/>
  <c r="J43" i="10"/>
  <c r="J45" i="10"/>
  <c r="J46" i="10"/>
  <c r="J47" i="10"/>
  <c r="J48" i="10"/>
  <c r="J49" i="10"/>
  <c r="J50" i="10"/>
  <c r="J51" i="10"/>
  <c r="J52" i="10"/>
  <c r="J53" i="10"/>
  <c r="J54" i="10"/>
  <c r="J55" i="10"/>
  <c r="J42" i="10"/>
  <c r="J60" i="10"/>
  <c r="J61" i="10"/>
  <c r="J64" i="10"/>
  <c r="K42" i="10"/>
  <c r="K60" i="10"/>
  <c r="K26" i="8"/>
  <c r="K45" i="10"/>
  <c r="K46" i="10"/>
  <c r="K47" i="10"/>
  <c r="K48" i="10"/>
  <c r="K49" i="10"/>
  <c r="K50" i="10"/>
  <c r="K51" i="10"/>
  <c r="K52" i="10"/>
  <c r="K53" i="10"/>
  <c r="K54" i="10"/>
  <c r="K55" i="10"/>
  <c r="K40" i="10"/>
  <c r="K41" i="10"/>
  <c r="K43" i="10"/>
  <c r="K44" i="10"/>
  <c r="K56" i="10"/>
  <c r="K63" i="10"/>
  <c r="K64" i="10"/>
  <c r="K57" i="10"/>
  <c r="K58" i="10"/>
  <c r="K59" i="10"/>
  <c r="K61" i="10"/>
  <c r="K62" i="10"/>
  <c r="Q56" i="10"/>
  <c r="Q62" i="10"/>
  <c r="Q63" i="10"/>
  <c r="Q64" i="10"/>
  <c r="Q59" i="10"/>
  <c r="Q60" i="10"/>
  <c r="Q61" i="10"/>
  <c r="Q42" i="10"/>
  <c r="Q43" i="10"/>
  <c r="Q57" i="10"/>
  <c r="Q58" i="10"/>
  <c r="Q26" i="8"/>
  <c r="Q40" i="10"/>
  <c r="Q41" i="10"/>
  <c r="Q44" i="10"/>
  <c r="Q45" i="10"/>
  <c r="Q46" i="10"/>
  <c r="Q47" i="10"/>
  <c r="Q48" i="10"/>
  <c r="Q49" i="10"/>
  <c r="Q50" i="10"/>
  <c r="Q51" i="10"/>
  <c r="Q52" i="10"/>
  <c r="Q53" i="10"/>
  <c r="Q54" i="10"/>
  <c r="Q55" i="10"/>
  <c r="N40" i="10"/>
  <c r="N60" i="10"/>
  <c r="N61" i="10"/>
  <c r="N42" i="10"/>
  <c r="N57" i="10"/>
  <c r="N58" i="10"/>
  <c r="N62" i="10"/>
  <c r="N26" i="8"/>
  <c r="N45" i="10"/>
  <c r="N46" i="10"/>
  <c r="N47" i="10"/>
  <c r="N48" i="10"/>
  <c r="N49" i="10"/>
  <c r="N50" i="10"/>
  <c r="N51" i="10"/>
  <c r="N52" i="10"/>
  <c r="N53" i="10"/>
  <c r="N54" i="10"/>
  <c r="N55" i="10"/>
  <c r="N41" i="10"/>
  <c r="N43" i="10"/>
  <c r="N44" i="10"/>
  <c r="N56" i="10"/>
  <c r="N59" i="10"/>
  <c r="N63" i="10"/>
  <c r="N64" i="10"/>
  <c r="H16" i="5"/>
  <c r="H15" i="5" s="1"/>
  <c r="H18" i="5" s="1"/>
  <c r="I11" i="5" s="1"/>
  <c r="G17" i="6"/>
  <c r="G16" i="9"/>
  <c r="G17" i="5"/>
  <c r="G17" i="9"/>
  <c r="F20" i="6"/>
  <c r="E18" i="7"/>
  <c r="E23" i="6"/>
  <c r="C33" i="5" l="1"/>
  <c r="H13" i="2" s="1"/>
  <c r="F22" i="6"/>
  <c r="G19" i="6" s="1"/>
  <c r="F18" i="7"/>
  <c r="F23" i="6"/>
  <c r="E28" i="8"/>
  <c r="F27" i="8"/>
  <c r="N18" i="1"/>
  <c r="H17" i="5"/>
  <c r="H17" i="9"/>
  <c r="H17" i="6"/>
  <c r="H16" i="9"/>
  <c r="I16" i="5"/>
  <c r="I15" i="5" s="1"/>
  <c r="I18" i="5" s="1"/>
  <c r="J11" i="5" s="1"/>
  <c r="G18" i="6"/>
  <c r="G16" i="7"/>
  <c r="G17" i="7" s="1"/>
  <c r="G23" i="5"/>
  <c r="G24" i="5" s="1"/>
  <c r="E19" i="7"/>
  <c r="E25" i="6"/>
  <c r="F9" i="10"/>
  <c r="G7" i="10"/>
  <c r="G11" i="10"/>
  <c r="F10" i="10"/>
  <c r="F11" i="10"/>
  <c r="E10" i="10"/>
  <c r="C7" i="10"/>
  <c r="E11" i="10"/>
  <c r="E7" i="10"/>
  <c r="C8" i="10"/>
  <c r="D8" i="10"/>
  <c r="E8" i="10"/>
  <c r="F8" i="10"/>
  <c r="G8" i="10"/>
  <c r="C9" i="10"/>
  <c r="D9" i="10"/>
  <c r="E9" i="10"/>
  <c r="G9" i="10"/>
  <c r="C10" i="10"/>
  <c r="F7" i="10"/>
  <c r="C11" i="10"/>
  <c r="D11" i="10"/>
  <c r="D7" i="10"/>
  <c r="G10" i="10"/>
  <c r="D10" i="10"/>
  <c r="C35" i="8"/>
  <c r="E11" i="2" s="1"/>
  <c r="F25" i="6" l="1"/>
  <c r="F19" i="7"/>
  <c r="P18" i="1"/>
  <c r="B20" i="2"/>
  <c r="G27" i="8"/>
  <c r="F28" i="8"/>
  <c r="H23" i="5"/>
  <c r="H24" i="5" s="1"/>
  <c r="H18" i="6"/>
  <c r="H16" i="7"/>
  <c r="H17" i="7" s="1"/>
  <c r="I17" i="5"/>
  <c r="I17" i="9"/>
  <c r="I17" i="6"/>
  <c r="I16" i="9"/>
  <c r="J16" i="5"/>
  <c r="J15" i="5" s="1"/>
  <c r="J18" i="5" s="1"/>
  <c r="K11" i="5" s="1"/>
  <c r="G20" i="6"/>
  <c r="G21" i="6"/>
  <c r="E26" i="6"/>
  <c r="E20" i="7"/>
  <c r="E18" i="9"/>
  <c r="E20" i="9" s="1"/>
  <c r="G22" i="6" l="1"/>
  <c r="H19" i="6" s="1"/>
  <c r="H21" i="6" s="1"/>
  <c r="F26" i="6"/>
  <c r="F20" i="7"/>
  <c r="F21" i="7" s="1"/>
  <c r="F18" i="9"/>
  <c r="F20" i="9" s="1"/>
  <c r="G18" i="7"/>
  <c r="G23" i="6"/>
  <c r="H27" i="8"/>
  <c r="G28" i="8"/>
  <c r="H20" i="6"/>
  <c r="I23" i="5"/>
  <c r="I24" i="5" s="1"/>
  <c r="I18" i="6"/>
  <c r="I16" i="7"/>
  <c r="I17" i="7" s="1"/>
  <c r="J17" i="9"/>
  <c r="J17" i="5"/>
  <c r="J17" i="6"/>
  <c r="J16" i="9"/>
  <c r="K16" i="5"/>
  <c r="K15" i="5" s="1"/>
  <c r="K18" i="5" s="1"/>
  <c r="L11" i="5" s="1"/>
  <c r="E21" i="7"/>
  <c r="E23" i="9"/>
  <c r="E70" i="10"/>
  <c r="E71" i="10"/>
  <c r="E72" i="10"/>
  <c r="E73" i="10"/>
  <c r="E74" i="10"/>
  <c r="E75" i="10"/>
  <c r="E76" i="10"/>
  <c r="E77" i="10"/>
  <c r="E22" i="9"/>
  <c r="E79" i="10"/>
  <c r="E80" i="10"/>
  <c r="E81" i="10"/>
  <c r="E82" i="10"/>
  <c r="E83" i="10"/>
  <c r="E84" i="10"/>
  <c r="E85" i="10"/>
  <c r="E86" i="10"/>
  <c r="E78" i="10"/>
  <c r="E87" i="10"/>
  <c r="E88" i="10"/>
  <c r="E89" i="10"/>
  <c r="E90" i="10"/>
  <c r="E91" i="10"/>
  <c r="E92" i="10"/>
  <c r="E93" i="10"/>
  <c r="E94" i="10"/>
  <c r="G25" i="6" l="1"/>
  <c r="G19" i="7"/>
  <c r="H22" i="6"/>
  <c r="I19" i="6" s="1"/>
  <c r="I21" i="6" s="1"/>
  <c r="H23" i="6"/>
  <c r="H18" i="7"/>
  <c r="F78" i="10"/>
  <c r="F81" i="10"/>
  <c r="F82" i="10"/>
  <c r="F83" i="10"/>
  <c r="F84" i="10"/>
  <c r="F86" i="10"/>
  <c r="F88" i="10"/>
  <c r="F70" i="10"/>
  <c r="F75" i="10"/>
  <c r="F79" i="10"/>
  <c r="F91" i="10"/>
  <c r="F72" i="10"/>
  <c r="F80" i="10"/>
  <c r="F85" i="10"/>
  <c r="F87" i="10"/>
  <c r="F89" i="10"/>
  <c r="F90" i="10"/>
  <c r="F92" i="10"/>
  <c r="F71" i="10"/>
  <c r="F73" i="10"/>
  <c r="F76" i="10"/>
  <c r="F77" i="10"/>
  <c r="F93" i="10"/>
  <c r="F94" i="10"/>
  <c r="F22" i="9"/>
  <c r="F74" i="10"/>
  <c r="I27" i="8"/>
  <c r="H28" i="8"/>
  <c r="I20" i="6"/>
  <c r="J23" i="5"/>
  <c r="J24" i="5" s="1"/>
  <c r="J18" i="6"/>
  <c r="J16" i="7"/>
  <c r="J17" i="7" s="1"/>
  <c r="K17" i="9"/>
  <c r="K17" i="5"/>
  <c r="K17" i="6"/>
  <c r="K16" i="9"/>
  <c r="L16" i="5"/>
  <c r="L15" i="5" s="1"/>
  <c r="L18" i="5" s="1"/>
  <c r="M11" i="5" s="1"/>
  <c r="F23" i="9"/>
  <c r="E24" i="9"/>
  <c r="H19" i="7" l="1"/>
  <c r="H25" i="6"/>
  <c r="G26" i="6"/>
  <c r="G20" i="7"/>
  <c r="G21" i="7" s="1"/>
  <c r="G18" i="9"/>
  <c r="G20" i="9" s="1"/>
  <c r="I22" i="6"/>
  <c r="J19" i="6" s="1"/>
  <c r="J21" i="6" s="1"/>
  <c r="I23" i="6"/>
  <c r="I18" i="7"/>
  <c r="J27" i="8"/>
  <c r="I28" i="8"/>
  <c r="J20" i="6"/>
  <c r="K23" i="5"/>
  <c r="K24" i="5" s="1"/>
  <c r="K18" i="6"/>
  <c r="K16" i="7"/>
  <c r="K17" i="7" s="1"/>
  <c r="L17" i="9"/>
  <c r="L17" i="5"/>
  <c r="L17" i="6"/>
  <c r="L16" i="9"/>
  <c r="M16" i="5"/>
  <c r="M15" i="5" s="1"/>
  <c r="M18" i="5" s="1"/>
  <c r="N11" i="5" s="1"/>
  <c r="F24" i="9"/>
  <c r="H26" i="6" l="1"/>
  <c r="H20" i="7"/>
  <c r="H21" i="7" s="1"/>
  <c r="H18" i="9"/>
  <c r="H20" i="9" s="1"/>
  <c r="G86" i="10"/>
  <c r="G85" i="10"/>
  <c r="G84" i="10"/>
  <c r="G83" i="10"/>
  <c r="G82" i="10"/>
  <c r="G81" i="10"/>
  <c r="G80" i="10"/>
  <c r="G79" i="10"/>
  <c r="G77" i="10"/>
  <c r="G76" i="10"/>
  <c r="G75" i="10"/>
  <c r="G74" i="10"/>
  <c r="G73" i="10"/>
  <c r="G72" i="10"/>
  <c r="G71" i="10"/>
  <c r="G70" i="10"/>
  <c r="G94" i="10"/>
  <c r="G93" i="10"/>
  <c r="G91" i="10"/>
  <c r="G90" i="10"/>
  <c r="G89" i="10"/>
  <c r="G88" i="10"/>
  <c r="G87" i="10"/>
  <c r="G78" i="10"/>
  <c r="G92" i="10"/>
  <c r="G22" i="9"/>
  <c r="G23" i="9"/>
  <c r="I25" i="6"/>
  <c r="I19" i="7"/>
  <c r="K27" i="8"/>
  <c r="J28" i="8"/>
  <c r="K20" i="6"/>
  <c r="L23" i="5"/>
  <c r="L24" i="5" s="1"/>
  <c r="L18" i="6"/>
  <c r="L16" i="7"/>
  <c r="L17" i="7" s="1"/>
  <c r="M17" i="9"/>
  <c r="M17" i="5"/>
  <c r="M17" i="6"/>
  <c r="M16" i="9"/>
  <c r="N16" i="5"/>
  <c r="N15" i="5" s="1"/>
  <c r="N18" i="5" s="1"/>
  <c r="O11" i="5" s="1"/>
  <c r="J22" i="6"/>
  <c r="K19" i="6" s="1"/>
  <c r="K21" i="6" s="1"/>
  <c r="J18" i="7"/>
  <c r="J23" i="6"/>
  <c r="H78" i="10" l="1"/>
  <c r="H79" i="10"/>
  <c r="H80" i="10"/>
  <c r="H81" i="10"/>
  <c r="H82" i="10"/>
  <c r="H83" i="10"/>
  <c r="H84" i="10"/>
  <c r="H85" i="10"/>
  <c r="H86" i="10"/>
  <c r="H87" i="10"/>
  <c r="H88" i="10"/>
  <c r="H89" i="10"/>
  <c r="H90" i="10"/>
  <c r="H91" i="10"/>
  <c r="H92" i="10"/>
  <c r="H93" i="10"/>
  <c r="H94" i="10"/>
  <c r="H22" i="9"/>
  <c r="H70" i="10"/>
  <c r="H71" i="10"/>
  <c r="H72" i="10"/>
  <c r="H73" i="10"/>
  <c r="H74" i="10"/>
  <c r="H75" i="10"/>
  <c r="H76" i="10"/>
  <c r="H77" i="10"/>
  <c r="I26" i="6"/>
  <c r="I20" i="7"/>
  <c r="I21" i="7" s="1"/>
  <c r="I18" i="9"/>
  <c r="I20" i="9" s="1"/>
  <c r="G24" i="9"/>
  <c r="H23" i="9"/>
  <c r="H24" i="9" s="1"/>
  <c r="L27" i="8"/>
  <c r="K28" i="8"/>
  <c r="L20" i="6"/>
  <c r="M23" i="5"/>
  <c r="M24" i="5" s="1"/>
  <c r="M18" i="6"/>
  <c r="M16" i="7"/>
  <c r="M17" i="7" s="1"/>
  <c r="N17" i="9"/>
  <c r="N17" i="5"/>
  <c r="N17" i="6"/>
  <c r="N16" i="9"/>
  <c r="O16" i="5"/>
  <c r="O15" i="5" s="1"/>
  <c r="O18" i="5" s="1"/>
  <c r="P11" i="5" s="1"/>
  <c r="J19" i="7"/>
  <c r="J25" i="6"/>
  <c r="K22" i="6"/>
  <c r="L19" i="6" s="1"/>
  <c r="L21" i="6" s="1"/>
  <c r="K23" i="6"/>
  <c r="K18" i="7"/>
  <c r="I70" i="10" l="1"/>
  <c r="I71" i="10"/>
  <c r="I73" i="10"/>
  <c r="I74" i="10"/>
  <c r="I23" i="9"/>
  <c r="I24" i="9" s="1"/>
  <c r="I72" i="10"/>
  <c r="I75" i="10"/>
  <c r="I76" i="10"/>
  <c r="I93" i="10"/>
  <c r="I94" i="10"/>
  <c r="I77" i="10"/>
  <c r="I22" i="9"/>
  <c r="I79" i="10"/>
  <c r="I80" i="10"/>
  <c r="I81" i="10"/>
  <c r="I82" i="10"/>
  <c r="I83" i="10"/>
  <c r="I84" i="10"/>
  <c r="I85" i="10"/>
  <c r="I86" i="10"/>
  <c r="I78" i="10"/>
  <c r="I87" i="10"/>
  <c r="I88" i="10"/>
  <c r="I89" i="10"/>
  <c r="I90" i="10"/>
  <c r="I91" i="10"/>
  <c r="I92" i="10"/>
  <c r="M27" i="8"/>
  <c r="L28" i="8"/>
  <c r="M20" i="6"/>
  <c r="N23" i="5"/>
  <c r="N24" i="5" s="1"/>
  <c r="N18" i="6"/>
  <c r="N16" i="7"/>
  <c r="N17" i="7" s="1"/>
  <c r="O17" i="9"/>
  <c r="O17" i="5"/>
  <c r="O17" i="6"/>
  <c r="O16" i="9"/>
  <c r="P16" i="5"/>
  <c r="P15" i="5" s="1"/>
  <c r="P18" i="5" s="1"/>
  <c r="Q11" i="5" s="1"/>
  <c r="J26" i="6"/>
  <c r="J20" i="7"/>
  <c r="J21" i="7" s="1"/>
  <c r="J18" i="9"/>
  <c r="J20" i="9" s="1"/>
  <c r="K25" i="6"/>
  <c r="K19" i="7"/>
  <c r="L23" i="6"/>
  <c r="L22" i="6"/>
  <c r="M19" i="6" s="1"/>
  <c r="M21" i="6" s="1"/>
  <c r="L18" i="7"/>
  <c r="J23" i="9" l="1"/>
  <c r="J24" i="9" s="1"/>
  <c r="N27" i="8"/>
  <c r="M28" i="8"/>
  <c r="N20" i="6"/>
  <c r="O23" i="5"/>
  <c r="O24" i="5" s="1"/>
  <c r="O18" i="6"/>
  <c r="O16" i="7"/>
  <c r="O17" i="7" s="1"/>
  <c r="P17" i="9"/>
  <c r="P17" i="5"/>
  <c r="P17" i="6"/>
  <c r="P16" i="9"/>
  <c r="Q16" i="5"/>
  <c r="Q15" i="5" s="1"/>
  <c r="J22" i="9"/>
  <c r="J94" i="10"/>
  <c r="J93" i="10"/>
  <c r="J92" i="10"/>
  <c r="J91" i="10"/>
  <c r="J90" i="10"/>
  <c r="J89" i="10"/>
  <c r="J88" i="10"/>
  <c r="J87" i="10"/>
  <c r="J86" i="10"/>
  <c r="J85" i="10"/>
  <c r="J84" i="10"/>
  <c r="J83" i="10"/>
  <c r="J82" i="10"/>
  <c r="J81" i="10"/>
  <c r="J80" i="10"/>
  <c r="J79" i="10"/>
  <c r="J78" i="10"/>
  <c r="J77" i="10"/>
  <c r="J76" i="10"/>
  <c r="J75" i="10"/>
  <c r="J74" i="10"/>
  <c r="J73" i="10"/>
  <c r="J72" i="10"/>
  <c r="J71" i="10"/>
  <c r="J70" i="10"/>
  <c r="K26" i="6"/>
  <c r="K20" i="7"/>
  <c r="K21" i="7" s="1"/>
  <c r="K18" i="9"/>
  <c r="K20" i="9" s="1"/>
  <c r="L19" i="7"/>
  <c r="L25" i="6"/>
  <c r="M22" i="6"/>
  <c r="N19" i="6" s="1"/>
  <c r="N21" i="6" s="1"/>
  <c r="M23" i="6"/>
  <c r="M18" i="7"/>
  <c r="K23" i="9" l="1"/>
  <c r="K24" i="9" s="1"/>
  <c r="Q18" i="5"/>
  <c r="R11" i="5" s="1"/>
  <c r="R16" i="5" s="1"/>
  <c r="Q17" i="9"/>
  <c r="O27" i="8"/>
  <c r="N28" i="8"/>
  <c r="O20" i="6"/>
  <c r="P23" i="5"/>
  <c r="P24" i="5" s="1"/>
  <c r="P18" i="6"/>
  <c r="P16" i="7"/>
  <c r="P17" i="7" s="1"/>
  <c r="Q17" i="5"/>
  <c r="Q17" i="6"/>
  <c r="Q16" i="9"/>
  <c r="K94" i="10"/>
  <c r="K93" i="10"/>
  <c r="K92" i="10"/>
  <c r="K91" i="10"/>
  <c r="K90" i="10"/>
  <c r="K89" i="10"/>
  <c r="K88" i="10"/>
  <c r="K87" i="10"/>
  <c r="K78" i="10"/>
  <c r="K86" i="10"/>
  <c r="K85" i="10"/>
  <c r="K84" i="10"/>
  <c r="K83" i="10"/>
  <c r="K82" i="10"/>
  <c r="K81" i="10"/>
  <c r="K80" i="10"/>
  <c r="K79" i="10"/>
  <c r="K22" i="9"/>
  <c r="K77" i="10"/>
  <c r="K76" i="10"/>
  <c r="K75" i="10"/>
  <c r="K74" i="10"/>
  <c r="K73" i="10"/>
  <c r="K72" i="10"/>
  <c r="K71" i="10"/>
  <c r="K70" i="10"/>
  <c r="L26" i="6"/>
  <c r="L20" i="7"/>
  <c r="L21" i="7" s="1"/>
  <c r="L18" i="9"/>
  <c r="L20" i="9" s="1"/>
  <c r="M25" i="6"/>
  <c r="M19" i="7"/>
  <c r="N22" i="6"/>
  <c r="O19" i="6" s="1"/>
  <c r="O21" i="6" s="1"/>
  <c r="N23" i="6"/>
  <c r="N18" i="7"/>
  <c r="L23" i="9" l="1"/>
  <c r="L24" i="9" s="1"/>
  <c r="R15" i="5"/>
  <c r="R17" i="5" s="1"/>
  <c r="P27" i="8"/>
  <c r="O28" i="8"/>
  <c r="P20" i="6"/>
  <c r="Q23" i="5"/>
  <c r="Q24" i="5" s="1"/>
  <c r="Q18" i="6"/>
  <c r="Q16" i="7"/>
  <c r="Q17" i="7" s="1"/>
  <c r="R17" i="6"/>
  <c r="R16" i="9"/>
  <c r="L77" i="10"/>
  <c r="L76" i="10"/>
  <c r="L75" i="10"/>
  <c r="L74" i="10"/>
  <c r="L73" i="10"/>
  <c r="L72" i="10"/>
  <c r="L71" i="10"/>
  <c r="L70" i="10"/>
  <c r="L22" i="9"/>
  <c r="L94" i="10"/>
  <c r="L93" i="10"/>
  <c r="L92" i="10"/>
  <c r="L91" i="10"/>
  <c r="L90" i="10"/>
  <c r="L89" i="10"/>
  <c r="L88" i="10"/>
  <c r="L87" i="10"/>
  <c r="L86" i="10"/>
  <c r="L85" i="10"/>
  <c r="L84" i="10"/>
  <c r="L83" i="10"/>
  <c r="L82" i="10"/>
  <c r="L81" i="10"/>
  <c r="L80" i="10"/>
  <c r="L79" i="10"/>
  <c r="L78" i="10"/>
  <c r="M26" i="6"/>
  <c r="M20" i="7"/>
  <c r="M21" i="7" s="1"/>
  <c r="M18" i="9"/>
  <c r="M20" i="9" s="1"/>
  <c r="N19" i="7"/>
  <c r="N25" i="6"/>
  <c r="O22" i="6"/>
  <c r="P19" i="6" s="1"/>
  <c r="P21" i="6" s="1"/>
  <c r="O23" i="6"/>
  <c r="O18" i="7"/>
  <c r="M23" i="9" l="1"/>
  <c r="M24" i="9" s="1"/>
  <c r="R17" i="9"/>
  <c r="R18" i="5"/>
  <c r="S11" i="5" s="1"/>
  <c r="Q27" i="8"/>
  <c r="P28" i="8"/>
  <c r="Q20" i="6"/>
  <c r="R23" i="5"/>
  <c r="R24" i="5" s="1"/>
  <c r="R18" i="6"/>
  <c r="R16" i="7"/>
  <c r="R17" i="7" s="1"/>
  <c r="M94" i="10"/>
  <c r="M93" i="10"/>
  <c r="M92" i="10"/>
  <c r="M91" i="10"/>
  <c r="M90" i="10"/>
  <c r="M89" i="10"/>
  <c r="M88" i="10"/>
  <c r="M87" i="10"/>
  <c r="M78" i="10"/>
  <c r="M86" i="10"/>
  <c r="M85" i="10"/>
  <c r="M84" i="10"/>
  <c r="M83" i="10"/>
  <c r="M82" i="10"/>
  <c r="M81" i="10"/>
  <c r="M80" i="10"/>
  <c r="M79" i="10"/>
  <c r="M22" i="9"/>
  <c r="M77" i="10"/>
  <c r="M76" i="10"/>
  <c r="M75" i="10"/>
  <c r="M74" i="10"/>
  <c r="M73" i="10"/>
  <c r="M72" i="10"/>
  <c r="M71" i="10"/>
  <c r="M70" i="10"/>
  <c r="N26" i="6"/>
  <c r="N20" i="7"/>
  <c r="N21" i="7" s="1"/>
  <c r="N18" i="9"/>
  <c r="N20" i="9" s="1"/>
  <c r="O25" i="6"/>
  <c r="O19" i="7"/>
  <c r="P22" i="6"/>
  <c r="Q19" i="6" s="1"/>
  <c r="Q21" i="6" s="1"/>
  <c r="P18" i="7"/>
  <c r="P23" i="6"/>
  <c r="N23" i="9" l="1"/>
  <c r="N24" i="9" s="1"/>
  <c r="S16" i="5"/>
  <c r="S15" i="5"/>
  <c r="S18" i="5" s="1"/>
  <c r="T11" i="5" s="1"/>
  <c r="Q23" i="6"/>
  <c r="Q18" i="7"/>
  <c r="R27" i="8"/>
  <c r="Q28" i="8"/>
  <c r="R20" i="6"/>
  <c r="N22" i="9"/>
  <c r="N87" i="10"/>
  <c r="N88" i="10"/>
  <c r="N89" i="10"/>
  <c r="N90" i="10"/>
  <c r="N91" i="10"/>
  <c r="N92" i="10"/>
  <c r="N93" i="10"/>
  <c r="N94" i="10"/>
  <c r="N70" i="10"/>
  <c r="N71" i="10"/>
  <c r="N72" i="10"/>
  <c r="N73" i="10"/>
  <c r="N74" i="10"/>
  <c r="N75" i="10"/>
  <c r="N76" i="10"/>
  <c r="N77" i="10"/>
  <c r="N78" i="10"/>
  <c r="N79" i="10"/>
  <c r="N80" i="10"/>
  <c r="N81" i="10"/>
  <c r="N82" i="10"/>
  <c r="N83" i="10"/>
  <c r="N84" i="10"/>
  <c r="N85" i="10"/>
  <c r="N86" i="10"/>
  <c r="O26" i="6"/>
  <c r="O20" i="7"/>
  <c r="O21" i="7" s="1"/>
  <c r="O18" i="9"/>
  <c r="O20" i="9" s="1"/>
  <c r="P19" i="7"/>
  <c r="P25" i="6"/>
  <c r="Q22" i="6"/>
  <c r="R19" i="6" s="1"/>
  <c r="R21" i="6" s="1"/>
  <c r="O23" i="9" l="1"/>
  <c r="O24" i="9" s="1"/>
  <c r="T16" i="5"/>
  <c r="T15" i="5" s="1"/>
  <c r="S16" i="9"/>
  <c r="S17" i="6"/>
  <c r="S17" i="5"/>
  <c r="S17" i="9"/>
  <c r="Q25" i="6"/>
  <c r="Q26" i="6" s="1"/>
  <c r="Q19" i="7"/>
  <c r="S27" i="8"/>
  <c r="R28" i="8"/>
  <c r="O77" i="10"/>
  <c r="O76" i="10"/>
  <c r="O75" i="10"/>
  <c r="O74" i="10"/>
  <c r="O73" i="10"/>
  <c r="O72" i="10"/>
  <c r="O71" i="10"/>
  <c r="O70" i="10"/>
  <c r="O22" i="9"/>
  <c r="O94" i="10"/>
  <c r="O93" i="10"/>
  <c r="O92" i="10"/>
  <c r="O91" i="10"/>
  <c r="O90" i="10"/>
  <c r="O89" i="10"/>
  <c r="O88" i="10"/>
  <c r="O87" i="10"/>
  <c r="O78" i="10"/>
  <c r="O86" i="10"/>
  <c r="O85" i="10"/>
  <c r="O84" i="10"/>
  <c r="O83" i="10"/>
  <c r="O82" i="10"/>
  <c r="O81" i="10"/>
  <c r="O80" i="10"/>
  <c r="O79" i="10"/>
  <c r="P26" i="6"/>
  <c r="P20" i="7"/>
  <c r="P21" i="7" s="1"/>
  <c r="P18" i="9"/>
  <c r="P20" i="9" s="1"/>
  <c r="R22" i="6"/>
  <c r="S19" i="6" s="1"/>
  <c r="R18" i="7"/>
  <c r="R23" i="6"/>
  <c r="T18" i="5" l="1"/>
  <c r="U11" i="5" s="1"/>
  <c r="C30" i="5"/>
  <c r="P23" i="9"/>
  <c r="P24" i="9" s="1"/>
  <c r="T16" i="9"/>
  <c r="T17" i="6"/>
  <c r="T17" i="5"/>
  <c r="T17" i="9"/>
  <c r="S16" i="7"/>
  <c r="S17" i="7" s="1"/>
  <c r="S18" i="6"/>
  <c r="S23" i="5"/>
  <c r="S24" i="5" s="1"/>
  <c r="Q20" i="7"/>
  <c r="Q21" i="7" s="1"/>
  <c r="Q18" i="9"/>
  <c r="Q20" i="9" s="1"/>
  <c r="Q92" i="10" s="1"/>
  <c r="T27" i="8"/>
  <c r="S28" i="8"/>
  <c r="P94" i="10"/>
  <c r="P93" i="10"/>
  <c r="P92" i="10"/>
  <c r="P91" i="10"/>
  <c r="P90" i="10"/>
  <c r="P89" i="10"/>
  <c r="P88" i="10"/>
  <c r="P87" i="10"/>
  <c r="P86" i="10"/>
  <c r="P85" i="10"/>
  <c r="P84" i="10"/>
  <c r="P83" i="10"/>
  <c r="P82" i="10"/>
  <c r="P81" i="10"/>
  <c r="P80" i="10"/>
  <c r="P79" i="10"/>
  <c r="P78" i="10"/>
  <c r="P22" i="9"/>
  <c r="P77" i="10"/>
  <c r="P76" i="10"/>
  <c r="P75" i="10"/>
  <c r="P74" i="10"/>
  <c r="P73" i="10"/>
  <c r="P72" i="10"/>
  <c r="P71" i="10"/>
  <c r="P70" i="10"/>
  <c r="R19" i="7"/>
  <c r="R25" i="6"/>
  <c r="U18" i="5" l="1"/>
  <c r="V11" i="5" s="1"/>
  <c r="U16" i="5"/>
  <c r="U16" i="9" s="1"/>
  <c r="T16" i="7"/>
  <c r="T17" i="7" s="1"/>
  <c r="T18" i="6"/>
  <c r="T23" i="5"/>
  <c r="T24" i="5" s="1"/>
  <c r="S21" i="6"/>
  <c r="S20" i="6"/>
  <c r="Q22" i="9"/>
  <c r="Q93" i="10"/>
  <c r="Q91" i="10"/>
  <c r="Q94" i="10"/>
  <c r="Q90" i="10"/>
  <c r="Q89" i="10"/>
  <c r="Q88" i="10"/>
  <c r="Q87" i="10"/>
  <c r="Q78" i="10"/>
  <c r="Q86" i="10"/>
  <c r="Q85" i="10"/>
  <c r="Q84" i="10"/>
  <c r="Q83" i="10"/>
  <c r="Q82" i="10"/>
  <c r="Q81" i="10"/>
  <c r="Q80" i="10"/>
  <c r="Q79" i="10"/>
  <c r="Q77" i="10"/>
  <c r="Q76" i="10"/>
  <c r="Q75" i="10"/>
  <c r="Q74" i="10"/>
  <c r="Q73" i="10"/>
  <c r="Q72" i="10"/>
  <c r="Q71" i="10"/>
  <c r="Q70" i="10"/>
  <c r="Q23" i="9"/>
  <c r="Q24" i="9" s="1"/>
  <c r="U27" i="8"/>
  <c r="T28" i="8"/>
  <c r="R26" i="6"/>
  <c r="R20" i="7"/>
  <c r="R21" i="7" s="1"/>
  <c r="R18" i="9"/>
  <c r="R20" i="9" s="1"/>
  <c r="V18" i="5" l="1"/>
  <c r="W11" i="5" s="1"/>
  <c r="V16" i="5"/>
  <c r="U17" i="6"/>
  <c r="U17" i="5"/>
  <c r="U23" i="5" s="1"/>
  <c r="U24" i="5" s="1"/>
  <c r="R23" i="9"/>
  <c r="R24" i="9" s="1"/>
  <c r="S18" i="7"/>
  <c r="S23" i="6"/>
  <c r="S22" i="6"/>
  <c r="T19" i="6" s="1"/>
  <c r="T20" i="6"/>
  <c r="V27" i="8"/>
  <c r="U28" i="8"/>
  <c r="R77" i="10"/>
  <c r="R76" i="10"/>
  <c r="R75" i="10"/>
  <c r="R74" i="10"/>
  <c r="R73" i="10"/>
  <c r="R72" i="10"/>
  <c r="R71" i="10"/>
  <c r="R70" i="10"/>
  <c r="R22" i="9"/>
  <c r="R94" i="10"/>
  <c r="R93" i="10"/>
  <c r="R92" i="10"/>
  <c r="R91" i="10"/>
  <c r="R90" i="10"/>
  <c r="R89" i="10"/>
  <c r="R88" i="10"/>
  <c r="R87" i="10"/>
  <c r="R86" i="10"/>
  <c r="R85" i="10"/>
  <c r="R84" i="10"/>
  <c r="R83" i="10"/>
  <c r="R82" i="10"/>
  <c r="R81" i="10"/>
  <c r="R80" i="10"/>
  <c r="R79" i="10"/>
  <c r="R78" i="10"/>
  <c r="W16" i="5" l="1"/>
  <c r="W18" i="5"/>
  <c r="X11" i="5" s="1"/>
  <c r="V16" i="9"/>
  <c r="V17" i="6"/>
  <c r="V17" i="5"/>
  <c r="V23" i="5" s="1"/>
  <c r="V24" i="5" s="1"/>
  <c r="U16" i="7"/>
  <c r="U17" i="7" s="1"/>
  <c r="U18" i="6"/>
  <c r="U20" i="6" s="1"/>
  <c r="S25" i="6"/>
  <c r="S19" i="7"/>
  <c r="T21" i="6"/>
  <c r="T22" i="6" s="1"/>
  <c r="U19" i="6" s="1"/>
  <c r="W27" i="8"/>
  <c r="V28" i="8"/>
  <c r="X18" i="5" l="1"/>
  <c r="Y11" i="5" s="1"/>
  <c r="X16" i="5"/>
  <c r="W17" i="6"/>
  <c r="W17" i="5"/>
  <c r="W23" i="5" s="1"/>
  <c r="W24" i="5" s="1"/>
  <c r="W16" i="9"/>
  <c r="V16" i="7"/>
  <c r="V17" i="7" s="1"/>
  <c r="V18" i="6"/>
  <c r="V20" i="6" s="1"/>
  <c r="S18" i="9"/>
  <c r="S20" i="9" s="1"/>
  <c r="S26" i="6"/>
  <c r="S20" i="7"/>
  <c r="S21" i="7" s="1"/>
  <c r="U21" i="6"/>
  <c r="U22" i="6" s="1"/>
  <c r="V19" i="6" s="1"/>
  <c r="T23" i="6"/>
  <c r="T18" i="7"/>
  <c r="X27" i="8"/>
  <c r="W28" i="8"/>
  <c r="Y18" i="5" l="1"/>
  <c r="Z11" i="5" s="1"/>
  <c r="Y16" i="5"/>
  <c r="Y16" i="9" s="1"/>
  <c r="X17" i="6"/>
  <c r="X16" i="9"/>
  <c r="X17" i="5"/>
  <c r="W18" i="6"/>
  <c r="W20" i="6" s="1"/>
  <c r="W16" i="7"/>
  <c r="W17" i="7" s="1"/>
  <c r="S70" i="10"/>
  <c r="S71" i="10"/>
  <c r="S72" i="10"/>
  <c r="S74" i="10"/>
  <c r="S75" i="10"/>
  <c r="S77" i="10"/>
  <c r="S80" i="10"/>
  <c r="S82" i="10"/>
  <c r="S83" i="10"/>
  <c r="S84" i="10"/>
  <c r="S22" i="9"/>
  <c r="S86" i="10"/>
  <c r="S87" i="10"/>
  <c r="S88" i="10"/>
  <c r="S89" i="10"/>
  <c r="S90" i="10"/>
  <c r="S91" i="10"/>
  <c r="S92" i="10"/>
  <c r="S73" i="10"/>
  <c r="S76" i="10"/>
  <c r="S79" i="10"/>
  <c r="S81" i="10"/>
  <c r="S85" i="10"/>
  <c r="S78" i="10"/>
  <c r="S93" i="10"/>
  <c r="S94" i="10"/>
  <c r="S23" i="9"/>
  <c r="S24" i="9" s="1"/>
  <c r="V21" i="6"/>
  <c r="V22" i="6" s="1"/>
  <c r="W19" i="6" s="1"/>
  <c r="U23" i="6"/>
  <c r="U18" i="7"/>
  <c r="T19" i="7"/>
  <c r="T25" i="6"/>
  <c r="Y27" i="8"/>
  <c r="X28" i="8"/>
  <c r="X16" i="7" l="1"/>
  <c r="X17" i="7" s="1"/>
  <c r="X18" i="6"/>
  <c r="X20" i="6" s="1"/>
  <c r="X23" i="5"/>
  <c r="X24" i="5" s="1"/>
  <c r="C31" i="5" s="1"/>
  <c r="C32" i="5"/>
  <c r="E13" i="2" s="1"/>
  <c r="Z16" i="5"/>
  <c r="Z16" i="9" s="1"/>
  <c r="Z18" i="5"/>
  <c r="AA11" i="5" s="1"/>
  <c r="W21" i="6"/>
  <c r="W22" i="6" s="1"/>
  <c r="X19" i="6" s="1"/>
  <c r="V23" i="6"/>
  <c r="V18" i="7"/>
  <c r="U25" i="6"/>
  <c r="U19" i="7"/>
  <c r="T18" i="9"/>
  <c r="T20" i="9" s="1"/>
  <c r="T20" i="7"/>
  <c r="T21" i="7" s="1"/>
  <c r="T26" i="6"/>
  <c r="Z27" i="8"/>
  <c r="Y28" i="8"/>
  <c r="B13" i="2" l="1"/>
  <c r="F20" i="2" s="1"/>
  <c r="C31" i="2"/>
  <c r="D31" i="2" s="1"/>
  <c r="AA16" i="5"/>
  <c r="AA16" i="9" s="1"/>
  <c r="AA18" i="5"/>
  <c r="AB11" i="5" s="1"/>
  <c r="X21" i="6"/>
  <c r="X22" i="6" s="1"/>
  <c r="Y19" i="6" s="1"/>
  <c r="Y21" i="6" s="1"/>
  <c r="W23" i="6"/>
  <c r="W18" i="7"/>
  <c r="V25" i="6"/>
  <c r="V19" i="7"/>
  <c r="U18" i="9"/>
  <c r="U20" i="9" s="1"/>
  <c r="U20" i="7"/>
  <c r="U21" i="7" s="1"/>
  <c r="U26" i="6"/>
  <c r="T91" i="10"/>
  <c r="T89" i="10"/>
  <c r="T87" i="10"/>
  <c r="T85" i="10"/>
  <c r="T84" i="10"/>
  <c r="T83" i="10"/>
  <c r="T82" i="10"/>
  <c r="T81" i="10"/>
  <c r="T80" i="10"/>
  <c r="T92" i="10"/>
  <c r="T22" i="9"/>
  <c r="T79" i="10"/>
  <c r="T78" i="10"/>
  <c r="T77" i="10"/>
  <c r="T76" i="10"/>
  <c r="T75" i="10"/>
  <c r="T74" i="10"/>
  <c r="T73" i="10"/>
  <c r="T72" i="10"/>
  <c r="T71" i="10"/>
  <c r="T70" i="10"/>
  <c r="T94" i="10"/>
  <c r="T93" i="10"/>
  <c r="T90" i="10"/>
  <c r="T86" i="10"/>
  <c r="T88" i="10"/>
  <c r="T23" i="9"/>
  <c r="T24" i="9" s="1"/>
  <c r="AA27" i="8"/>
  <c r="Z28" i="8"/>
  <c r="AB18" i="5" l="1"/>
  <c r="AC11" i="5" s="1"/>
  <c r="AB16" i="5"/>
  <c r="AB16" i="9" s="1"/>
  <c r="X23" i="6"/>
  <c r="X18" i="7"/>
  <c r="W25" i="6"/>
  <c r="W19" i="7"/>
  <c r="V18" i="9"/>
  <c r="V20" i="9" s="1"/>
  <c r="V20" i="7"/>
  <c r="V21" i="7" s="1"/>
  <c r="V26" i="6"/>
  <c r="U94" i="10"/>
  <c r="U93" i="10"/>
  <c r="U92" i="10"/>
  <c r="U91" i="10"/>
  <c r="U90" i="10"/>
  <c r="U89" i="10"/>
  <c r="U88" i="10"/>
  <c r="U87" i="10"/>
  <c r="U86" i="10"/>
  <c r="U85" i="10"/>
  <c r="U84" i="10"/>
  <c r="U83" i="10"/>
  <c r="U82" i="10"/>
  <c r="U81" i="10"/>
  <c r="U80" i="10"/>
  <c r="U79" i="10"/>
  <c r="U78" i="10"/>
  <c r="U22" i="9"/>
  <c r="U77" i="10"/>
  <c r="U76" i="10"/>
  <c r="U75" i="10"/>
  <c r="U74" i="10"/>
  <c r="U73" i="10"/>
  <c r="U72" i="10"/>
  <c r="U71" i="10"/>
  <c r="U70" i="10"/>
  <c r="U23" i="9"/>
  <c r="U24" i="9" s="1"/>
  <c r="Y22" i="6"/>
  <c r="Z19" i="6" s="1"/>
  <c r="Z21" i="6" s="1"/>
  <c r="Y23" i="6"/>
  <c r="Y18" i="7"/>
  <c r="AB27" i="8"/>
  <c r="AA28" i="8"/>
  <c r="AC16" i="5" l="1"/>
  <c r="AC16" i="9" s="1"/>
  <c r="AC18" i="5"/>
  <c r="AD11" i="5" s="1"/>
  <c r="Z22" i="6"/>
  <c r="AA19" i="6" s="1"/>
  <c r="AA21" i="6" s="1"/>
  <c r="Z23" i="6"/>
  <c r="Z18" i="7"/>
  <c r="Y19" i="7"/>
  <c r="Y25" i="6"/>
  <c r="X25" i="6"/>
  <c r="X19" i="7"/>
  <c r="W26" i="6"/>
  <c r="W18" i="9"/>
  <c r="W20" i="9" s="1"/>
  <c r="W20" i="7"/>
  <c r="W21" i="7" s="1"/>
  <c r="V75" i="10"/>
  <c r="V73" i="10"/>
  <c r="V72" i="10"/>
  <c r="V70" i="10"/>
  <c r="V94" i="10"/>
  <c r="V90" i="10"/>
  <c r="V77" i="10"/>
  <c r="V76" i="10"/>
  <c r="V74" i="10"/>
  <c r="V71" i="10"/>
  <c r="V22" i="9"/>
  <c r="V93" i="10"/>
  <c r="V92" i="10"/>
  <c r="V91" i="10"/>
  <c r="V89" i="10"/>
  <c r="V88" i="10"/>
  <c r="V87" i="10"/>
  <c r="V86" i="10"/>
  <c r="V85" i="10"/>
  <c r="V84" i="10"/>
  <c r="V83" i="10"/>
  <c r="V82" i="10"/>
  <c r="V81" i="10"/>
  <c r="V80" i="10"/>
  <c r="V79" i="10"/>
  <c r="V78" i="10"/>
  <c r="V23" i="9"/>
  <c r="V24" i="9" s="1"/>
  <c r="AC27" i="8"/>
  <c r="AB28" i="8"/>
  <c r="AD18" i="5" l="1"/>
  <c r="AE11" i="5" s="1"/>
  <c r="AD16" i="5"/>
  <c r="AD16" i="9" s="1"/>
  <c r="AA22" i="6"/>
  <c r="AB19" i="6" s="1"/>
  <c r="AB21" i="6" s="1"/>
  <c r="AA23" i="6"/>
  <c r="AA18" i="7"/>
  <c r="Z19" i="7"/>
  <c r="Z25" i="6"/>
  <c r="Y26" i="6"/>
  <c r="Y20" i="7"/>
  <c r="Y21" i="7" s="1"/>
  <c r="Y18" i="9"/>
  <c r="Y20" i="9" s="1"/>
  <c r="Y90" i="10" s="1"/>
  <c r="X26" i="6"/>
  <c r="X18" i="9"/>
  <c r="X20" i="9" s="1"/>
  <c r="X20" i="7"/>
  <c r="X21" i="7" s="1"/>
  <c r="W87" i="10"/>
  <c r="W93" i="10"/>
  <c r="W91" i="10"/>
  <c r="W89" i="10"/>
  <c r="W85" i="10"/>
  <c r="W83" i="10"/>
  <c r="W81" i="10"/>
  <c r="W79" i="10"/>
  <c r="W77" i="10"/>
  <c r="W76" i="10"/>
  <c r="W75" i="10"/>
  <c r="W71" i="10"/>
  <c r="W94" i="10"/>
  <c r="W92" i="10"/>
  <c r="W90" i="10"/>
  <c r="W88" i="10"/>
  <c r="W86" i="10"/>
  <c r="W84" i="10"/>
  <c r="W82" i="10"/>
  <c r="W80" i="10"/>
  <c r="W78" i="10"/>
  <c r="W74" i="10"/>
  <c r="W73" i="10"/>
  <c r="W72" i="10"/>
  <c r="W70" i="10"/>
  <c r="W22" i="9"/>
  <c r="W23" i="9"/>
  <c r="W24" i="9" s="1"/>
  <c r="AD27" i="8"/>
  <c r="AC28" i="8"/>
  <c r="AE18" i="5" l="1"/>
  <c r="AF11" i="5" s="1"/>
  <c r="AE16" i="5"/>
  <c r="AE16" i="9" s="1"/>
  <c r="Y73" i="10"/>
  <c r="Y74" i="10"/>
  <c r="Y70" i="10"/>
  <c r="Y71" i="10"/>
  <c r="Y72" i="10"/>
  <c r="Y75" i="10"/>
  <c r="Y76" i="10"/>
  <c r="Y77" i="10"/>
  <c r="Y78" i="10"/>
  <c r="Y79" i="10"/>
  <c r="Y84" i="10"/>
  <c r="Y22" i="9"/>
  <c r="Y87" i="10"/>
  <c r="Y89" i="10"/>
  <c r="Y80" i="10"/>
  <c r="Y81" i="10"/>
  <c r="Y82" i="10"/>
  <c r="Y83" i="10"/>
  <c r="Y85" i="10"/>
  <c r="Y86" i="10"/>
  <c r="Y88" i="10"/>
  <c r="Y91" i="10"/>
  <c r="Y92" i="10"/>
  <c r="Y93" i="10"/>
  <c r="Y94" i="10"/>
  <c r="AB22" i="6"/>
  <c r="AC19" i="6" s="1"/>
  <c r="AC21" i="6" s="1"/>
  <c r="AC18" i="7" s="1"/>
  <c r="AB23" i="6"/>
  <c r="AB18" i="7"/>
  <c r="AA19" i="7"/>
  <c r="AA25" i="6"/>
  <c r="Z26" i="6"/>
  <c r="Z20" i="7"/>
  <c r="Z21" i="7" s="1"/>
  <c r="Z18" i="9"/>
  <c r="Z20" i="9" s="1"/>
  <c r="X85" i="10"/>
  <c r="X94" i="10"/>
  <c r="X93" i="10"/>
  <c r="X92" i="10"/>
  <c r="X91" i="10"/>
  <c r="X90" i="10"/>
  <c r="X89" i="10"/>
  <c r="X88" i="10"/>
  <c r="X87" i="10"/>
  <c r="X86" i="10"/>
  <c r="X84" i="10"/>
  <c r="X82" i="10"/>
  <c r="X81" i="10"/>
  <c r="X80" i="10"/>
  <c r="X79" i="10"/>
  <c r="X78" i="10"/>
  <c r="X77" i="10"/>
  <c r="X76" i="10"/>
  <c r="X75" i="10"/>
  <c r="X74" i="10"/>
  <c r="X73" i="10"/>
  <c r="X72" i="10"/>
  <c r="X71" i="10"/>
  <c r="X70" i="10"/>
  <c r="X22" i="9"/>
  <c r="X83" i="10"/>
  <c r="X23" i="9"/>
  <c r="AE27" i="8"/>
  <c r="AD28" i="8"/>
  <c r="AF18" i="5" l="1"/>
  <c r="AF16" i="5"/>
  <c r="AB19" i="7"/>
  <c r="AB25" i="6"/>
  <c r="AA26" i="6"/>
  <c r="AA20" i="7"/>
  <c r="AA21" i="7" s="1"/>
  <c r="AA18" i="9"/>
  <c r="AA20" i="9" s="1"/>
  <c r="Z22" i="9"/>
  <c r="Z78" i="10"/>
  <c r="Z79" i="10"/>
  <c r="Z80" i="10"/>
  <c r="Z81" i="10"/>
  <c r="Z82" i="10"/>
  <c r="Z83" i="10"/>
  <c r="Z84" i="10"/>
  <c r="Z85" i="10"/>
  <c r="Z86" i="10"/>
  <c r="Z87" i="10"/>
  <c r="Z88" i="10"/>
  <c r="Z89" i="10"/>
  <c r="Z90" i="10"/>
  <c r="Z91" i="10"/>
  <c r="Z92" i="10"/>
  <c r="Z93" i="10"/>
  <c r="Z94" i="10"/>
  <c r="Z70" i="10"/>
  <c r="Z76" i="10"/>
  <c r="Z71" i="10"/>
  <c r="Z72" i="10"/>
  <c r="Z73" i="10"/>
  <c r="Z74" i="10"/>
  <c r="Z75" i="10"/>
  <c r="Z77" i="10"/>
  <c r="AC22" i="6"/>
  <c r="AD19" i="6" s="1"/>
  <c r="AD21" i="6" s="1"/>
  <c r="AC23" i="6"/>
  <c r="Y23" i="9"/>
  <c r="X24" i="9"/>
  <c r="AF27" i="8"/>
  <c r="AF28" i="8" s="1"/>
  <c r="AE28" i="8"/>
  <c r="C34" i="5" l="1"/>
  <c r="C29" i="2"/>
  <c r="D29" i="2" s="1"/>
  <c r="F27" i="2" s="1"/>
  <c r="AF16" i="9"/>
  <c r="C29" i="5"/>
  <c r="B15" i="2" s="1"/>
  <c r="AA71" i="10"/>
  <c r="AA72" i="10"/>
  <c r="AA70" i="10"/>
  <c r="AA73" i="10"/>
  <c r="AA74" i="10"/>
  <c r="AA75" i="10"/>
  <c r="AB26" i="6"/>
  <c r="AB20" i="7"/>
  <c r="AB21" i="7" s="1"/>
  <c r="AB18" i="9"/>
  <c r="AB20" i="9" s="1"/>
  <c r="AA86" i="10"/>
  <c r="AA87" i="10"/>
  <c r="AA88" i="10"/>
  <c r="AA89" i="10"/>
  <c r="AA90" i="10"/>
  <c r="AA91" i="10"/>
  <c r="AA92" i="10"/>
  <c r="AA93" i="10"/>
  <c r="AA94" i="10"/>
  <c r="AA22" i="9"/>
  <c r="AA76" i="10"/>
  <c r="AA77" i="10"/>
  <c r="AA78" i="10"/>
  <c r="AA79" i="10"/>
  <c r="AA80" i="10"/>
  <c r="AA81" i="10"/>
  <c r="AA82" i="10"/>
  <c r="AA83" i="10"/>
  <c r="AA84" i="10"/>
  <c r="AA85" i="10"/>
  <c r="AD18" i="7"/>
  <c r="AD23" i="6"/>
  <c r="AD22" i="6"/>
  <c r="AE19" i="6" s="1"/>
  <c r="AE21" i="6" s="1"/>
  <c r="AC19" i="7"/>
  <c r="AC25" i="6"/>
  <c r="Z23" i="9"/>
  <c r="Y24" i="9"/>
  <c r="C36" i="8"/>
  <c r="C37" i="8" s="1"/>
  <c r="H11" i="2" s="1"/>
  <c r="AB70" i="10" l="1"/>
  <c r="AB71" i="10"/>
  <c r="AB72" i="10"/>
  <c r="AB73" i="10"/>
  <c r="AB74" i="10"/>
  <c r="AB75" i="10"/>
  <c r="AB76" i="10"/>
  <c r="AB77" i="10"/>
  <c r="AB78" i="10"/>
  <c r="AB79" i="10"/>
  <c r="AB80" i="10"/>
  <c r="AB81" i="10"/>
  <c r="AB82" i="10"/>
  <c r="AB83" i="10"/>
  <c r="AB84" i="10"/>
  <c r="AB85" i="10"/>
  <c r="AB86" i="10"/>
  <c r="AB87" i="10"/>
  <c r="AB88" i="10"/>
  <c r="AB89" i="10"/>
  <c r="AB90" i="10"/>
  <c r="AB94" i="10"/>
  <c r="AB22" i="9"/>
  <c r="AB91" i="10"/>
  <c r="AB92" i="10"/>
  <c r="AB93" i="10"/>
  <c r="AD19" i="7"/>
  <c r="AD25" i="6"/>
  <c r="AE22" i="6"/>
  <c r="AF19" i="6" s="1"/>
  <c r="AF21" i="6" s="1"/>
  <c r="AE23" i="6"/>
  <c r="AE18" i="7"/>
  <c r="AC26" i="6"/>
  <c r="AC20" i="7"/>
  <c r="AC21" i="7" s="1"/>
  <c r="AC18" i="9"/>
  <c r="AC20" i="9" s="1"/>
  <c r="Z24" i="9"/>
  <c r="AA23" i="9"/>
  <c r="AD20" i="7" l="1"/>
  <c r="AD21" i="7" s="1"/>
  <c r="AD26" i="6"/>
  <c r="AD18" i="9"/>
  <c r="AD20" i="9" s="1"/>
  <c r="AF18" i="7"/>
  <c r="AF23" i="6"/>
  <c r="AF22" i="6"/>
  <c r="AE19" i="7"/>
  <c r="AE25" i="6"/>
  <c r="AC70" i="10"/>
  <c r="AC71" i="10"/>
  <c r="AC72" i="10"/>
  <c r="AC73" i="10"/>
  <c r="AC74" i="10"/>
  <c r="AC75" i="10"/>
  <c r="AC76" i="10"/>
  <c r="AC77" i="10"/>
  <c r="AC78" i="10"/>
  <c r="AC79" i="10"/>
  <c r="AC80" i="10"/>
  <c r="AC81" i="10"/>
  <c r="AC82" i="10"/>
  <c r="AC83" i="10"/>
  <c r="AC84" i="10"/>
  <c r="AC85" i="10"/>
  <c r="AC22" i="9"/>
  <c r="AC86" i="10"/>
  <c r="AC87" i="10"/>
  <c r="AC88" i="10"/>
  <c r="AC89" i="10"/>
  <c r="AC90" i="10"/>
  <c r="AC91" i="10"/>
  <c r="AC92" i="10"/>
  <c r="AC93" i="10"/>
  <c r="AC94" i="10"/>
  <c r="AA24" i="9"/>
  <c r="AB23" i="9"/>
  <c r="AD84" i="10" l="1"/>
  <c r="AD83" i="10"/>
  <c r="AD82" i="10"/>
  <c r="AD80" i="10"/>
  <c r="AD76" i="10"/>
  <c r="AD73" i="10"/>
  <c r="AD72" i="10"/>
  <c r="AD70" i="10"/>
  <c r="AD94" i="10"/>
  <c r="AD93" i="10"/>
  <c r="AD91" i="10"/>
  <c r="AD87" i="10"/>
  <c r="AD92" i="10"/>
  <c r="AD85" i="10"/>
  <c r="AD81" i="10"/>
  <c r="AD77" i="10"/>
  <c r="AD75" i="10"/>
  <c r="AD74" i="10"/>
  <c r="AD71" i="10"/>
  <c r="AD90" i="10"/>
  <c r="AD88" i="10"/>
  <c r="AD86" i="10"/>
  <c r="AD79" i="10"/>
  <c r="AD78" i="10"/>
  <c r="AD22" i="9"/>
  <c r="AD89" i="10"/>
  <c r="AF19" i="7"/>
  <c r="AF25" i="6"/>
  <c r="AF20" i="7" s="1"/>
  <c r="AE26" i="6"/>
  <c r="AE20" i="7"/>
  <c r="AE21" i="7" s="1"/>
  <c r="AE18" i="9"/>
  <c r="AE20" i="9" s="1"/>
  <c r="AB24" i="9"/>
  <c r="AC23" i="9"/>
  <c r="AE94" i="10" l="1"/>
  <c r="AE93" i="10"/>
  <c r="AE92" i="10"/>
  <c r="AE91" i="10"/>
  <c r="AE90" i="10"/>
  <c r="AE89" i="10"/>
  <c r="AE88" i="10"/>
  <c r="AE87" i="10"/>
  <c r="AE86" i="10"/>
  <c r="AE85" i="10"/>
  <c r="AE84" i="10"/>
  <c r="AE83" i="10"/>
  <c r="AE82" i="10"/>
  <c r="AE81" i="10"/>
  <c r="AE80" i="10"/>
  <c r="AE79" i="10"/>
  <c r="AE78" i="10"/>
  <c r="AF26" i="6"/>
  <c r="AF18" i="9"/>
  <c r="AF20" i="9" s="1"/>
  <c r="AE77" i="10"/>
  <c r="AE76" i="10"/>
  <c r="AE75" i="10"/>
  <c r="AE74" i="10"/>
  <c r="AE73" i="10"/>
  <c r="AE72" i="10"/>
  <c r="AE71" i="10"/>
  <c r="AE70" i="10"/>
  <c r="AE22" i="9"/>
  <c r="AD23" i="9"/>
  <c r="AC24" i="9"/>
  <c r="C26" i="7"/>
  <c r="E15" i="2" s="1"/>
  <c r="AF21" i="7"/>
  <c r="C27" i="7" s="1"/>
  <c r="AF94" i="10" l="1"/>
  <c r="G20" i="10" s="1"/>
  <c r="AF93" i="10"/>
  <c r="F20" i="10" s="1"/>
  <c r="AF92" i="10"/>
  <c r="E20" i="10" s="1"/>
  <c r="AF91" i="10"/>
  <c r="D20" i="10" s="1"/>
  <c r="AF90" i="10"/>
  <c r="C20" i="10" s="1"/>
  <c r="AF89" i="10"/>
  <c r="G19" i="10" s="1"/>
  <c r="AF88" i="10"/>
  <c r="F19" i="10" s="1"/>
  <c r="AF87" i="10"/>
  <c r="E19" i="10" s="1"/>
  <c r="AF86" i="10"/>
  <c r="D19" i="10" s="1"/>
  <c r="AF22" i="9"/>
  <c r="C28" i="9" s="1"/>
  <c r="E12" i="2" s="1"/>
  <c r="AF85" i="10"/>
  <c r="C19" i="10" s="1"/>
  <c r="AF84" i="10"/>
  <c r="G18" i="10" s="1"/>
  <c r="AF83" i="10"/>
  <c r="F18" i="10" s="1"/>
  <c r="C27" i="9"/>
  <c r="B12" i="2" s="1"/>
  <c r="AF82" i="10"/>
  <c r="E18" i="10" s="1"/>
  <c r="AF81" i="10"/>
  <c r="D18" i="10" s="1"/>
  <c r="AF80" i="10"/>
  <c r="C18" i="10" s="1"/>
  <c r="AF79" i="10"/>
  <c r="G17" i="10" s="1"/>
  <c r="AF78" i="10"/>
  <c r="F17" i="10" s="1"/>
  <c r="AF77" i="10"/>
  <c r="E17" i="10" s="1"/>
  <c r="AF76" i="10"/>
  <c r="D17" i="10" s="1"/>
  <c r="AF75" i="10"/>
  <c r="C17" i="10" s="1"/>
  <c r="AF74" i="10"/>
  <c r="G16" i="10" s="1"/>
  <c r="AF73" i="10"/>
  <c r="F16" i="10" s="1"/>
  <c r="AF72" i="10"/>
  <c r="E16" i="10" s="1"/>
  <c r="AF71" i="10"/>
  <c r="D16" i="10" s="1"/>
  <c r="AF70" i="10"/>
  <c r="C16" i="10" s="1"/>
  <c r="C31" i="9"/>
  <c r="H15" i="2" s="1"/>
  <c r="AE23" i="9"/>
  <c r="AD24" i="9"/>
  <c r="H16" i="2" l="1"/>
  <c r="P19" i="1"/>
  <c r="N19" i="1"/>
  <c r="D20" i="2"/>
  <c r="AE24" i="9"/>
  <c r="AF23" i="9"/>
  <c r="AF24" i="9" s="1"/>
  <c r="H20" i="2" l="1"/>
  <c r="G20" i="2"/>
  <c r="C29" i="9"/>
  <c r="C30" i="9" s="1"/>
  <c r="H12" i="2" s="1"/>
  <c r="A22" i="2" l="1"/>
  <c r="A21" i="2"/>
</calcChain>
</file>

<file path=xl/sharedStrings.xml><?xml version="1.0" encoding="utf-8"?>
<sst xmlns="http://schemas.openxmlformats.org/spreadsheetml/2006/main" count="1089" uniqueCount="707">
  <si>
    <t>DANH MỤC TỪ VIẾT TẮT / LIST OF ABBREVIATIONS</t>
  </si>
  <si>
    <t>Mô hình phân tích kinh tế – tài chính dự án năng lượng tái tạo</t>
  </si>
  <si>
    <t>STT</t>
  </si>
  <si>
    <t>Từ viết tắt</t>
  </si>
  <si>
    <t>Tên đầy đủ tiếng Anh</t>
  </si>
  <si>
    <t>Tên tiếng Việt</t>
  </si>
  <si>
    <t>Giải thích / Cách sử dụng trong mô hình</t>
  </si>
  <si>
    <t>AEP</t>
  </si>
  <si>
    <t>Annual Energy Production</t>
  </si>
  <si>
    <t>Sản lượng điện năng hằng năm</t>
  </si>
  <si>
    <t>Sản lượng điện dự kiến phát trong một năm.</t>
  </si>
  <si>
    <t>CAPEX</t>
  </si>
  <si>
    <t>Capital Expenditure</t>
  </si>
  <si>
    <t>Chi phí đầu tư / Tổng mức đầu tư</t>
  </si>
  <si>
    <t>Chi phí hình thành tài sản của dự án, gồm nhà máy điện và đấu nối.</t>
  </si>
  <si>
    <t>CF</t>
  </si>
  <si>
    <t>Capacity Factor</t>
  </si>
  <si>
    <t>Hệ số công suất</t>
  </si>
  <si>
    <t>Tỷ lệ giữa sản lượng thực tế và sản lượng lý thuyết ở công suất định mức.</t>
  </si>
  <si>
    <t>CFADS</t>
  </si>
  <si>
    <t>Cash Flow Available for Debt Service</t>
  </si>
  <si>
    <t>Dòng tiền sẵn có để trả nợ</t>
  </si>
  <si>
    <t>Dòng tiền dùng để thanh toán gốc và lãi vay.</t>
  </si>
  <si>
    <t>COD</t>
  </si>
  <si>
    <t>Commercial Operation Date</t>
  </si>
  <si>
    <t>Ngày vận hành thương mại</t>
  </si>
  <si>
    <t>Thời điểm dự án bắt đầu vận hành và ghi nhận doanh thu.</t>
  </si>
  <si>
    <t>CIT</t>
  </si>
  <si>
    <t>Corporate Income Tax</t>
  </si>
  <si>
    <t>Thuế thu nhập doanh nghiệp (TNDN)</t>
  </si>
  <si>
    <t>Thuế tính trên thu nhập chịu thuế của doanh nghiệp dự án.</t>
  </si>
  <si>
    <t>DCF</t>
  </si>
  <si>
    <t>Discounted Cash Flow</t>
  </si>
  <si>
    <t>Dòng tiền chiết khấu</t>
  </si>
  <si>
    <t>Phương pháp quy đổi dòng tiền tương lai về giá trị hiện tại.</t>
  </si>
  <si>
    <t>Dep.</t>
  </si>
  <si>
    <t>Depreciation</t>
  </si>
  <si>
    <t>Khấu hao</t>
  </si>
  <si>
    <t>Phân bổ nguyên giá tài sản cố định vào chi phí qua thời gian.</t>
  </si>
  <si>
    <t>DSCR</t>
  </si>
  <si>
    <t>Debt Service Coverage Ratio</t>
  </si>
  <si>
    <t>Hệ số khả năng trả nợ</t>
  </si>
  <si>
    <t>CFADS chia cho tổng gốc và lãi phải trả trong kỳ.</t>
  </si>
  <si>
    <t>EBIT</t>
  </si>
  <si>
    <t>Earnings Before Interest and Taxes</t>
  </si>
  <si>
    <t>Lợi nhuận trước lãi vay và thuế</t>
  </si>
  <si>
    <t>Doanh thu trừ chi phí hoạt động và khấu hao.</t>
  </si>
  <si>
    <t>EBITDA</t>
  </si>
  <si>
    <t>Earnings Before Interest, Taxes, Depreciation and Amortization</t>
  </si>
  <si>
    <t>Lợi nhuận trước lãi vay, thuế và khấu hao</t>
  </si>
  <si>
    <t>Chỉ tiêu phản ánh hiệu quả hoạt động trước chi phí tài trợ và khấu hao.</t>
  </si>
  <si>
    <t>EIRR</t>
  </si>
  <si>
    <t>Economic Internal Rate of Return</t>
  </si>
  <si>
    <t>Tỷ suất hoàn vốn nội bộ kinh tế</t>
  </si>
  <si>
    <t>IRR theo góc nhìn kinh tế – xã hội, nếu có phân tích kinh tế.</t>
  </si>
  <si>
    <t>ENPV</t>
  </si>
  <si>
    <t>Economic Net Present Value</t>
  </si>
  <si>
    <t>Giá trị hiện tại thuần kinh tế</t>
  </si>
  <si>
    <t>NPV theo góc nhìn kinh tế – xã hội, nếu có phân tích kinh tế.</t>
  </si>
  <si>
    <t>Equity CF</t>
  </si>
  <si>
    <t>Equity Cash Flow</t>
  </si>
  <si>
    <t>Dòng tiền vốn chủ sở hữu</t>
  </si>
  <si>
    <t>Dòng tiền còn lại cho chủ đầu tư sau tài trợ, trả nợ và thuế.</t>
  </si>
  <si>
    <t>Equity IRR</t>
  </si>
  <si>
    <t>Equity Internal Rate of Return</t>
  </si>
  <si>
    <t>Tỷ suất hoàn vốn nội bộ vốn chủ sở hữu</t>
  </si>
  <si>
    <t>Mức sinh lời nội bộ của phần vốn chủ sở hữu.</t>
  </si>
  <si>
    <t>Equity NPV</t>
  </si>
  <si>
    <t>Equity Net Present Value</t>
  </si>
  <si>
    <t>Giá trị hiện tại thuần vốn chủ sở hữu</t>
  </si>
  <si>
    <t>Giá trị hiện tại của dòng tiền vốn chủ sau khi trừ vốn góp ban đầu.</t>
  </si>
  <si>
    <t>FLH</t>
  </si>
  <si>
    <t>Full Load Hours</t>
  </si>
  <si>
    <t>Số giờ vận hành quy đổi toàn tải</t>
  </si>
  <si>
    <t>AEP chia cho công suất lắp đặt; FLH = CF × 8.760 giờ.</t>
  </si>
  <si>
    <t>IDC</t>
  </si>
  <si>
    <t>Interest During Construction</t>
  </si>
  <si>
    <t>Lãi vay trong thời gian xây dựng</t>
  </si>
  <si>
    <t>Lãi vay phát sinh trước COD, thường được vốn hóa vào tổng đầu tư.</t>
  </si>
  <si>
    <t>IRR</t>
  </si>
  <si>
    <t>Internal Rate of Return</t>
  </si>
  <si>
    <t>Tỷ suất hoàn vốn nội bộ</t>
  </si>
  <si>
    <t>Tỷ lệ chiết khấu làm NPV của dòng tiền bằng 0.</t>
  </si>
  <si>
    <t>kWh</t>
  </si>
  <si>
    <t>Kilowatt-hour</t>
  </si>
  <si>
    <t>Kilôwatt giờ</t>
  </si>
  <si>
    <t>Đơn vị điện năng.</t>
  </si>
  <si>
    <t>LCOE</t>
  </si>
  <si>
    <t>Levelized Cost of Energy</t>
  </si>
  <si>
    <t>Chi phí điện quy dẫn</t>
  </si>
  <si>
    <t>Chi phí bình quân chiết khấu để sản xuất một đơn vị điện năng.</t>
  </si>
  <si>
    <t>LLCR</t>
  </si>
  <si>
    <t>Loan Life Coverage Ratio</t>
  </si>
  <si>
    <t>Hệ số bảo đảm trả nợ trong thời hạn vay</t>
  </si>
  <si>
    <t>Giá trị hiện tại của CFADS trong thời hạn vay chia cho dư nợ.</t>
  </si>
  <si>
    <t>MW</t>
  </si>
  <si>
    <t>Megawatt</t>
  </si>
  <si>
    <t>Đơn vị công suất, bằng 1.000 kW.</t>
  </si>
  <si>
    <t>MWh</t>
  </si>
  <si>
    <t>Megawatt-hour</t>
  </si>
  <si>
    <t>Megawatt giờ</t>
  </si>
  <si>
    <t>Đơn vị điện năng, bằng 1.000 kWh.</t>
  </si>
  <si>
    <t>NPV</t>
  </si>
  <si>
    <t>Net Present Value</t>
  </si>
  <si>
    <t>Giá trị hiện tại thuần</t>
  </si>
  <si>
    <t>Tổng giá trị hiện tại của dòng tiền vào trừ dòng tiền ra.</t>
  </si>
  <si>
    <t>O&amp;M</t>
  </si>
  <si>
    <t>Operation and Maintenance</t>
  </si>
  <si>
    <t>Vận hành và bảo dưỡng</t>
  </si>
  <si>
    <t>Chi phí vận hành, bảo dưỡng hằng năm; mô hình nhập theo % CAPEX/năm.</t>
  </si>
  <si>
    <t>P50</t>
  </si>
  <si>
    <t>50% Probability of Exceedance</t>
  </si>
  <si>
    <t>Mức sản lượng có xác suất vượt 50%</t>
  </si>
  <si>
    <t>Kịch bản sản lượng cơ sở/trung vị.</t>
  </si>
  <si>
    <t>P75</t>
  </si>
  <si>
    <t>75% Probability of Exceedance</t>
  </si>
  <si>
    <t>Mức sản lượng có xác suất vượt 75%</t>
  </si>
  <si>
    <t>Kịch bản sản lượng thận trọng hơn P50.</t>
  </si>
  <si>
    <t>P90</t>
  </si>
  <si>
    <t>90% Probability of Exceedance</t>
  </si>
  <si>
    <t>Mức sản lượng có xác suất vượt 90%</t>
  </si>
  <si>
    <t>Kịch bản bảo thủ thường dùng để kiểm tra khả năng trả nợ.</t>
  </si>
  <si>
    <t>PPA</t>
  </si>
  <si>
    <t>Power Purchase Agreement</t>
  </si>
  <si>
    <t>Hợp đồng mua bán điện</t>
  </si>
  <si>
    <t>Quy định giá điện, sản lượng và các điều kiện thương mại.</t>
  </si>
  <si>
    <t>Project CF</t>
  </si>
  <si>
    <t>Project Cash Flow</t>
  </si>
  <si>
    <t>Dòng tiền toàn dự án</t>
  </si>
  <si>
    <t>Dòng tiền trước tài trợ, không phụ thuộc cơ cấu vay và vốn chủ.</t>
  </si>
  <si>
    <t>Project IRR</t>
  </si>
  <si>
    <t>Project Internal Rate of Return</t>
  </si>
  <si>
    <t>Tỷ suất hoàn vốn nội bộ dự án</t>
  </si>
  <si>
    <t>IRR của dòng tiền toàn dự án trước tài trợ.</t>
  </si>
  <si>
    <t>Project NPV</t>
  </si>
  <si>
    <t>Project Net Present Value</t>
  </si>
  <si>
    <t>Giá trị hiện tại thuần dự án</t>
  </si>
  <si>
    <t>NPV của dòng tiền toàn dự án tại tỷ lệ chiết khấu dự án.</t>
  </si>
  <si>
    <t>VAT</t>
  </si>
  <si>
    <t>Value Added Tax</t>
  </si>
  <si>
    <t>Thuế giá trị gia tăng (GTGT)</t>
  </si>
  <si>
    <t>Thuế gián thu áp dụng cho hàng hóa và dịch vụ.</t>
  </si>
  <si>
    <t>WACC</t>
  </si>
  <si>
    <t>Weighted Average Cost of Capital</t>
  </si>
  <si>
    <t>Chi phí sử dụng vốn bình quân gia quyền</t>
  </si>
  <si>
    <t>Tỷ lệ chiết khấu phản ánh chi phí bình quân của vốn vay và vốn chủ.</t>
  </si>
  <si>
    <t>DỮ LIỆU ĐẦU VÀO – PHÂN TÍCH KINH TẾ TÀI CHÍNH DỰ ÁN NĂNG LƯỢNG TÁI TẠO</t>
  </si>
  <si>
    <t>Áp dụng chung cho dự án điện gió và điện mặt trời; chỉ sử dụng các giả định phục vụ tính toán kinh tế – tài chính.</t>
  </si>
  <si>
    <t>Phiên bản: Ver1.7  |  Cập nhật: 28/07/2026  |  Đơn vị tiền tệ mặc định: tỷ VND</t>
  </si>
  <si>
    <t>QUY ƯỚC MÀU</t>
  </si>
  <si>
    <t>KẾT QUẢ TÍNH NHANH</t>
  </si>
  <si>
    <t>Số liệu phải nhập</t>
  </si>
  <si>
    <t>123</t>
  </si>
  <si>
    <t>Chữ đậm: thông số hoặc kết quả quan trọng</t>
  </si>
  <si>
    <t>Chỉ tiêu</t>
  </si>
  <si>
    <t>Giá trị</t>
  </si>
  <si>
    <t>Đơn vị</t>
  </si>
  <si>
    <t>Kết quả tính toán</t>
  </si>
  <si>
    <t>Ô để trống hoặc ghi 0 nếu nội dung tùy chọn không áp dụng.</t>
  </si>
  <si>
    <t>Công suất lắp đặt</t>
  </si>
  <si>
    <t>Năm COD</t>
  </si>
  <si>
    <t>Năm</t>
  </si>
  <si>
    <t>Mã</t>
  </si>
  <si>
    <t>Thông số</t>
  </si>
  <si>
    <t>Ký hiệu</t>
  </si>
  <si>
    <t>Trạng thái</t>
  </si>
  <si>
    <t>Ghi chú</t>
  </si>
  <si>
    <t>Năm kết thúc vận hành</t>
  </si>
  <si>
    <t>1. THÔNG TIN CHUNG VÀ TIẾN ĐỘ DỰ ÁN</t>
  </si>
  <si>
    <t>GEN-01</t>
  </si>
  <si>
    <t>Tên dự án</t>
  </si>
  <si>
    <t>Project</t>
  </si>
  <si>
    <t>Dự án Nhà máy điện gió Vân Canh 2</t>
  </si>
  <si>
    <t>-</t>
  </si>
  <si>
    <t>Bắt buộc</t>
  </si>
  <si>
    <t>Theo thông tin do người dùng cung cấp.</t>
  </si>
  <si>
    <t>Tổng vốn đầu tư chưa VAT</t>
  </si>
  <si>
    <t>Tỷ VND</t>
  </si>
  <si>
    <t>GEN-02</t>
  </si>
  <si>
    <t>Capacity</t>
  </si>
  <si>
    <t>Dùng tính vốn đầu tư và sản lượng điện.</t>
  </si>
  <si>
    <t>Vốn đầu tư phần nhà máy điện</t>
  </si>
  <si>
    <t>GEN-03</t>
  </si>
  <si>
    <t>Năm cơ sở của giá</t>
  </si>
  <si>
    <t>Base year</t>
  </si>
  <si>
    <t>Giá điện và các giả định đầu vào được quy về mặt bằng năm 2025.</t>
  </si>
  <si>
    <t>Vốn đầu tư phần đấu nối</t>
  </si>
  <si>
    <t>GEN-04</t>
  </si>
  <si>
    <t>Năm bắt đầu đầu tư</t>
  </si>
  <si>
    <t>Start year</t>
  </si>
  <si>
    <t>Giả định cơ sở để thiết lập tiến độ dự án.</t>
  </si>
  <si>
    <t>Suất đầu tư kể cả đấu nối</t>
  </si>
  <si>
    <t>Tỷ VND/MW</t>
  </si>
  <si>
    <t>GEN-05</t>
  </si>
  <si>
    <t>Thời gian xây dựng</t>
  </si>
  <si>
    <t>Construction</t>
  </si>
  <si>
    <t>Giả định typical; tối đa 5 năm trong Ver1.</t>
  </si>
  <si>
    <t>Giá trị khoản vay</t>
  </si>
  <si>
    <t>GEN-06</t>
  </si>
  <si>
    <t>Năm vận hành thương mại</t>
  </si>
  <si>
    <t>COD year</t>
  </si>
  <si>
    <t>Tự tính</t>
  </si>
  <si>
    <t>Năm bắt đầu ghi nhận sản lượng và doanh thu.</t>
  </si>
  <si>
    <t>Vốn chủ sở hữu ban đầu</t>
  </si>
  <si>
    <t>GEN-07</t>
  </si>
  <si>
    <t>Thời gian vận hành</t>
  </si>
  <si>
    <t>Operating life</t>
  </si>
  <si>
    <t>Giả định typical cho mô hình cơ sở.</t>
  </si>
  <si>
    <t>Sản lượng điện năm đầu</t>
  </si>
  <si>
    <t>CHỈ TIÊU HIỆU QUẢ</t>
  </si>
  <si>
    <t>GEN-08</t>
  </si>
  <si>
    <t>End year</t>
  </si>
  <si>
    <t>Năm cuối cùng của thời gian phân tích.</t>
  </si>
  <si>
    <t>Giá bán điện</t>
  </si>
  <si>
    <t>VND/kWh</t>
  </si>
  <si>
    <t>Doanh thu năm đầu</t>
  </si>
  <si>
    <t>2. VỐN ĐẦU TƯ</t>
  </si>
  <si>
    <t>Tỷ lệ O&amp;M năm đầu</t>
  </si>
  <si>
    <t>% CAPEX/năm</t>
  </si>
  <si>
    <t>CAP-01</t>
  </si>
  <si>
    <t>Tổng vốn đầu tư dự án chưa VAT</t>
  </si>
  <si>
    <t>Total project CAPEX</t>
  </si>
  <si>
    <t>Tổng phần nhà máy điện và phần đấu nối; chưa bao gồm VAT và lãi vay xây dựng.</t>
  </si>
  <si>
    <t>EBITDA năm đầu</t>
  </si>
  <si>
    <t>CAP-02</t>
  </si>
  <si>
    <t>Suất vốn đầu tư</t>
  </si>
  <si>
    <t>Unit CAPEX</t>
  </si>
  <si>
    <t>Biên EBITDA năm đầu</t>
  </si>
  <si>
    <t>%</t>
  </si>
  <si>
    <t>CAP-03</t>
  </si>
  <si>
    <t>Thuế suất VAT đầu tư</t>
  </si>
  <si>
    <t>VAT capex</t>
  </si>
  <si>
    <t>Giả định cơ sở; cần cập nhật theo hợp đồng và quy định áp dụng.</t>
  </si>
  <si>
    <t>Kiểm tra giải ngân</t>
  </si>
  <si>
    <t>CAP-04</t>
  </si>
  <si>
    <t>Tỷ lệ VAT được khấu trừ/hoàn</t>
  </si>
  <si>
    <t>VAT recoverable</t>
  </si>
  <si>
    <t>Giả định toàn bộ VAT đầu vào đủ điều kiện được khấu trừ/hoàn.</t>
  </si>
  <si>
    <t>CAP-05</t>
  </si>
  <si>
    <t>Tổng vốn đầu tư bao gồm VAT</t>
  </si>
  <si>
    <t>CAPEX incl. VAT</t>
  </si>
  <si>
    <t>Tổng nhu cầu tiền đầu tư trước khi nhận hoàn VAT.</t>
  </si>
  <si>
    <t>CAP-06</t>
  </si>
  <si>
    <t>Cơ sở vốn đầu tư kinh tế</t>
  </si>
  <si>
    <t>Economic CAPEX</t>
  </si>
  <si>
    <t>CAPEX chưa VAT cộng phần VAT không được khấu trừ/hoàn.</t>
  </si>
  <si>
    <t>CAP-07</t>
  </si>
  <si>
    <t>Thời gian hoàn VAT</t>
  </si>
  <si>
    <t>VAT lag</t>
  </si>
  <si>
    <t>Tùy chọn</t>
  </si>
  <si>
    <t>Giả định hoàn/khấu trừ VAT sau 1 năm.</t>
  </si>
  <si>
    <t>CAP-08</t>
  </si>
  <si>
    <t>Giá trị thu hồi ròng cuối dự án</t>
  </si>
  <si>
    <t>Net terminal value</t>
  </si>
  <si>
    <t>Giá trị thu hồi trừ chi phí tháo dỡ; giả định cơ sở bằng 0.</t>
  </si>
  <si>
    <t>CAP-09</t>
  </si>
  <si>
    <t>Tổng vốn đầu tư phần đấu nối, chưa VAT</t>
  </si>
  <si>
    <t>Total connection CAPEX</t>
  </si>
  <si>
    <t>Tổng vốn đầu tư phần trạm biến áp và phần đường dây đấu nối; chưa bao gồm VAT.</t>
  </si>
  <si>
    <t>CAP-10</t>
  </si>
  <si>
    <t>Vốn đầu tư phần trạm biến áp</t>
  </si>
  <si>
    <t>CAP-11</t>
  </si>
  <si>
    <t>Chiều dài đường dây đấu nối</t>
  </si>
  <si>
    <t>km</t>
  </si>
  <si>
    <t>CAP-12</t>
  </si>
  <si>
    <t>Suất đầu tư đường dây đấu nối</t>
  </si>
  <si>
    <t>Tỷ VND/km</t>
  </si>
  <si>
    <t>3. TIẾN ĐỘ GIẢI NGÂN VỐN ĐẦU TƯ</t>
  </si>
  <si>
    <t>Năm xây dựng</t>
  </si>
  <si>
    <t>Tỷ lệ giải ngân</t>
  </si>
  <si>
    <t>DIS-01</t>
  </si>
  <si>
    <t>Năm xây dựng 1</t>
  </si>
  <si>
    <t>Year 1</t>
  </si>
  <si>
    <t>Giả định typical: giải ngân 40% năm 1 và 60% năm 2.</t>
  </si>
  <si>
    <t>DIS-02</t>
  </si>
  <si>
    <t>Năm xây dựng 2</t>
  </si>
  <si>
    <t>Year 2</t>
  </si>
  <si>
    <t>DIS-03</t>
  </si>
  <si>
    <t>Năm xây dựng 3</t>
  </si>
  <si>
    <t>Year 3</t>
  </si>
  <si>
    <t>Không phát sinh trong kịch bản cơ sở.</t>
  </si>
  <si>
    <t>DIS-04</t>
  </si>
  <si>
    <t>Năm xây dựng 4</t>
  </si>
  <si>
    <t>Year 4</t>
  </si>
  <si>
    <t>DIS-05</t>
  </si>
  <si>
    <t>Năm xây dựng 5</t>
  </si>
  <si>
    <t>Year 5</t>
  </si>
  <si>
    <t>DIS-06</t>
  </si>
  <si>
    <t>Tổng tỷ lệ giải ngân</t>
  </si>
  <si>
    <t>Total</t>
  </si>
  <si>
    <t>Kiểm tra</t>
  </si>
  <si>
    <t>Phải bằng 100%.</t>
  </si>
  <si>
    <t>4. SẢN LƯỢNG VÀ DOANH THU</t>
  </si>
  <si>
    <t>REV-01</t>
  </si>
  <si>
    <t>Kịch bản sản lượng</t>
  </si>
  <si>
    <t>Energy case</t>
  </si>
  <si>
    <t>Chọn P50, P75, P90 hoặc Khác.</t>
  </si>
  <si>
    <t>REV-02</t>
  </si>
  <si>
    <t>Hệ số công suất ròng</t>
  </si>
  <si>
    <t>Net capacity factor</t>
  </si>
  <si>
    <t>Giả định typical để lập mô hình sơ bộ; thay bằng AEP P50 từ báo cáo năng lượng khi có.</t>
  </si>
  <si>
    <t>REV-03</t>
  </si>
  <si>
    <t>Số giờ phát công suất lớn nhất (FLH)</t>
  </si>
  <si>
    <t>Giờ/năm</t>
  </si>
  <si>
    <t>REV-04</t>
  </si>
  <si>
    <t>Sản lượng điện thương phẩm năm đầu</t>
  </si>
  <si>
    <t>AEP net</t>
  </si>
  <si>
    <t>MWh/năm</t>
  </si>
  <si>
    <t>Công suất × 8.760 giờ × hệ số công suất ròng.</t>
  </si>
  <si>
    <t>REV-05</t>
  </si>
  <si>
    <t>Tỷ lệ suy giảm sản lượng hằng năm</t>
  </si>
  <si>
    <t>Degradation</t>
  </si>
  <si>
    <t>%/năm</t>
  </si>
  <si>
    <t>Giả định typical 0,2%/năm.</t>
  </si>
  <si>
    <t>REV-06</t>
  </si>
  <si>
    <t>Giá bán điện năm đầu, chưa VAT</t>
  </si>
  <si>
    <t>Tariff</t>
  </si>
  <si>
    <t>Giá tối đa điện gió trên đất liền miền Trung năm 2025 theo QĐ 1508/QĐ-BCT; không mặc nhiên là giá PPA.</t>
  </si>
  <si>
    <t>REV-07</t>
  </si>
  <si>
    <t>Tỷ lệ tăng giá điện hằng năm</t>
  </si>
  <si>
    <t>Tariff escalation</t>
  </si>
  <si>
    <t>Giả định giá cố định; cập nhật theo PPA thực tế.</t>
  </si>
  <si>
    <t>REV-08</t>
  </si>
  <si>
    <t>Doanh thu năm vận hành đầu tiên</t>
  </si>
  <si>
    <t>Revenue Y1</t>
  </si>
  <si>
    <t>Doanh thu điện cộng doanh thu khác tại dòng kế tiếp.</t>
  </si>
  <si>
    <t>REV-09</t>
  </si>
  <si>
    <t>Trong đó: Doanh thu khác năm đầu</t>
  </si>
  <si>
    <t>Other revenue</t>
  </si>
  <si>
    <t>Tỷ VND/năm</t>
  </si>
  <si>
    <t>Chưa xét REC, I-REC, tín chỉ carbon hoặc nguồn thu khác.</t>
  </si>
  <si>
    <t>5. CHI PHÍ VẬN HÀNH</t>
  </si>
  <si>
    <t>OPE-01</t>
  </si>
  <si>
    <t>Tỷ lệ O&amp;M năm đầu trên CAPEX</t>
  </si>
  <si>
    <t>O&amp;M rate Y1</t>
  </si>
  <si>
    <t>Giả định typical 2% CAPEX/năm; thay bằng tỷ lệ O&amp;M thực tế.</t>
  </si>
  <si>
    <t>OPE-02</t>
  </si>
  <si>
    <t>Tỷ lệ tăng O&amp;M hằng năm</t>
  </si>
  <si>
    <t>O&amp;M escalation</t>
  </si>
  <si>
    <t>Giả định typical 3%/năm.</t>
  </si>
  <si>
    <t>OPE-03</t>
  </si>
  <si>
    <t>EBITDA năm vận hành đầu tiên</t>
  </si>
  <si>
    <t>EBITDA Y1</t>
  </si>
  <si>
    <t>Chưa xét khấu hao, lãi vay và thuế.</t>
  </si>
  <si>
    <t>6. CƠ CẤU VỐN VÀ KHOẢN VAY</t>
  </si>
  <si>
    <t>FIN-01</t>
  </si>
  <si>
    <t>Tỷ lệ vốn vay</t>
  </si>
  <si>
    <t>Debt ratio</t>
  </si>
  <si>
    <t>Giả định typical 70% vốn vay.</t>
  </si>
  <si>
    <t>FIN-02</t>
  </si>
  <si>
    <t>Tỷ lệ vốn chủ sở hữu</t>
  </si>
  <si>
    <t>Equity ratio</t>
  </si>
  <si>
    <t>Bằng 100% trừ tỷ lệ vốn vay.</t>
  </si>
  <si>
    <t>FIN-03</t>
  </si>
  <si>
    <t>Lãi suất vay</t>
  </si>
  <si>
    <t>Interest rate</t>
  </si>
  <si>
    <t>Giả định typical 10%/năm, lãi suất cố định trong Ver1.</t>
  </si>
  <si>
    <t>FIN-04</t>
  </si>
  <si>
    <t>Thời hạn vay</t>
  </si>
  <si>
    <t>Debt tenor</t>
  </si>
  <si>
    <t>Giả định typical, tính từ thời điểm bắt đầu trả nợ.</t>
  </si>
  <si>
    <t>FIN-05</t>
  </si>
  <si>
    <t>Thời gian ân hạn gốc</t>
  </si>
  <si>
    <t>Grace period</t>
  </si>
  <si>
    <t>Giả định bằng thời gian xây dựng.</t>
  </si>
  <si>
    <t>FIN-06</t>
  </si>
  <si>
    <t>Phương thức trả gốc</t>
  </si>
  <si>
    <t>Repayment</t>
  </si>
  <si>
    <t>Gốc đều</t>
  </si>
  <si>
    <t>Chọn Gốc đều hoặc Niên kim.</t>
  </si>
  <si>
    <t>FIN-07</t>
  </si>
  <si>
    <t>Phí thu xếp khoản vay</t>
  </si>
  <si>
    <t>Upfront fee</t>
  </si>
  <si>
    <t>% khoản vay</t>
  </si>
  <si>
    <t>Giả định typical 1% giá trị khoản vay.</t>
  </si>
  <si>
    <t>FIN-08</t>
  </si>
  <si>
    <t>DSCR tối thiểu yêu cầu</t>
  </si>
  <si>
    <t>Minimum DSCR</t>
  </si>
  <si>
    <t>Lần</t>
  </si>
  <si>
    <t>Giả định ngưỡng kiểm tra khả năng trả nợ.</t>
  </si>
  <si>
    <t>FIN-09</t>
  </si>
  <si>
    <t>Debt amount</t>
  </si>
  <si>
    <t>Chưa bao gồm lãi vay trong xây dựng và phí thu xếp vốn.</t>
  </si>
  <si>
    <t>FIN-10</t>
  </si>
  <si>
    <t>Equity amount</t>
  </si>
  <si>
    <t>Phần cơ sở vốn đầu tư kinh tế không được tài trợ bằng khoản vay.</t>
  </si>
  <si>
    <t>7. THUẾ, KHẤU HAO VÀ TỶ LỆ CHIẾT KHẤU</t>
  </si>
  <si>
    <t>TAX-01</t>
  </si>
  <si>
    <t>Thuế suất thuế TNDN thông thường</t>
  </si>
  <si>
    <t>CIT standard</t>
  </si>
  <si>
    <t>Thuế suất phổ thông dùng làm giả định cơ sở.</t>
  </si>
  <si>
    <t>TAX-02</t>
  </si>
  <si>
    <t>Thuế suất thuế TNDN ưu đãi</t>
  </si>
  <si>
    <t>CIT incentive</t>
  </si>
  <si>
    <t>Giả định dự án đầu tư mới năng lượng tái tạo đủ điều kiện; cần xác minh pháp lý.</t>
  </si>
  <si>
    <t>TAX-03</t>
  </si>
  <si>
    <t>Thời gian áp dụng thuế suất ưu đãi</t>
  </si>
  <si>
    <t>Incentive period</t>
  </si>
  <si>
    <t>Giả định ưu đãi 10% trong 15 năm.</t>
  </si>
  <si>
    <t>TAX-04</t>
  </si>
  <si>
    <t>Thời gian miễn thuế</t>
  </si>
  <si>
    <t>Tax holiday</t>
  </si>
  <si>
    <t>Giả định miễn thuế 4 năm; cần xác minh thời điểm bắt đầu ưu đãi.</t>
  </si>
  <si>
    <t>TAX-05</t>
  </si>
  <si>
    <t>Thời gian giảm 50% thuế</t>
  </si>
  <si>
    <t>Tax reduction</t>
  </si>
  <si>
    <t>Giả định giảm 50% thuế trong 9 năm tiếp theo.</t>
  </si>
  <si>
    <t>TAX-06</t>
  </si>
  <si>
    <t>Thời gian khấu hao tài sản</t>
  </si>
  <si>
    <t>Depreciation life</t>
  </si>
  <si>
    <t>Giả định khấu hao đường thẳng theo thời gian vận hành.</t>
  </si>
  <si>
    <t>TAX-07</t>
  </si>
  <si>
    <t>Thời gian chuyển lỗ tối đa</t>
  </si>
  <si>
    <t>Loss carryforward</t>
  </si>
  <si>
    <t>Giả định cơ sở; cần cập nhật theo quy định áp dụng.</t>
  </si>
  <si>
    <t>VAL-01</t>
  </si>
  <si>
    <t>Tỷ lệ chiết khấu dự án</t>
  </si>
  <si>
    <t>Project discount</t>
  </si>
  <si>
    <t>Giả định typical dùng tính Project NPV.</t>
  </si>
  <si>
    <t>VAL-02</t>
  </si>
  <si>
    <t>Tỷ lệ chiết khấu vốn chủ sở hữu</t>
  </si>
  <si>
    <t>Equity discount</t>
  </si>
  <si>
    <t>Giả định typical dùng tính Equity NPV.</t>
  </si>
  <si>
    <t>Ghi chú: các giả định pháp lý, thuế, giá điện và ưu đãi phải được cập nhật theo hồ sơ và quy định áp dụng cho từng dự án.</t>
  </si>
  <si>
    <t>TỔNG HỢP PHÂN TÍCH KINH TẾ TÀI CHÍNH</t>
  </si>
  <si>
    <t>Phiên bản Ver1.7  |  Kịch bản cơ sở  |  Đơn vị: tỷ VND</t>
  </si>
  <si>
    <t>THÔNG TIN DỰ ÁN</t>
  </si>
  <si>
    <t>Công suất</t>
  </si>
  <si>
    <t>Tổng vốn đầu tư dự án gồm VAT</t>
  </si>
  <si>
    <t>Sản lượng năm đầu</t>
  </si>
  <si>
    <t>CHỈ TIÊU HIỆU QUẢ ĐẦU TƯ</t>
  </si>
  <si>
    <t>Hoàn vốn dự án</t>
  </si>
  <si>
    <t>Hoàn vốn vốn CSH</t>
  </si>
  <si>
    <t>DSCR tối thiểu</t>
  </si>
  <si>
    <t>DSCR bình quân</t>
  </si>
  <si>
    <t>Giá điện hòa vốn</t>
  </si>
  <si>
    <t>Tổng lãi vay</t>
  </si>
  <si>
    <t>Tổng thuế TNDN</t>
  </si>
  <si>
    <t>Tổng vốn CSH thực góp</t>
  </si>
  <si>
    <t>NPV chênh lệch CSH/Dự án</t>
  </si>
  <si>
    <t>KẾT LUẬN HIỆU QUẢ ĐẦU TƯ</t>
  </si>
  <si>
    <t>Nhóm chỉ tiêu dự án</t>
  </si>
  <si>
    <t>Nhóm chỉ tiêu vốn chủ sở hữu</t>
  </si>
  <si>
    <t>Khả năng trả nợ</t>
  </si>
  <si>
    <t>Đánh giá chung</t>
  </si>
  <si>
    <t>Số nhóm chưa đạt</t>
  </si>
  <si>
    <t>Project IRR và NPV đạt yêu cầu</t>
  </si>
  <si>
    <t>Equity IRR và NPV đạt yêu cầu</t>
  </si>
  <si>
    <t>DSCR tối thiểu đạt yêu cầu</t>
  </si>
  <si>
    <t>KIỂM TRA MÔ HÌNH</t>
  </si>
  <si>
    <t>Nội dung kiểm tra</t>
  </si>
  <si>
    <t>Kết quả</t>
  </si>
  <si>
    <t>CHK-01</t>
  </si>
  <si>
    <t>Tỷ lệ giải ngân bằng 100%</t>
  </si>
  <si>
    <t>TRẠNG THÁI TOÀN MÔ HÌNH</t>
  </si>
  <si>
    <t>CHK-02</t>
  </si>
  <si>
    <t>Tổng CAPEX khớp dữ liệu đầu vào</t>
  </si>
  <si>
    <t>CHK-03</t>
  </si>
  <si>
    <t>Tổng giải ngân vay khớp khoản vay</t>
  </si>
  <si>
    <t>CHK-04</t>
  </si>
  <si>
    <t>Dư nợ cuối kỳ bằng 0</t>
  </si>
  <si>
    <t>CHK-05</t>
  </si>
  <si>
    <t>Dòng tiền có cả giá trị âm và dương</t>
  </si>
  <si>
    <t>CHK-06</t>
  </si>
  <si>
    <t>Lưu ý: kết quả phụ thuộc vào các giả định đầu vào. Giá điện, ưu đãi thuế, điều kiện vay và sản lượng P50/P90 phải được cập nhật theo PPA, hợp đồng tín dụng và báo cáo năng lượng của dự án.</t>
  </si>
  <si>
    <t>VỐN ĐẦU TƯ VÀ TIẾN ĐỘ GIẢI NGÂN</t>
  </si>
  <si>
    <t>Tổng hợp CAPEX, VAT, giải ngân vốn vay, lãi vay xây dựng và nhu cầu vốn chủ sở hữu.</t>
  </si>
  <si>
    <t>Đơn vị tiền tệ: tỷ VND, trừ khi ghi khác  |  Số màu xanh: kết quả tính toán</t>
  </si>
  <si>
    <t>Kỳ dự án</t>
  </si>
  <si>
    <t>Cờ xây dựng</t>
  </si>
  <si>
    <t>Năm vận hành</t>
  </si>
  <si>
    <t>1. TIẾN ĐỘ VỐN ĐẦU TƯ</t>
  </si>
  <si>
    <t>CAPEX chưa VAT</t>
  </si>
  <si>
    <t>VAT đầu vào</t>
  </si>
  <si>
    <t>Chi đầu tư bao gồm VAT</t>
  </si>
  <si>
    <t>VAT đủ điều kiện hoàn/khấu trừ</t>
  </si>
  <si>
    <t>VAT nhận hoàn/khấu trừ</t>
  </si>
  <si>
    <t>VAT không được hoàn</t>
  </si>
  <si>
    <t>CAPEX kinh tế</t>
  </si>
  <si>
    <t>Giải ngân vốn vay</t>
  </si>
  <si>
    <t>Vốn chủ sở hữu cơ sở</t>
  </si>
  <si>
    <t>Lãi vay trong xây dựng</t>
  </si>
  <si>
    <t>CAP-13</t>
  </si>
  <si>
    <t>Nhu cầu vốn chủ sở hữu thực tế</t>
  </si>
  <si>
    <t>2. TỔNG HỢP VÀ KIỂM TRA</t>
  </si>
  <si>
    <t>Tổng vốn vay giải ngân</t>
  </si>
  <si>
    <t>Tổng lãi vay xây dựng</t>
  </si>
  <si>
    <t>CHK-07</t>
  </si>
  <si>
    <t>Trong đó: Phần trạm biến áp</t>
  </si>
  <si>
    <t>CHK-08</t>
  </si>
  <si>
    <t>Trong đó: Phần đường dây đấu nối</t>
  </si>
  <si>
    <t>SẢN LƯỢNG, DOANH THU VÀ CHI PHÍ VẬN HÀNH</t>
  </si>
  <si>
    <t>Dự báo sản lượng điện thương phẩm, giá bán điện, doanh thu và O&amp;M theo toàn bộ vòng đời dự án.</t>
  </si>
  <si>
    <t>1. SẢN LƯỢNG VÀ DOANH THU</t>
  </si>
  <si>
    <t>Sản lượng điện thương phẩm (MWh)</t>
  </si>
  <si>
    <t>Hệ số suy giảm lũy kế</t>
  </si>
  <si>
    <t>Giá bán điện (VND/kWh)</t>
  </si>
  <si>
    <t>Doanh thu bán điện</t>
  </si>
  <si>
    <t>Doanh thu khác</t>
  </si>
  <si>
    <t>Tổng doanh thu</t>
  </si>
  <si>
    <t>2. CHI PHÍ VẬN HÀNH</t>
  </si>
  <si>
    <t>Chi phí O&amp;M</t>
  </si>
  <si>
    <t>Biên EBITDA</t>
  </si>
  <si>
    <t>3. TỔNG HỢP</t>
  </si>
  <si>
    <t>SUM-01</t>
  </si>
  <si>
    <t>Tổng sản lượng vòng đời (MWh)</t>
  </si>
  <si>
    <t>SUM-02</t>
  </si>
  <si>
    <t>Tổng doanh thu vòng đời</t>
  </si>
  <si>
    <t>SUM-03</t>
  </si>
  <si>
    <t>Tổng O&amp;M vòng đời</t>
  </si>
  <si>
    <t>SUM-04</t>
  </si>
  <si>
    <t>EBITDA vòng đời</t>
  </si>
  <si>
    <t>LỊCH GIẢI NGÂN VÀ TRẢ NỢ</t>
  </si>
  <si>
    <t>Khoản vay được giải ngân theo tiến độ CAPEX; hỗ trợ phương thức gốc đều hoặc niên kim.</t>
  </si>
  <si>
    <t>1. LỊCH VAY VÀ TRẢ NỢ</t>
  </si>
  <si>
    <t>DEB-01</t>
  </si>
  <si>
    <t>Dư nợ đầu kỳ</t>
  </si>
  <si>
    <t>DEB-02</t>
  </si>
  <si>
    <t>DEB-03</t>
  </si>
  <si>
    <t>Kỳ trả nợ</t>
  </si>
  <si>
    <t>DEB-04</t>
  </si>
  <si>
    <t>Khoản trả niên kim</t>
  </si>
  <si>
    <t>DEB-05</t>
  </si>
  <si>
    <t>Trả nợ gốc</t>
  </si>
  <si>
    <t>DEB-06</t>
  </si>
  <si>
    <t>Chi phí lãi vay</t>
  </si>
  <si>
    <t>DEB-07</t>
  </si>
  <si>
    <t>Nghĩa vụ trả nợ trong vận hành</t>
  </si>
  <si>
    <t>DEB-08</t>
  </si>
  <si>
    <t>Dư nợ cuối kỳ</t>
  </si>
  <si>
    <t>DEB-09</t>
  </si>
  <si>
    <t>2. KHẢ NĂNG TRẢ NỢ</t>
  </si>
  <si>
    <t>DEB-10</t>
  </si>
  <si>
    <t>DEB-11</t>
  </si>
  <si>
    <t>DEB-12</t>
  </si>
  <si>
    <t>DSCR dùng tính tối thiểu</t>
  </si>
  <si>
    <t>DEB-13</t>
  </si>
  <si>
    <t>PV CFADS trong thời hạn vay</t>
  </si>
  <si>
    <t>3. CHỈ TIÊU VÀ KIỂM TRA</t>
  </si>
  <si>
    <t>KPI-01</t>
  </si>
  <si>
    <t>KPI-02</t>
  </si>
  <si>
    <t>KPI-03</t>
  </si>
  <si>
    <t>Tổng nợ gốc đã trả</t>
  </si>
  <si>
    <t>KPI-04</t>
  </si>
  <si>
    <t>KPI-05</t>
  </si>
  <si>
    <t>DSCR bình quân gia quyền</t>
  </si>
  <si>
    <t>KPI-06</t>
  </si>
  <si>
    <t>Kiểm tra dư nợ cuối kỳ</t>
  </si>
  <si>
    <t>KHẤU HAO VÀ THUẾ THU NHẬP DOANH NGHIỆP</t>
  </si>
  <si>
    <t>Khấu hao đường thẳng; ưu đãi thuế tính từ năm vận hành đầu tiên; chuyển lỗ theo số dư đơn giản.</t>
  </si>
  <si>
    <t>1. KHẤU HAO</t>
  </si>
  <si>
    <t>Cơ sở khấu hao</t>
  </si>
  <si>
    <t>Chi phí khấu hao</t>
  </si>
  <si>
    <t>2. THU NHẬP CHỊU THUẾ VÀ THUẾ TNDN</t>
  </si>
  <si>
    <t>Thu nhập trước chuyển lỗ</t>
  </si>
  <si>
    <t>Số dư lỗ đầu kỳ</t>
  </si>
  <si>
    <t>TAX-08</t>
  </si>
  <si>
    <t>Lỗ phát sinh trong kỳ</t>
  </si>
  <si>
    <t>TAX-09</t>
  </si>
  <si>
    <t>Lỗ được sử dụng</t>
  </si>
  <si>
    <t>TAX-10</t>
  </si>
  <si>
    <t>Số dư lỗ cuối kỳ</t>
  </si>
  <si>
    <t>TAX-11</t>
  </si>
  <si>
    <t>Thu nhập tính thuế</t>
  </si>
  <si>
    <t>TAX-12</t>
  </si>
  <si>
    <t>Thuế suất TNDN hiệu dụng</t>
  </si>
  <si>
    <t>TAX-13</t>
  </si>
  <si>
    <t>Thuế TNDN phải nộp</t>
  </si>
  <si>
    <t>TAX-14</t>
  </si>
  <si>
    <t>Lợi nhuận sau thuế</t>
  </si>
  <si>
    <t>Lưu ý: Ver1 theo dõi chuyển lỗ theo số dư liên tục. Khi lập hồ sơ thuế chính thức cần bổ sung bảng theo từng niên độ để kiểm soát thời hạn chuyển lỗ.</t>
  </si>
  <si>
    <t>DỰ TOÁN KẾT QUẢ KINH DOANH</t>
  </si>
  <si>
    <t>Báo cáo lợi nhuận hằng năm từ doanh thu đến lợi nhuận sau thuế.</t>
  </si>
  <si>
    <t>BÁO CÁO KẾT QUẢ KINH DOANH</t>
  </si>
  <si>
    <t>IS-01</t>
  </si>
  <si>
    <t>IS-02</t>
  </si>
  <si>
    <t>IS-03</t>
  </si>
  <si>
    <t>IS-04</t>
  </si>
  <si>
    <t>IS-05</t>
  </si>
  <si>
    <t>IS-06</t>
  </si>
  <si>
    <t>IS-07</t>
  </si>
  <si>
    <t>Lợi nhuận trước thuế</t>
  </si>
  <si>
    <t>IS-08</t>
  </si>
  <si>
    <t>IS-09</t>
  </si>
  <si>
    <t>IS-10</t>
  </si>
  <si>
    <t>Thuế TNDN</t>
  </si>
  <si>
    <t>IS-11</t>
  </si>
  <si>
    <t>TỔNG HỢP VÒNG ĐỜI</t>
  </si>
  <si>
    <t>IS-S1</t>
  </si>
  <si>
    <t>IS-S2</t>
  </si>
  <si>
    <t>Tổng EBITDA</t>
  </si>
  <si>
    <t>IS-S3</t>
  </si>
  <si>
    <t>IS-S4</t>
  </si>
  <si>
    <t>Tổng lợi nhuận sau thuế</t>
  </si>
  <si>
    <t>DÒNG TIỀN TOÀN DỰ ÁN</t>
  </si>
  <si>
    <t>Dòng tiền không xét cơ cấu tài trợ; dùng để xác định Project IRR, Project NPV và LCOE.</t>
  </si>
  <si>
    <t>1. DÒNG TIỀN HOẠT ĐỘNG</t>
  </si>
  <si>
    <t>PCF-01</t>
  </si>
  <si>
    <t>Sản lượng điện (MWh)</t>
  </si>
  <si>
    <t>PCF-02</t>
  </si>
  <si>
    <t>PCF-03</t>
  </si>
  <si>
    <t>PCF-04</t>
  </si>
  <si>
    <t>PCF-05</t>
  </si>
  <si>
    <t>PCF-06</t>
  </si>
  <si>
    <t>PCF-07</t>
  </si>
  <si>
    <t>Thuế TNDN theo góc nhìn dự án</t>
  </si>
  <si>
    <t>PCF-08</t>
  </si>
  <si>
    <t>2. DÒNG TIỀN ĐẦU TƯ VÀ FCFF</t>
  </si>
  <si>
    <t>PCF-09</t>
  </si>
  <si>
    <t>PCF-10</t>
  </si>
  <si>
    <t>PCF-11</t>
  </si>
  <si>
    <t>Giá trị thu hồi ròng</t>
  </si>
  <si>
    <t>PCF-12</t>
  </si>
  <si>
    <t>Dòng tiền tự do dự án (FCFF)</t>
  </si>
  <si>
    <t>PCF-13</t>
  </si>
  <si>
    <t>Hệ số chiết khấu</t>
  </si>
  <si>
    <t>PCF-14</t>
  </si>
  <si>
    <t>Giá trị hiện tại FCFF</t>
  </si>
  <si>
    <t>PCF-15</t>
  </si>
  <si>
    <t>Dòng tiền tích lũy</t>
  </si>
  <si>
    <t>PCF-16</t>
  </si>
  <si>
    <t>Năm hoàn vốn hỗ trợ</t>
  </si>
  <si>
    <t>PCF-17</t>
  </si>
  <si>
    <t>PV chi phí cho LCOE</t>
  </si>
  <si>
    <t>PCF-18</t>
  </si>
  <si>
    <t>PV sản lượng điện</t>
  </si>
  <si>
    <t>PCF-19</t>
  </si>
  <si>
    <t>PV sản lượng có hệ số giá</t>
  </si>
  <si>
    <t>3. CHỈ TIÊU HIỆU QUẢ DỰ ÁN</t>
  </si>
  <si>
    <t>Năm hoàn vốn</t>
  </si>
  <si>
    <t>Thời gian hoàn vốn</t>
  </si>
  <si>
    <t>Giá điện hòa vốn trước thuế</t>
  </si>
  <si>
    <t>DÒNG TIỀN VỐN CHỦ SỞ HỮU</t>
  </si>
  <si>
    <t>Dòng tiền sau vay, trả nợ và thuế; dùng để xác định Equity IRR và Equity NPV.</t>
  </si>
  <si>
    <t>1. DÒNG TIỀN VỐN CHỦ SỞ HỮU</t>
  </si>
  <si>
    <t>ECF-01</t>
  </si>
  <si>
    <t>ECF-02</t>
  </si>
  <si>
    <t>ECF-03</t>
  </si>
  <si>
    <t>ECF-04</t>
  </si>
  <si>
    <t>ECF-05</t>
  </si>
  <si>
    <t>ECF-06</t>
  </si>
  <si>
    <t>ECF-07</t>
  </si>
  <si>
    <t>ECF-08</t>
  </si>
  <si>
    <t>ECF-09</t>
  </si>
  <si>
    <t>ECF-10</t>
  </si>
  <si>
    <t>ECF-11</t>
  </si>
  <si>
    <t>ECF-12</t>
  </si>
  <si>
    <t>Giá trị hiện tại dòng tiền vốn CSH</t>
  </si>
  <si>
    <t>ECF-13</t>
  </si>
  <si>
    <t>ECF-14</t>
  </si>
  <si>
    <t>2. CHỈ TIÊU VỐN CHỦ SỞ HỮU</t>
  </si>
  <si>
    <t>Năm hoàn vốn vốn CSH</t>
  </si>
  <si>
    <t>Thời gian hoàn vốn vốn CSH</t>
  </si>
  <si>
    <t>PHÂN TÍCH ĐỘ NHẠY</t>
  </si>
  <si>
    <t>Phân tích một biến tại một thời điểm; các dòng tiền điều chỉnh được tính lại từ mô hình cơ sở.</t>
  </si>
  <si>
    <t>1. ĐỘ NHẠY PROJECT IRR</t>
  </si>
  <si>
    <t>Biến số</t>
  </si>
  <si>
    <t>-10%</t>
  </si>
  <si>
    <t>-5%</t>
  </si>
  <si>
    <t>Cơ sở</t>
  </si>
  <si>
    <t>+5%</t>
  </si>
  <si>
    <t>+10%</t>
  </si>
  <si>
    <t>SEN-01</t>
  </si>
  <si>
    <t>Sản lượng điện</t>
  </si>
  <si>
    <t>SEN-02</t>
  </si>
  <si>
    <t>SEN-03</t>
  </si>
  <si>
    <t>Tổng vốn đầu tư</t>
  </si>
  <si>
    <t>SEN-04</t>
  </si>
  <si>
    <t>SEN-05</t>
  </si>
  <si>
    <t>2. ĐỘ NHẠY EQUITY IRR</t>
  </si>
  <si>
    <t>Phương pháp: sản lượng, giá điện và O&amp;M điều chỉnh EBITDA sau thuế; CAPEX điều chỉnh chi đầu tư, VAT, khấu hao và phần vốn vay tương ứng; lãi suất chỉ ảnh hưởng dòng tiền vốn chủ sở hữu. Đây là phân tích một biến, không thay thế kịch bản tổng hợp.</t>
  </si>
  <si>
    <t>KHỐI TÍNH TOÁN HỖ TRỢ – phục vụ kiểm toán công thức độ nhạy</t>
  </si>
  <si>
    <t>SEN-01-1</t>
  </si>
  <si>
    <t>Project CF × 90%</t>
  </si>
  <si>
    <t>SEN-01-2</t>
  </si>
  <si>
    <t>Project CF × 95%</t>
  </si>
  <si>
    <t>SEN-01-3</t>
  </si>
  <si>
    <t>Project CF × 100%</t>
  </si>
  <si>
    <t>SEN-01-4</t>
  </si>
  <si>
    <t>Project CF × 105%</t>
  </si>
  <si>
    <t>SEN-01-5</t>
  </si>
  <si>
    <t>Project CF × 110%</t>
  </si>
  <si>
    <t>SEN-02-1</t>
  </si>
  <si>
    <t>SEN-02-2</t>
  </si>
  <si>
    <t>SEN-02-3</t>
  </si>
  <si>
    <t>SEN-02-4</t>
  </si>
  <si>
    <t>SEN-02-5</t>
  </si>
  <si>
    <t>SEN-03-1</t>
  </si>
  <si>
    <t>SEN-03-2</t>
  </si>
  <si>
    <t>SEN-03-3</t>
  </si>
  <si>
    <t>SEN-03-4</t>
  </si>
  <si>
    <t>SEN-03-5</t>
  </si>
  <si>
    <t>SEN-04-1</t>
  </si>
  <si>
    <t>SEN-04-2</t>
  </si>
  <si>
    <t>SEN-04-3</t>
  </si>
  <si>
    <t>SEN-04-4</t>
  </si>
  <si>
    <t>SEN-04-5</t>
  </si>
  <si>
    <t>SEN-05-1</t>
  </si>
  <si>
    <t>SEN-05-2</t>
  </si>
  <si>
    <t>SEN-05-3</t>
  </si>
  <si>
    <t>SEN-05-4</t>
  </si>
  <si>
    <t>SEN-05-5</t>
  </si>
  <si>
    <t>Equity CF × 90%</t>
  </si>
  <si>
    <t>Equity CF × 95%</t>
  </si>
  <si>
    <t>Equity CF × 100%</t>
  </si>
  <si>
    <t>Equity CF × 105%</t>
  </si>
  <si>
    <t>Equity CF × 110%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</si>
</sst>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64" formatCode="#,##0.0;[Red]\(#,##0.0\);\-"/>
    <numFmt numFmtId="165" formatCode="#,##0.00;[Red]\(#,##0.00\);\-"/>
    <numFmt numFmtId="166" formatCode="0.0%"/>
    <numFmt numFmtId="167" formatCode="0.0"/>
    <numFmt numFmtId="168" formatCode="#,##0;[Red]\(#,##0\);\-"/>
    <numFmt numFmtId="169" formatCode="0.00\x"/>
    <numFmt numFmtId="170" formatCode="#,##0.0"/>
    <numFmt numFmtId="171" formatCode="0.0%;[Red]\(0.0%\);\-"/>
    <numFmt numFmtId="172" formatCode="0.00\x;[Red]\(0.00\x\);\-"/>
    <numFmt numFmtId="173" formatCode="0.00%;[Red]\(0.00%\);\-"/>
    <numFmt numFmtId="174" formatCode="0.0000\x"/>
  </numFmts>
  <fonts count="30">
    <font>
      <sz val="11"/>
      <name val="Carlito"/>
    </font>
    <font>
      <sz val="10"/>
      <color rgb="FF222222"/>
      <name val="Arial"/>
      <family val="2"/>
    </font>
    <font>
      <b/>
      <sz val="15"/>
      <color rgb="FFFFFFFF"/>
      <name val="Arial"/>
      <family val="2"/>
    </font>
    <font>
      <i/>
      <sz val="10"/>
      <color rgb="FF666666"/>
      <name val="Arial"/>
      <family val="2"/>
    </font>
    <font>
      <sz val="9"/>
      <color rgb="FF666666"/>
      <name val="Arial"/>
      <family val="2"/>
    </font>
    <font>
      <b/>
      <sz val="10"/>
      <color rgb="FF4F6D8A"/>
      <name val="Arial"/>
      <family val="2"/>
    </font>
    <font>
      <b/>
      <sz val="10"/>
      <color rgb="FFFF0000"/>
      <name val="Arial"/>
      <family val="2"/>
    </font>
    <font>
      <b/>
      <sz val="10"/>
      <color rgb="FF0000FF"/>
      <name val="Arial"/>
      <family val="2"/>
    </font>
    <font>
      <b/>
      <sz val="10"/>
      <color rgb="FF222222"/>
      <name val="Arial"/>
      <family val="2"/>
    </font>
    <font>
      <b/>
      <sz val="10"/>
      <color rgb="FFFFFFFF"/>
      <name val="Arial"/>
      <family val="2"/>
    </font>
    <font>
      <sz val="10"/>
      <color rgb="FFFF0000"/>
      <name val="Arial"/>
      <family val="2"/>
    </font>
    <font>
      <b/>
      <sz val="14"/>
      <color rgb="FFFFFFFF"/>
      <name val="Arial"/>
      <family val="2"/>
    </font>
    <font>
      <i/>
      <sz val="9"/>
      <color rgb="FF666666"/>
      <name val="Arial"/>
      <family val="2"/>
    </font>
    <font>
      <sz val="8"/>
      <color rgb="FF666666"/>
      <name val="Arial"/>
      <family val="2"/>
    </font>
    <font>
      <b/>
      <sz val="9"/>
      <color rgb="FF222222"/>
      <name val="Arial"/>
      <family val="2"/>
    </font>
    <font>
      <i/>
      <sz val="9"/>
      <color rgb="FF222222"/>
      <name val="Arial"/>
      <family val="2"/>
    </font>
    <font>
      <sz val="9"/>
      <color rgb="FF222222"/>
      <name val="Arial"/>
      <family val="2"/>
    </font>
    <font>
      <b/>
      <sz val="9"/>
      <color rgb="FFFFFFFF"/>
      <name val="Arial"/>
      <family val="2"/>
    </font>
    <font>
      <sz val="9"/>
      <color rgb="FF0000FF"/>
      <name val="Arial"/>
      <family val="2"/>
    </font>
    <font>
      <b/>
      <sz val="9"/>
      <color rgb="FF4F6D8A"/>
      <name val="Arial"/>
      <family val="2"/>
    </font>
    <font>
      <sz val="9"/>
      <color rgb="FF0000FF"/>
      <name val="Arial"/>
      <family val="2"/>
    </font>
    <font>
      <b/>
      <sz val="9"/>
      <color rgb="FF0000FF"/>
      <name val="Arial"/>
      <family val="2"/>
    </font>
    <font>
      <b/>
      <sz val="11"/>
      <color rgb="FF4F6D8A"/>
      <name val="Arial"/>
      <family val="2"/>
    </font>
    <font>
      <b/>
      <sz val="14"/>
      <color rgb="FFC00000"/>
      <name val="Arial"/>
      <family val="2"/>
    </font>
    <font>
      <b/>
      <sz val="14"/>
      <color rgb="FF0000FF"/>
      <name val="Arial"/>
      <family val="2"/>
    </font>
    <font>
      <b/>
      <sz val="16"/>
      <color rgb="FFFFFFFF"/>
      <name val="Arial"/>
      <family val="2"/>
    </font>
    <font>
      <i/>
      <sz val="11"/>
      <color rgb="FF17365D"/>
      <name val="Arial"/>
      <family val="2"/>
    </font>
    <font>
      <sz val="10"/>
      <color rgb="FF000000"/>
      <name val="Arial"/>
      <family val="2"/>
    </font>
    <font>
      <b/>
      <sz val="10"/>
      <color rgb="FF17365D"/>
      <name val="Arial"/>
      <family val="2"/>
    </font>
    <font>
      <b/>
      <sz val="10"/>
      <color rgb="FFFF0000"/>
      <name val="Arial"/>
      <family val="2"/>
    </font>
  </fonts>
  <fills count="21">
    <fill>
      <patternFill patternType="none"/>
    </fill>
    <fill>
      <patternFill patternType="gray125"/>
    </fill>
    <fill>
      <patternFill patternType="solid">
        <fgColor rgb="FF4F6D8A"/>
      </patternFill>
    </fill>
    <fill>
      <patternFill patternType="solid">
        <fgColor rgb="FFEEF5FA"/>
      </patternFill>
    </fill>
    <fill>
      <patternFill patternType="solid">
        <fgColor rgb="FFD9EAF7"/>
      </patternFill>
    </fill>
    <fill>
      <patternFill patternType="solid">
        <fgColor rgb="FFFFF9E8"/>
      </patternFill>
    </fill>
    <fill>
      <patternFill patternType="solid">
        <fgColor rgb="FFF1F6FA"/>
      </patternFill>
    </fill>
    <fill>
      <patternFill patternType="solid">
        <fgColor rgb="FFF2F2F2"/>
      </patternFill>
    </fill>
    <fill>
      <patternFill patternType="solid">
        <fgColor rgb="FFFCEFE8"/>
      </patternFill>
    </fill>
    <fill>
      <patternFill patternType="solid">
        <fgColor rgb="FFD9EAF7"/>
      </patternFill>
    </fill>
    <fill>
      <patternFill patternType="solid">
        <fgColor rgb="FF587895"/>
      </patternFill>
    </fill>
    <fill>
      <patternFill patternType="solid">
        <fgColor rgb="FFF1F6FA"/>
      </patternFill>
    </fill>
    <fill>
      <patternFill patternType="solid">
        <fgColor rgb="FFFDEDEC"/>
      </patternFill>
    </fill>
    <fill>
      <patternFill patternType="solid">
        <fgColor rgb="FFFFF8F2"/>
      </patternFill>
    </fill>
    <fill>
      <patternFill patternType="solid">
        <fgColor rgb="FFFFF2E8"/>
      </patternFill>
    </fill>
    <fill>
      <patternFill patternType="solid">
        <fgColor rgb="FF17365D"/>
      </patternFill>
    </fill>
    <fill>
      <patternFill patternType="solid">
        <fgColor rgb="FFD9EAF7"/>
      </patternFill>
    </fill>
    <fill>
      <patternFill patternType="solid">
        <fgColor rgb="FF4472C4"/>
      </patternFill>
    </fill>
    <fill>
      <patternFill patternType="solid">
        <fgColor rgb="FFF1F6FA"/>
      </patternFill>
    </fill>
    <fill>
      <patternFill patternType="solid">
        <fgColor rgb="FFFFF9E8"/>
      </patternFill>
    </fill>
    <fill>
      <patternFill patternType="solid">
        <fgColor rgb="FFF1F6FA"/>
      </patternFill>
    </fill>
  </fills>
  <borders count="12">
    <border>
      <left/>
      <right/>
      <top/>
      <bottom/>
      <diagonal/>
    </border>
    <border>
      <left style="thin">
        <color rgb="FFCEDAE3"/>
      </left>
      <right/>
      <top style="thin">
        <color rgb="FFCEDAE3"/>
      </top>
      <bottom style="thin">
        <color rgb="FFCEDAE3"/>
      </bottom>
      <diagonal/>
    </border>
    <border>
      <left/>
      <right/>
      <top style="thin">
        <color rgb="FFCEDAE3"/>
      </top>
      <bottom style="thin">
        <color rgb="FFCEDAE3"/>
      </bottom>
      <diagonal/>
    </border>
    <border>
      <left/>
      <right style="thin">
        <color rgb="FFCEDAE3"/>
      </right>
      <top style="thin">
        <color rgb="FFCEDAE3"/>
      </top>
      <bottom style="thin">
        <color rgb="FFCEDAE3"/>
      </bottom>
      <diagonal/>
    </border>
    <border>
      <left/>
      <right/>
      <top/>
      <bottom style="thin">
        <color rgb="FFD9E1E8"/>
      </bottom>
      <diagonal/>
    </border>
    <border>
      <left/>
      <right/>
      <top/>
      <bottom style="thin">
        <color rgb="FFCEDAE3"/>
      </bottom>
      <diagonal/>
    </border>
    <border>
      <left/>
      <right/>
      <top/>
      <bottom style="thin">
        <color rgb="FFE4EAF0"/>
      </bottom>
      <diagonal/>
    </border>
    <border>
      <left style="medium">
        <color rgb="FFD9B3AE"/>
      </left>
      <right/>
      <top style="medium">
        <color rgb="FFD9B3AE"/>
      </top>
      <bottom style="medium">
        <color rgb="FFD9B3AE"/>
      </bottom>
      <diagonal/>
    </border>
    <border>
      <left/>
      <right/>
      <top style="medium">
        <color rgb="FFD9B3AE"/>
      </top>
      <bottom style="medium">
        <color rgb="FFD9B3AE"/>
      </bottom>
      <diagonal/>
    </border>
    <border>
      <left/>
      <right style="medium">
        <color rgb="FFD9B3AE"/>
      </right>
      <top style="medium">
        <color rgb="FFD9B3AE"/>
      </top>
      <bottom style="medium">
        <color rgb="FFD9B3AE"/>
      </bottom>
      <diagonal/>
    </border>
    <border>
      <left style="thin">
        <color rgb="FFB4C6E7"/>
      </left>
      <right style="thin">
        <color rgb="FFB4C6E7"/>
      </right>
      <top style="thin">
        <color rgb="FFB4C6E7"/>
      </top>
      <bottom style="thin">
        <color rgb="FFB4C6E7"/>
      </bottom>
      <diagonal/>
    </border>
    <border>
      <left style="thin">
        <color rgb="FFD9E2F3"/>
      </left>
      <right style="thin">
        <color rgb="FFD9E2F3"/>
      </right>
      <top style="thin">
        <color rgb="FFD9E2F3"/>
      </top>
      <bottom style="thin">
        <color rgb="FFD9E2F3"/>
      </bottom>
      <diagonal/>
    </border>
  </borders>
  <cellStyleXfs count="1">
    <xf numFmtId="0" fontId="0" fillId="0" borderId="0"/>
  </cellStyleXfs>
  <cellXfs count="148">
    <xf numFmtId="0" fontId="0" fillId="0" borderId="0" xfId="0"/>
    <xf numFmtId="0" fontId="1" fillId="0" borderId="0" xfId="0" applyFont="1"/>
    <xf numFmtId="0" fontId="9" fillId="2" borderId="1" xfId="0" applyFont="1" applyFill="1" applyBorder="1" applyAlignment="1">
      <alignment horizontal="center" vertical="center" wrapText="1"/>
    </xf>
    <xf numFmtId="0" fontId="9" fillId="2" borderId="2" xfId="0" applyFont="1" applyFill="1" applyBorder="1" applyAlignment="1">
      <alignment horizontal="center" vertical="center" wrapText="1"/>
    </xf>
    <xf numFmtId="0" fontId="9" fillId="2" borderId="3" xfId="0" applyFont="1" applyFill="1" applyBorder="1" applyAlignment="1">
      <alignment horizontal="center" vertical="center" wrapText="1"/>
    </xf>
    <xf numFmtId="0" fontId="1" fillId="0" borderId="4" xfId="0" applyFont="1" applyBorder="1" applyAlignment="1">
      <alignment vertical="center" wrapText="1"/>
    </xf>
    <xf numFmtId="0" fontId="6" fillId="5" borderId="4" xfId="0" applyFont="1" applyFill="1" applyBorder="1" applyAlignment="1">
      <alignment horizontal="left" vertical="center" wrapText="1"/>
    </xf>
    <xf numFmtId="0" fontId="8" fillId="0" borderId="4" xfId="0" applyFont="1" applyBorder="1" applyAlignment="1">
      <alignment vertical="center" wrapText="1"/>
    </xf>
    <xf numFmtId="164" fontId="6" fillId="5" borderId="4" xfId="0" applyNumberFormat="1" applyFont="1" applyFill="1" applyBorder="1" applyAlignment="1">
      <alignment horizontal="right" vertical="center" wrapText="1"/>
    </xf>
    <xf numFmtId="1" fontId="10" fillId="5" borderId="4" xfId="0" applyNumberFormat="1" applyFont="1" applyFill="1" applyBorder="1" applyAlignment="1">
      <alignment horizontal="right" vertical="center" wrapText="1"/>
    </xf>
    <xf numFmtId="1" fontId="6" fillId="5" borderId="4" xfId="0" applyNumberFormat="1" applyFont="1" applyFill="1" applyBorder="1" applyAlignment="1">
      <alignment horizontal="right" vertical="center" wrapText="1"/>
    </xf>
    <xf numFmtId="1" fontId="7" fillId="6" borderId="4" xfId="0" applyNumberFormat="1" applyFont="1" applyFill="1" applyBorder="1" applyAlignment="1">
      <alignment horizontal="right" vertical="center" wrapText="1"/>
    </xf>
    <xf numFmtId="165" fontId="7" fillId="6" borderId="4" xfId="0" applyNumberFormat="1" applyFont="1" applyFill="1" applyBorder="1" applyAlignment="1">
      <alignment horizontal="right" vertical="center" wrapText="1"/>
    </xf>
    <xf numFmtId="165" fontId="6" fillId="5" borderId="4" xfId="0" applyNumberFormat="1" applyFont="1" applyFill="1" applyBorder="1" applyAlignment="1">
      <alignment horizontal="right" vertical="center" wrapText="1"/>
    </xf>
    <xf numFmtId="166" fontId="6" fillId="5" borderId="4" xfId="0" applyNumberFormat="1" applyFont="1" applyFill="1" applyBorder="1" applyAlignment="1">
      <alignment horizontal="right" vertical="center" wrapText="1"/>
    </xf>
    <xf numFmtId="166" fontId="10" fillId="5" borderId="4" xfId="0" applyNumberFormat="1" applyFont="1" applyFill="1" applyBorder="1" applyAlignment="1">
      <alignment horizontal="right" vertical="center" wrapText="1"/>
    </xf>
    <xf numFmtId="167" fontId="10" fillId="5" borderId="4" xfId="0" applyNumberFormat="1" applyFont="1" applyFill="1" applyBorder="1" applyAlignment="1">
      <alignment horizontal="right" vertical="center" wrapText="1"/>
    </xf>
    <xf numFmtId="165" fontId="10" fillId="5" borderId="4" xfId="0" applyNumberFormat="1" applyFont="1" applyFill="1" applyBorder="1" applyAlignment="1">
      <alignment horizontal="right" vertical="center" wrapText="1"/>
    </xf>
    <xf numFmtId="0" fontId="8" fillId="3" borderId="1" xfId="0" applyFont="1" applyFill="1" applyBorder="1" applyAlignment="1">
      <alignment horizontal="center" vertical="center"/>
    </xf>
    <xf numFmtId="0" fontId="8" fillId="3" borderId="2" xfId="0" applyFont="1" applyFill="1" applyBorder="1" applyAlignment="1">
      <alignment horizontal="center" vertical="center"/>
    </xf>
    <xf numFmtId="0" fontId="8" fillId="3" borderId="3" xfId="0" applyFont="1" applyFill="1" applyBorder="1" applyAlignment="1">
      <alignment horizontal="center" vertical="center"/>
    </xf>
    <xf numFmtId="166" fontId="7" fillId="6" borderId="4" xfId="0" applyNumberFormat="1" applyFont="1" applyFill="1" applyBorder="1" applyAlignment="1">
      <alignment horizontal="right" vertical="center" wrapText="1"/>
    </xf>
    <xf numFmtId="0" fontId="10" fillId="5" borderId="4" xfId="0" applyFont="1" applyFill="1" applyBorder="1" applyAlignment="1">
      <alignment horizontal="left" vertical="center" wrapText="1"/>
    </xf>
    <xf numFmtId="10" fontId="10" fillId="5" borderId="4" xfId="0" applyNumberFormat="1" applyFont="1" applyFill="1" applyBorder="1" applyAlignment="1">
      <alignment horizontal="right" vertical="center" wrapText="1"/>
    </xf>
    <xf numFmtId="10" fontId="6" fillId="5" borderId="4" xfId="0" applyNumberFormat="1" applyFont="1" applyFill="1" applyBorder="1" applyAlignment="1">
      <alignment horizontal="right" vertical="center" wrapText="1"/>
    </xf>
    <xf numFmtId="169" fontId="10" fillId="5" borderId="4" xfId="0" applyNumberFormat="1" applyFont="1" applyFill="1" applyBorder="1" applyAlignment="1">
      <alignment horizontal="right" vertical="center" wrapText="1"/>
    </xf>
    <xf numFmtId="0" fontId="1" fillId="0" borderId="4" xfId="0" applyFont="1" applyBorder="1" applyAlignment="1">
      <alignment vertical="center"/>
    </xf>
    <xf numFmtId="170" fontId="7" fillId="6" borderId="4" xfId="0" applyNumberFormat="1" applyFont="1" applyFill="1" applyBorder="1" applyAlignment="1">
      <alignment horizontal="right" vertical="center"/>
    </xf>
    <xf numFmtId="1" fontId="7" fillId="6" borderId="4" xfId="0" applyNumberFormat="1" applyFont="1" applyFill="1" applyBorder="1" applyAlignment="1">
      <alignment horizontal="right" vertical="center"/>
    </xf>
    <xf numFmtId="4" fontId="7" fillId="6" borderId="4" xfId="0" applyNumberFormat="1" applyFont="1" applyFill="1" applyBorder="1" applyAlignment="1">
      <alignment horizontal="right" vertical="center"/>
    </xf>
    <xf numFmtId="0" fontId="1" fillId="0" borderId="0" xfId="0" applyFont="1" applyAlignment="1">
      <alignment vertical="center"/>
    </xf>
    <xf numFmtId="0" fontId="6" fillId="5" borderId="0" xfId="0" applyFont="1" applyFill="1" applyAlignment="1">
      <alignment horizontal="center" vertical="center"/>
    </xf>
    <xf numFmtId="0" fontId="7" fillId="6" borderId="0" xfId="0" applyFont="1" applyFill="1" applyAlignment="1">
      <alignment horizontal="center" vertical="center"/>
    </xf>
    <xf numFmtId="0" fontId="1" fillId="0" borderId="4" xfId="0" applyFont="1" applyBorder="1" applyAlignment="1">
      <alignment horizontal="center" vertical="center" wrapText="1"/>
    </xf>
    <xf numFmtId="0" fontId="1" fillId="0" borderId="0" xfId="0" applyFont="1" applyAlignment="1">
      <alignment horizontal="center" vertical="center"/>
    </xf>
    <xf numFmtId="0" fontId="1" fillId="0" borderId="0" xfId="0" applyFont="1" applyAlignment="1">
      <alignment vertical="center" wrapText="1"/>
    </xf>
    <xf numFmtId="0" fontId="8" fillId="3" borderId="3" xfId="0" applyFont="1" applyFill="1" applyBorder="1" applyAlignment="1">
      <alignment horizontal="center" vertical="center" wrapText="1"/>
    </xf>
    <xf numFmtId="0" fontId="14" fillId="2" borderId="0" xfId="0" applyFont="1" applyFill="1" applyAlignment="1">
      <alignment horizontal="center" vertical="center"/>
    </xf>
    <xf numFmtId="0" fontId="15" fillId="3" borderId="0" xfId="0" applyFont="1" applyFill="1" applyAlignment="1">
      <alignment horizontal="center" vertical="center" wrapText="1"/>
    </xf>
    <xf numFmtId="0" fontId="16" fillId="0" borderId="0" xfId="0" applyFont="1" applyAlignment="1">
      <alignment horizontal="right"/>
    </xf>
    <xf numFmtId="0" fontId="16" fillId="0" borderId="0" xfId="0" applyFont="1"/>
    <xf numFmtId="0" fontId="17" fillId="2" borderId="5" xfId="0" applyFont="1" applyFill="1" applyBorder="1" applyAlignment="1">
      <alignment horizontal="right" vertical="center"/>
    </xf>
    <xf numFmtId="171" fontId="20" fillId="0" borderId="6" xfId="0" applyNumberFormat="1" applyFont="1" applyBorder="1" applyAlignment="1">
      <alignment horizontal="right" vertical="center"/>
    </xf>
    <xf numFmtId="165" fontId="21" fillId="0" borderId="6" xfId="0" applyNumberFormat="1" applyFont="1" applyBorder="1" applyAlignment="1">
      <alignment horizontal="right" vertical="center"/>
    </xf>
    <xf numFmtId="165" fontId="20" fillId="0" borderId="6" xfId="0" applyNumberFormat="1" applyFont="1" applyBorder="1" applyAlignment="1">
      <alignment horizontal="right" vertical="center"/>
    </xf>
    <xf numFmtId="168" fontId="21" fillId="0" borderId="6" xfId="0" applyNumberFormat="1" applyFont="1" applyBorder="1" applyAlignment="1">
      <alignment horizontal="right" vertical="center"/>
    </xf>
    <xf numFmtId="171" fontId="21" fillId="0" borderId="6" xfId="0" applyNumberFormat="1" applyFont="1" applyBorder="1" applyAlignment="1">
      <alignment horizontal="right" vertical="center"/>
    </xf>
    <xf numFmtId="1" fontId="20" fillId="0" borderId="6" xfId="0" applyNumberFormat="1" applyFont="1" applyBorder="1" applyAlignment="1">
      <alignment horizontal="right" vertical="center"/>
    </xf>
    <xf numFmtId="172" fontId="21" fillId="0" borderId="6" xfId="0" applyNumberFormat="1" applyFont="1" applyBorder="1" applyAlignment="1">
      <alignment horizontal="right" vertical="center"/>
    </xf>
    <xf numFmtId="172" fontId="20" fillId="0" borderId="6" xfId="0" applyNumberFormat="1" applyFont="1" applyBorder="1" applyAlignment="1">
      <alignment horizontal="right" vertical="center"/>
    </xf>
    <xf numFmtId="173" fontId="20" fillId="0" borderId="6" xfId="0" applyNumberFormat="1" applyFont="1" applyBorder="1" applyAlignment="1">
      <alignment horizontal="right" vertical="center"/>
    </xf>
    <xf numFmtId="168" fontId="20" fillId="0" borderId="6" xfId="0" applyNumberFormat="1" applyFont="1" applyBorder="1" applyAlignment="1">
      <alignment horizontal="right" vertical="center"/>
    </xf>
    <xf numFmtId="174" fontId="20" fillId="0" borderId="6" xfId="0" applyNumberFormat="1" applyFont="1" applyBorder="1" applyAlignment="1">
      <alignment horizontal="right" vertical="center"/>
    </xf>
    <xf numFmtId="173" fontId="21" fillId="6" borderId="0" xfId="0" applyNumberFormat="1" applyFont="1" applyFill="1" applyAlignment="1">
      <alignment horizontal="right"/>
    </xf>
    <xf numFmtId="0" fontId="17" fillId="2" borderId="0" xfId="0" applyFont="1" applyFill="1" applyAlignment="1">
      <alignment horizontal="center"/>
    </xf>
    <xf numFmtId="165" fontId="16" fillId="0" borderId="0" xfId="0" applyNumberFormat="1" applyFont="1"/>
    <xf numFmtId="165" fontId="0" fillId="0" borderId="0" xfId="0" applyNumberFormat="1"/>
    <xf numFmtId="170" fontId="7" fillId="6" borderId="0" xfId="0" applyNumberFormat="1" applyFont="1" applyFill="1" applyAlignment="1">
      <alignment horizontal="right"/>
    </xf>
    <xf numFmtId="1" fontId="7" fillId="6" borderId="0" xfId="0" applyNumberFormat="1" applyFont="1" applyFill="1" applyAlignment="1">
      <alignment horizontal="right"/>
    </xf>
    <xf numFmtId="165" fontId="7" fillId="6" borderId="0" xfId="0" applyNumberFormat="1" applyFont="1" applyFill="1" applyAlignment="1">
      <alignment horizontal="right"/>
    </xf>
    <xf numFmtId="168" fontId="7" fillId="6" borderId="0" xfId="0" applyNumberFormat="1" applyFont="1" applyFill="1" applyAlignment="1">
      <alignment horizontal="right"/>
    </xf>
    <xf numFmtId="4" fontId="7" fillId="6" borderId="0" xfId="0" applyNumberFormat="1" applyFont="1" applyFill="1" applyAlignment="1">
      <alignment horizontal="right"/>
    </xf>
    <xf numFmtId="173" fontId="7" fillId="6" borderId="0" xfId="0" applyNumberFormat="1" applyFont="1" applyFill="1" applyAlignment="1">
      <alignment horizontal="right"/>
    </xf>
    <xf numFmtId="172" fontId="7" fillId="6" borderId="0" xfId="0" applyNumberFormat="1" applyFont="1" applyFill="1" applyAlignment="1">
      <alignment horizontal="right"/>
    </xf>
    <xf numFmtId="0" fontId="16" fillId="0" borderId="0" xfId="0" applyFont="1" applyAlignment="1">
      <alignment vertical="center"/>
    </xf>
    <xf numFmtId="1" fontId="18" fillId="3" borderId="0" xfId="0" applyNumberFormat="1" applyFont="1" applyFill="1" applyAlignment="1">
      <alignment horizontal="right" vertical="center"/>
    </xf>
    <xf numFmtId="171" fontId="21" fillId="6" borderId="0" xfId="0" applyNumberFormat="1" applyFont="1" applyFill="1" applyAlignment="1">
      <alignment horizontal="right" vertical="center"/>
    </xf>
    <xf numFmtId="165" fontId="21" fillId="6" borderId="0" xfId="0" applyNumberFormat="1" applyFont="1" applyFill="1" applyAlignment="1">
      <alignment horizontal="right" vertical="center"/>
    </xf>
    <xf numFmtId="0" fontId="21" fillId="6" borderId="0" xfId="0" applyFont="1" applyFill="1" applyAlignment="1">
      <alignment horizontal="center" vertical="center"/>
    </xf>
    <xf numFmtId="0" fontId="16" fillId="0" borderId="0" xfId="0" applyFont="1" applyAlignment="1">
      <alignment vertical="center" wrapText="1"/>
    </xf>
    <xf numFmtId="0" fontId="17" fillId="2" borderId="5" xfId="0" applyFont="1" applyFill="1" applyBorder="1" applyAlignment="1">
      <alignment horizontal="left" vertical="center" wrapText="1"/>
    </xf>
    <xf numFmtId="0" fontId="16" fillId="0" borderId="6" xfId="0" applyFont="1" applyBorder="1" applyAlignment="1">
      <alignment vertical="center" wrapText="1"/>
    </xf>
    <xf numFmtId="0" fontId="14" fillId="0" borderId="6" xfId="0" applyFont="1" applyBorder="1" applyAlignment="1">
      <alignment vertical="center" wrapText="1"/>
    </xf>
    <xf numFmtId="168" fontId="21" fillId="6" borderId="0" xfId="0" applyNumberFormat="1" applyFont="1" applyFill="1" applyAlignment="1">
      <alignment horizontal="right" vertical="center"/>
    </xf>
    <xf numFmtId="172" fontId="21" fillId="6" borderId="0" xfId="0" applyNumberFormat="1" applyFont="1" applyFill="1" applyAlignment="1">
      <alignment horizontal="right" vertical="center"/>
    </xf>
    <xf numFmtId="173" fontId="21" fillId="6" borderId="0" xfId="0" applyNumberFormat="1" applyFont="1" applyFill="1" applyAlignment="1">
      <alignment horizontal="right" vertical="center"/>
    </xf>
    <xf numFmtId="1" fontId="21" fillId="6" borderId="0" xfId="0" applyNumberFormat="1" applyFont="1" applyFill="1" applyAlignment="1">
      <alignment horizontal="right" vertical="center"/>
    </xf>
    <xf numFmtId="10" fontId="7" fillId="6" borderId="4" xfId="0" applyNumberFormat="1" applyFont="1" applyFill="1" applyBorder="1" applyAlignment="1">
      <alignment horizontal="right" vertical="center"/>
    </xf>
    <xf numFmtId="0" fontId="9" fillId="10" borderId="0" xfId="0" applyFont="1" applyFill="1" applyAlignment="1">
      <alignment horizontal="center"/>
    </xf>
    <xf numFmtId="0" fontId="9" fillId="10" borderId="0" xfId="0" applyFont="1" applyFill="1" applyAlignment="1">
      <alignment horizontal="center" vertical="center"/>
    </xf>
    <xf numFmtId="0" fontId="1" fillId="11" borderId="0" xfId="0" applyFont="1" applyFill="1" applyAlignment="1">
      <alignment horizontal="center" vertical="center"/>
    </xf>
    <xf numFmtId="0" fontId="1" fillId="11" borderId="0" xfId="0" applyFont="1" applyFill="1" applyAlignment="1">
      <alignment horizontal="center" vertical="center" wrapText="1"/>
    </xf>
    <xf numFmtId="0" fontId="1" fillId="11" borderId="0" xfId="0" applyFont="1" applyFill="1" applyAlignment="1">
      <alignment horizontal="left" vertical="center" wrapText="1"/>
    </xf>
    <xf numFmtId="0" fontId="7" fillId="11" borderId="0" xfId="0" applyFont="1" applyFill="1" applyAlignment="1">
      <alignment horizontal="center" vertical="center"/>
    </xf>
    <xf numFmtId="0" fontId="7" fillId="0" borderId="0" xfId="0" applyFont="1" applyAlignment="1">
      <alignment horizontal="center"/>
    </xf>
    <xf numFmtId="166" fontId="7" fillId="11" borderId="0" xfId="0" applyNumberFormat="1" applyFont="1" applyFill="1" applyAlignment="1">
      <alignment horizontal="center"/>
    </xf>
    <xf numFmtId="165" fontId="7" fillId="11" borderId="0" xfId="0" applyNumberFormat="1" applyFont="1" applyFill="1" applyAlignment="1">
      <alignment horizontal="center"/>
    </xf>
    <xf numFmtId="1" fontId="7" fillId="11" borderId="0" xfId="0" applyNumberFormat="1" applyFont="1" applyFill="1" applyAlignment="1">
      <alignment horizontal="center"/>
    </xf>
    <xf numFmtId="172" fontId="7" fillId="11" borderId="0" xfId="0" applyNumberFormat="1" applyFont="1" applyFill="1" applyAlignment="1">
      <alignment horizontal="center"/>
    </xf>
    <xf numFmtId="4" fontId="21" fillId="6" borderId="0" xfId="0" applyNumberFormat="1" applyFont="1" applyFill="1" applyAlignment="1">
      <alignment horizontal="center" vertical="center"/>
    </xf>
    <xf numFmtId="4" fontId="21" fillId="0" borderId="0" xfId="0" applyNumberFormat="1" applyFont="1" applyAlignment="1">
      <alignment vertical="center"/>
    </xf>
    <xf numFmtId="0" fontId="9" fillId="17" borderId="10" xfId="0" applyFont="1" applyFill="1" applyBorder="1" applyAlignment="1">
      <alignment horizontal="center" vertical="center" wrapText="1"/>
    </xf>
    <xf numFmtId="0" fontId="27" fillId="0" borderId="11" xfId="0" applyFont="1" applyBorder="1" applyAlignment="1">
      <alignment vertical="top" wrapText="1"/>
    </xf>
    <xf numFmtId="0" fontId="27" fillId="0" borderId="11" xfId="0" applyFont="1" applyBorder="1" applyAlignment="1">
      <alignment horizontal="center" vertical="top" wrapText="1"/>
    </xf>
    <xf numFmtId="0" fontId="28" fillId="0" borderId="11" xfId="0" applyFont="1" applyBorder="1" applyAlignment="1">
      <alignment vertical="top" wrapText="1"/>
    </xf>
    <xf numFmtId="3" fontId="7" fillId="6" borderId="4" xfId="0" applyNumberFormat="1" applyFont="1" applyFill="1" applyBorder="1" applyAlignment="1">
      <alignment horizontal="right" vertical="center" wrapText="1"/>
    </xf>
    <xf numFmtId="4" fontId="10" fillId="5" borderId="4" xfId="0" applyNumberFormat="1" applyFont="1" applyFill="1" applyBorder="1" applyAlignment="1">
      <alignment horizontal="right" vertical="center" wrapText="1"/>
    </xf>
    <xf numFmtId="4" fontId="7" fillId="6" borderId="4" xfId="0" applyNumberFormat="1" applyFont="1" applyFill="1" applyBorder="1" applyAlignment="1">
      <alignment horizontal="right" vertical="center" wrapText="1"/>
    </xf>
    <xf numFmtId="3" fontId="7" fillId="18" borderId="4" xfId="0" applyNumberFormat="1" applyFont="1" applyFill="1" applyBorder="1" applyAlignment="1">
      <alignment horizontal="right" vertical="center" wrapText="1"/>
    </xf>
    <xf numFmtId="4" fontId="10" fillId="19" borderId="0" xfId="0" applyNumberFormat="1" applyFont="1" applyFill="1" applyAlignment="1">
      <alignment horizontal="right" vertical="center"/>
    </xf>
    <xf numFmtId="0" fontId="8" fillId="0" borderId="0" xfId="0" applyFont="1" applyAlignment="1">
      <alignment vertical="center"/>
    </xf>
    <xf numFmtId="4" fontId="7" fillId="20" borderId="0" xfId="0" applyNumberFormat="1" applyFont="1" applyFill="1" applyAlignment="1">
      <alignment horizontal="right" vertical="center"/>
    </xf>
    <xf numFmtId="0" fontId="7" fillId="20" borderId="4" xfId="0" applyFont="1" applyFill="1" applyBorder="1" applyAlignment="1">
      <alignment horizontal="right" vertical="center"/>
    </xf>
    <xf numFmtId="4" fontId="7" fillId="20" borderId="4" xfId="0" applyNumberFormat="1" applyFont="1" applyFill="1" applyBorder="1" applyAlignment="1">
      <alignment horizontal="right" vertical="center"/>
    </xf>
    <xf numFmtId="3" fontId="7" fillId="20" borderId="4" xfId="0" applyNumberFormat="1" applyFont="1" applyFill="1" applyBorder="1" applyAlignment="1">
      <alignment horizontal="right" vertical="center"/>
    </xf>
    <xf numFmtId="10" fontId="7" fillId="20" borderId="4" xfId="0" applyNumberFormat="1" applyFont="1" applyFill="1" applyBorder="1" applyAlignment="1">
      <alignment horizontal="right" vertical="center"/>
    </xf>
    <xf numFmtId="166" fontId="7" fillId="20" borderId="0" xfId="0" applyNumberFormat="1" applyFont="1" applyFill="1" applyAlignment="1">
      <alignment horizontal="right" vertical="center"/>
    </xf>
    <xf numFmtId="0" fontId="16" fillId="0" borderId="4" xfId="0" applyFont="1" applyBorder="1" applyAlignment="1">
      <alignment vertical="center" wrapText="1"/>
    </xf>
    <xf numFmtId="4" fontId="21" fillId="0" borderId="0" xfId="0" applyNumberFormat="1" applyFont="1" applyAlignment="1">
      <alignment horizontal="right" vertical="center"/>
    </xf>
    <xf numFmtId="4" fontId="21" fillId="0" borderId="4" xfId="0" applyNumberFormat="1" applyFont="1" applyBorder="1" applyAlignment="1">
      <alignment horizontal="right" vertical="center"/>
    </xf>
    <xf numFmtId="10" fontId="29" fillId="5" borderId="4" xfId="0" applyNumberFormat="1" applyFont="1" applyFill="1" applyBorder="1" applyAlignment="1">
      <alignment horizontal="right" vertical="center" wrapText="1"/>
    </xf>
    <xf numFmtId="0" fontId="9" fillId="2" borderId="2" xfId="0" applyFont="1" applyFill="1" applyBorder="1" applyAlignment="1">
      <alignment horizontal="center" vertical="center" wrapText="1"/>
    </xf>
    <xf numFmtId="0" fontId="5" fillId="4" borderId="0" xfId="0" applyFont="1" applyFill="1" applyAlignment="1">
      <alignment horizontal="center" vertical="center"/>
    </xf>
    <xf numFmtId="0" fontId="5" fillId="4" borderId="0" xfId="0" applyFont="1" applyFill="1" applyAlignment="1">
      <alignment horizontal="left" vertical="center"/>
    </xf>
    <xf numFmtId="0" fontId="5" fillId="4" borderId="0" xfId="0" applyFont="1" applyFill="1" applyAlignment="1">
      <alignment horizontal="left" vertical="center" wrapText="1"/>
    </xf>
    <xf numFmtId="0" fontId="3" fillId="7" borderId="0" xfId="0" applyFont="1" applyFill="1" applyAlignment="1">
      <alignment vertical="center" wrapText="1"/>
    </xf>
    <xf numFmtId="0" fontId="9" fillId="2" borderId="0" xfId="0" applyFont="1" applyFill="1" applyAlignment="1">
      <alignment horizontal="center" vertical="center"/>
    </xf>
    <xf numFmtId="0" fontId="3" fillId="0" borderId="0" xfId="0" applyFont="1" applyAlignment="1">
      <alignment vertical="center"/>
    </xf>
    <xf numFmtId="0" fontId="2" fillId="2" borderId="0" xfId="0" applyFont="1" applyFill="1" applyAlignment="1">
      <alignment horizontal="center" vertical="center"/>
    </xf>
    <xf numFmtId="0" fontId="3" fillId="3" borderId="0" xfId="0" applyFont="1" applyFill="1" applyAlignment="1">
      <alignment horizontal="center" vertical="center" wrapText="1"/>
    </xf>
    <xf numFmtId="0" fontId="4" fillId="0" borderId="0" xfId="0" applyFont="1" applyAlignment="1">
      <alignment horizontal="right" vertical="center"/>
    </xf>
    <xf numFmtId="0" fontId="8" fillId="0" borderId="0" xfId="0" applyFont="1" applyAlignment="1">
      <alignment vertical="center"/>
    </xf>
    <xf numFmtId="0" fontId="25" fillId="15" borderId="0" xfId="0" applyFont="1" applyFill="1" applyAlignment="1">
      <alignment horizontal="center" vertical="center"/>
    </xf>
    <xf numFmtId="0" fontId="26" fillId="16" borderId="0" xfId="0" applyFont="1" applyFill="1" applyAlignment="1">
      <alignment horizontal="center" vertical="center"/>
    </xf>
    <xf numFmtId="0" fontId="24" fillId="14" borderId="0" xfId="0" applyFont="1" applyFill="1" applyAlignment="1">
      <alignment horizontal="center" vertical="center"/>
    </xf>
    <xf numFmtId="0" fontId="12" fillId="11" borderId="0" xfId="0" applyFont="1" applyFill="1" applyAlignment="1">
      <alignment horizontal="left" vertical="center" wrapText="1"/>
    </xf>
    <xf numFmtId="0" fontId="5" fillId="9" borderId="0" xfId="0" applyFont="1" applyFill="1" applyAlignment="1">
      <alignment horizontal="left" vertical="center"/>
    </xf>
    <xf numFmtId="0" fontId="23" fillId="12" borderId="7" xfId="0" applyFont="1" applyFill="1" applyBorder="1" applyAlignment="1">
      <alignment horizontal="center" vertical="center" wrapText="1"/>
    </xf>
    <xf numFmtId="0" fontId="23" fillId="12" borderId="8" xfId="0" applyFont="1" applyFill="1" applyBorder="1" applyAlignment="1">
      <alignment horizontal="center" vertical="center" wrapText="1"/>
    </xf>
    <xf numFmtId="0" fontId="23" fillId="12" borderId="9" xfId="0" applyFont="1" applyFill="1" applyBorder="1" applyAlignment="1">
      <alignment horizontal="center" vertical="center" wrapText="1"/>
    </xf>
    <xf numFmtId="0" fontId="12" fillId="13" borderId="0" xfId="0" applyFont="1" applyFill="1" applyAlignment="1">
      <alignment horizontal="center" vertical="center" wrapText="1"/>
    </xf>
    <xf numFmtId="0" fontId="9" fillId="10" borderId="0" xfId="0" applyFont="1" applyFill="1" applyAlignment="1">
      <alignment horizontal="center" vertical="center"/>
    </xf>
    <xf numFmtId="0" fontId="22" fillId="3" borderId="0" xfId="0" applyFont="1" applyFill="1" applyAlignment="1">
      <alignment horizontal="center"/>
    </xf>
    <xf numFmtId="0" fontId="4" fillId="0" borderId="0" xfId="0" applyFont="1" applyAlignment="1">
      <alignment horizontal="right"/>
    </xf>
    <xf numFmtId="0" fontId="5" fillId="4" borderId="0" xfId="0" applyFont="1" applyFill="1"/>
    <xf numFmtId="0" fontId="14" fillId="2" borderId="0" xfId="0" applyFont="1" applyFill="1" applyAlignment="1">
      <alignment horizontal="center" vertical="center" wrapText="1"/>
    </xf>
    <xf numFmtId="0" fontId="14" fillId="2" borderId="0" xfId="0" applyFont="1" applyFill="1" applyAlignment="1">
      <alignment horizontal="center" vertical="center"/>
    </xf>
    <xf numFmtId="0" fontId="15" fillId="3" borderId="0" xfId="0" applyFont="1" applyFill="1" applyAlignment="1">
      <alignment horizontal="center" vertical="center" wrapText="1"/>
    </xf>
    <xf numFmtId="0" fontId="16" fillId="0" borderId="0" xfId="0" applyFont="1" applyAlignment="1">
      <alignment horizontal="right" vertical="center" wrapText="1"/>
    </xf>
    <xf numFmtId="0" fontId="16" fillId="0" borderId="0" xfId="0" applyFont="1" applyAlignment="1">
      <alignment horizontal="right" vertical="center"/>
    </xf>
    <xf numFmtId="0" fontId="19" fillId="4" borderId="0" xfId="0" applyFont="1" applyFill="1" applyAlignment="1">
      <alignment horizontal="left" vertical="center" wrapText="1"/>
    </xf>
    <xf numFmtId="0" fontId="19" fillId="4" borderId="0" xfId="0" applyFont="1" applyFill="1" applyAlignment="1">
      <alignment horizontal="left" vertical="center"/>
    </xf>
    <xf numFmtId="0" fontId="12" fillId="8" borderId="0" xfId="0" applyFont="1" applyFill="1" applyAlignment="1">
      <alignment vertical="center" wrapText="1"/>
    </xf>
    <xf numFmtId="0" fontId="12" fillId="3" borderId="0" xfId="0" applyFont="1" applyFill="1" applyAlignment="1">
      <alignment vertical="center" wrapText="1"/>
    </xf>
    <xf numFmtId="0" fontId="19" fillId="4" borderId="0" xfId="0" applyFont="1" applyFill="1"/>
    <xf numFmtId="0" fontId="11" fillId="2" borderId="0" xfId="0" applyFont="1" applyFill="1" applyAlignment="1">
      <alignment horizontal="center" vertical="center"/>
    </xf>
    <xf numFmtId="0" fontId="12" fillId="3" borderId="0" xfId="0" applyFont="1" applyFill="1" applyAlignment="1">
      <alignment horizontal="center" vertical="center" wrapText="1"/>
    </xf>
    <xf numFmtId="0" fontId="13" fillId="0" borderId="0" xfId="0" applyFont="1" applyAlignment="1">
      <alignment horizontal="right"/>
    </xf>
  </cellXfs>
  <cellStyles count="1">
    <cellStyle name="Normal" xfId="0" builtinId="0"/>
  </cellStyles>
  <dxfs count="19">
    <dxf>
      <font>
        <b/>
        <color rgb="FF0000FF"/>
      </font>
      <fill>
        <patternFill>
          <bgColor rgb="FFFCEFE8"/>
        </patternFill>
      </fill>
    </dxf>
    <dxf>
      <font>
        <b/>
        <color rgb="FF0000FF"/>
      </font>
      <fill>
        <patternFill>
          <bgColor rgb="FFEDF6E9"/>
        </patternFill>
      </fill>
    </dxf>
    <dxf>
      <font>
        <b/>
        <color rgb="FF0000FF"/>
      </font>
      <fill>
        <patternFill>
          <bgColor rgb="FFFCEFE8"/>
        </patternFill>
      </fill>
    </dxf>
    <dxf>
      <font>
        <b/>
        <color rgb="FF0000FF"/>
      </font>
      <fill>
        <patternFill>
          <bgColor rgb="FFEDF6E9"/>
        </patternFill>
      </fill>
    </dxf>
    <dxf>
      <font>
        <b/>
        <color rgb="FFC00000"/>
      </font>
      <fill>
        <patternFill>
          <bgColor rgb="FFFDE9E7"/>
        </patternFill>
      </fill>
    </dxf>
    <dxf>
      <font>
        <b/>
        <color rgb="FF008000"/>
      </font>
      <fill>
        <patternFill>
          <bgColor rgb="FFE2F0D9"/>
        </patternFill>
      </fill>
    </dxf>
    <dxf>
      <font>
        <b/>
        <color rgb="FF0000FF"/>
      </font>
      <fill>
        <patternFill>
          <bgColor rgb="FFFCEFE8"/>
        </patternFill>
      </fill>
    </dxf>
    <dxf>
      <font>
        <b/>
        <color rgb="FFC00000"/>
      </font>
      <fill>
        <patternFill>
          <bgColor rgb="FFFDE9E7"/>
        </patternFill>
      </fill>
    </dxf>
    <dxf>
      <font>
        <b/>
        <color rgb="FF008000"/>
      </font>
      <fill>
        <patternFill>
          <bgColor rgb="FFE2F0D9"/>
        </patternFill>
      </fill>
    </dxf>
    <dxf>
      <font>
        <b/>
        <color rgb="FFC00000"/>
      </font>
      <fill>
        <patternFill>
          <bgColor rgb="FFFDE9E7"/>
        </patternFill>
      </fill>
    </dxf>
    <dxf>
      <font>
        <b/>
        <color rgb="FF008000"/>
      </font>
      <fill>
        <patternFill>
          <bgColor rgb="FFE2F0D9"/>
        </patternFill>
      </fill>
    </dxf>
    <dxf>
      <font>
        <b/>
        <color rgb="FFC00000"/>
      </font>
      <fill>
        <patternFill>
          <bgColor rgb="FFFDE9E7"/>
        </patternFill>
      </fill>
    </dxf>
    <dxf>
      <font>
        <b/>
        <color rgb="FF9C6500"/>
      </font>
      <fill>
        <patternFill>
          <bgColor rgb="FFFFF2CC"/>
        </patternFill>
      </fill>
    </dxf>
    <dxf>
      <font>
        <b/>
        <color rgb="FF008000"/>
      </font>
      <fill>
        <patternFill>
          <bgColor rgb="FFE2F0D9"/>
        </patternFill>
      </fill>
    </dxf>
    <dxf>
      <font>
        <color rgb="FF9C0006"/>
      </font>
    </dxf>
    <dxf>
      <font>
        <b/>
        <color rgb="FF9C0006"/>
      </font>
      <fill>
        <patternFill>
          <bgColor rgb="FFFCE4D6"/>
        </patternFill>
      </fill>
    </dxf>
    <dxf>
      <font>
        <b/>
        <color rgb="FF006100"/>
      </font>
      <fill>
        <patternFill>
          <bgColor rgb="FFE2F0D9"/>
        </patternFill>
      </fill>
    </dxf>
    <dxf>
      <font>
        <b/>
        <color rgb="FF0000FF"/>
      </font>
      <fill>
        <patternFill>
          <bgColor rgb="FFFCEFE8"/>
        </patternFill>
      </fill>
    </dxf>
    <dxf>
      <font>
        <b/>
        <color rgb="FF0000FF"/>
      </font>
      <fill>
        <patternFill>
          <bgColor rgb="FFEDF6E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17/10/relationships/person" Target="persons/perso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39"/>
  <sheetViews>
    <sheetView showGridLines="0" workbookViewId="0">
      <selection sqref="A1:E1"/>
    </sheetView>
  </sheetViews>
  <sheetFormatPr defaultRowHeight="14"/>
  <cols>
    <col min="1" max="1" width="7" customWidth="1"/>
    <col min="2" max="2" width="16" customWidth="1"/>
    <col min="3" max="3" width="40" customWidth="1"/>
    <col min="4" max="4" width="34" customWidth="1"/>
    <col min="5" max="5" width="48" customWidth="1"/>
  </cols>
  <sheetData>
    <row r="1" spans="1:5" ht="28" customHeight="1">
      <c r="A1" s="122" t="s">
        <v>0</v>
      </c>
      <c r="B1" s="122"/>
      <c r="C1" s="122"/>
      <c r="D1" s="122"/>
      <c r="E1" s="122"/>
    </row>
    <row r="2" spans="1:5" ht="22" customHeight="1">
      <c r="A2" s="123" t="s">
        <v>1</v>
      </c>
      <c r="B2" s="123"/>
      <c r="C2" s="123"/>
      <c r="D2" s="123"/>
      <c r="E2" s="123"/>
    </row>
    <row r="4" spans="1:5" ht="34" customHeight="1">
      <c r="A4" s="91" t="s">
        <v>2</v>
      </c>
      <c r="B4" s="91" t="s">
        <v>3</v>
      </c>
      <c r="C4" s="91" t="s">
        <v>4</v>
      </c>
      <c r="D4" s="91" t="s">
        <v>5</v>
      </c>
      <c r="E4" s="91" t="s">
        <v>6</v>
      </c>
    </row>
    <row r="5" spans="1:5" ht="34" customHeight="1">
      <c r="A5" s="93">
        <v>1</v>
      </c>
      <c r="B5" s="94" t="s">
        <v>7</v>
      </c>
      <c r="C5" s="92" t="s">
        <v>8</v>
      </c>
      <c r="D5" s="92" t="s">
        <v>9</v>
      </c>
      <c r="E5" s="92" t="s">
        <v>10</v>
      </c>
    </row>
    <row r="6" spans="1:5" ht="34" customHeight="1">
      <c r="A6" s="93">
        <v>2</v>
      </c>
      <c r="B6" s="94" t="s">
        <v>11</v>
      </c>
      <c r="C6" s="92" t="s">
        <v>12</v>
      </c>
      <c r="D6" s="92" t="s">
        <v>13</v>
      </c>
      <c r="E6" s="92" t="s">
        <v>14</v>
      </c>
    </row>
    <row r="7" spans="1:5" ht="34" customHeight="1">
      <c r="A7" s="93">
        <v>3</v>
      </c>
      <c r="B7" s="94" t="s">
        <v>15</v>
      </c>
      <c r="C7" s="92" t="s">
        <v>16</v>
      </c>
      <c r="D7" s="92" t="s">
        <v>17</v>
      </c>
      <c r="E7" s="92" t="s">
        <v>18</v>
      </c>
    </row>
    <row r="8" spans="1:5" ht="34" customHeight="1">
      <c r="A8" s="93">
        <v>4</v>
      </c>
      <c r="B8" s="94" t="s">
        <v>19</v>
      </c>
      <c r="C8" s="92" t="s">
        <v>20</v>
      </c>
      <c r="D8" s="92" t="s">
        <v>21</v>
      </c>
      <c r="E8" s="92" t="s">
        <v>22</v>
      </c>
    </row>
    <row r="9" spans="1:5" ht="34" customHeight="1">
      <c r="A9" s="93">
        <v>5</v>
      </c>
      <c r="B9" s="94" t="s">
        <v>23</v>
      </c>
      <c r="C9" s="92" t="s">
        <v>24</v>
      </c>
      <c r="D9" s="92" t="s">
        <v>25</v>
      </c>
      <c r="E9" s="92" t="s">
        <v>26</v>
      </c>
    </row>
    <row r="10" spans="1:5" ht="34" customHeight="1">
      <c r="A10" s="93">
        <v>6</v>
      </c>
      <c r="B10" s="94" t="s">
        <v>27</v>
      </c>
      <c r="C10" s="92" t="s">
        <v>28</v>
      </c>
      <c r="D10" s="92" t="s">
        <v>29</v>
      </c>
      <c r="E10" s="92" t="s">
        <v>30</v>
      </c>
    </row>
    <row r="11" spans="1:5" ht="34" customHeight="1">
      <c r="A11" s="93">
        <v>7</v>
      </c>
      <c r="B11" s="94" t="s">
        <v>31</v>
      </c>
      <c r="C11" s="92" t="s">
        <v>32</v>
      </c>
      <c r="D11" s="92" t="s">
        <v>33</v>
      </c>
      <c r="E11" s="92" t="s">
        <v>34</v>
      </c>
    </row>
    <row r="12" spans="1:5" ht="34" customHeight="1">
      <c r="A12" s="93">
        <v>8</v>
      </c>
      <c r="B12" s="94" t="s">
        <v>35</v>
      </c>
      <c r="C12" s="92" t="s">
        <v>36</v>
      </c>
      <c r="D12" s="92" t="s">
        <v>37</v>
      </c>
      <c r="E12" s="92" t="s">
        <v>38</v>
      </c>
    </row>
    <row r="13" spans="1:5" ht="34" customHeight="1">
      <c r="A13" s="93">
        <v>9</v>
      </c>
      <c r="B13" s="94" t="s">
        <v>39</v>
      </c>
      <c r="C13" s="92" t="s">
        <v>40</v>
      </c>
      <c r="D13" s="92" t="s">
        <v>41</v>
      </c>
      <c r="E13" s="92" t="s">
        <v>42</v>
      </c>
    </row>
    <row r="14" spans="1:5" ht="34" customHeight="1">
      <c r="A14" s="93">
        <v>10</v>
      </c>
      <c r="B14" s="94" t="s">
        <v>43</v>
      </c>
      <c r="C14" s="92" t="s">
        <v>44</v>
      </c>
      <c r="D14" s="92" t="s">
        <v>45</v>
      </c>
      <c r="E14" s="92" t="s">
        <v>46</v>
      </c>
    </row>
    <row r="15" spans="1:5" ht="34" customHeight="1">
      <c r="A15" s="93">
        <v>11</v>
      </c>
      <c r="B15" s="94" t="s">
        <v>47</v>
      </c>
      <c r="C15" s="92" t="s">
        <v>48</v>
      </c>
      <c r="D15" s="92" t="s">
        <v>49</v>
      </c>
      <c r="E15" s="92" t="s">
        <v>50</v>
      </c>
    </row>
    <row r="16" spans="1:5" ht="34" customHeight="1">
      <c r="A16" s="93">
        <v>12</v>
      </c>
      <c r="B16" s="94" t="s">
        <v>51</v>
      </c>
      <c r="C16" s="92" t="s">
        <v>52</v>
      </c>
      <c r="D16" s="92" t="s">
        <v>53</v>
      </c>
      <c r="E16" s="92" t="s">
        <v>54</v>
      </c>
    </row>
    <row r="17" spans="1:5" ht="34" customHeight="1">
      <c r="A17" s="93">
        <v>13</v>
      </c>
      <c r="B17" s="94" t="s">
        <v>55</v>
      </c>
      <c r="C17" s="92" t="s">
        <v>56</v>
      </c>
      <c r="D17" s="92" t="s">
        <v>57</v>
      </c>
      <c r="E17" s="92" t="s">
        <v>58</v>
      </c>
    </row>
    <row r="18" spans="1:5" ht="34" customHeight="1">
      <c r="A18" s="93">
        <v>14</v>
      </c>
      <c r="B18" s="94" t="s">
        <v>59</v>
      </c>
      <c r="C18" s="92" t="s">
        <v>60</v>
      </c>
      <c r="D18" s="92" t="s">
        <v>61</v>
      </c>
      <c r="E18" s="92" t="s">
        <v>62</v>
      </c>
    </row>
    <row r="19" spans="1:5" ht="34" customHeight="1">
      <c r="A19" s="93">
        <v>15</v>
      </c>
      <c r="B19" s="94" t="s">
        <v>63</v>
      </c>
      <c r="C19" s="92" t="s">
        <v>64</v>
      </c>
      <c r="D19" s="92" t="s">
        <v>65</v>
      </c>
      <c r="E19" s="92" t="s">
        <v>66</v>
      </c>
    </row>
    <row r="20" spans="1:5" ht="34" customHeight="1">
      <c r="A20" s="93">
        <v>16</v>
      </c>
      <c r="B20" s="94" t="s">
        <v>67</v>
      </c>
      <c r="C20" s="92" t="s">
        <v>68</v>
      </c>
      <c r="D20" s="92" t="s">
        <v>69</v>
      </c>
      <c r="E20" s="92" t="s">
        <v>70</v>
      </c>
    </row>
    <row r="21" spans="1:5" ht="34" customHeight="1">
      <c r="A21" s="93">
        <v>17</v>
      </c>
      <c r="B21" s="94" t="s">
        <v>71</v>
      </c>
      <c r="C21" s="92" t="s">
        <v>72</v>
      </c>
      <c r="D21" s="92" t="s">
        <v>73</v>
      </c>
      <c r="E21" s="92" t="s">
        <v>74</v>
      </c>
    </row>
    <row r="22" spans="1:5" ht="34" customHeight="1">
      <c r="A22" s="93">
        <v>18</v>
      </c>
      <c r="B22" s="94" t="s">
        <v>75</v>
      </c>
      <c r="C22" s="92" t="s">
        <v>76</v>
      </c>
      <c r="D22" s="92" t="s">
        <v>77</v>
      </c>
      <c r="E22" s="92" t="s">
        <v>78</v>
      </c>
    </row>
    <row r="23" spans="1:5" ht="34" customHeight="1">
      <c r="A23" s="93">
        <v>19</v>
      </c>
      <c r="B23" s="94" t="s">
        <v>79</v>
      </c>
      <c r="C23" s="92" t="s">
        <v>80</v>
      </c>
      <c r="D23" s="92" t="s">
        <v>81</v>
      </c>
      <c r="E23" s="92" t="s">
        <v>82</v>
      </c>
    </row>
    <row r="24" spans="1:5" ht="34" customHeight="1">
      <c r="A24" s="93">
        <v>20</v>
      </c>
      <c r="B24" s="94" t="s">
        <v>83</v>
      </c>
      <c r="C24" s="92" t="s">
        <v>84</v>
      </c>
      <c r="D24" s="92" t="s">
        <v>85</v>
      </c>
      <c r="E24" s="92" t="s">
        <v>86</v>
      </c>
    </row>
    <row r="25" spans="1:5" ht="34" customHeight="1">
      <c r="A25" s="93">
        <v>21</v>
      </c>
      <c r="B25" s="94" t="s">
        <v>87</v>
      </c>
      <c r="C25" s="92" t="s">
        <v>88</v>
      </c>
      <c r="D25" s="92" t="s">
        <v>89</v>
      </c>
      <c r="E25" s="92" t="s">
        <v>90</v>
      </c>
    </row>
    <row r="26" spans="1:5" ht="34" customHeight="1">
      <c r="A26" s="93">
        <v>22</v>
      </c>
      <c r="B26" s="94" t="s">
        <v>91</v>
      </c>
      <c r="C26" s="92" t="s">
        <v>92</v>
      </c>
      <c r="D26" s="92" t="s">
        <v>93</v>
      </c>
      <c r="E26" s="92" t="s">
        <v>94</v>
      </c>
    </row>
    <row r="27" spans="1:5" ht="34" customHeight="1">
      <c r="A27" s="93">
        <v>23</v>
      </c>
      <c r="B27" s="94" t="s">
        <v>95</v>
      </c>
      <c r="C27" s="92" t="s">
        <v>96</v>
      </c>
      <c r="D27" s="92" t="s">
        <v>96</v>
      </c>
      <c r="E27" s="92" t="s">
        <v>97</v>
      </c>
    </row>
    <row r="28" spans="1:5" ht="34" customHeight="1">
      <c r="A28" s="93">
        <v>24</v>
      </c>
      <c r="B28" s="94" t="s">
        <v>98</v>
      </c>
      <c r="C28" s="92" t="s">
        <v>99</v>
      </c>
      <c r="D28" s="92" t="s">
        <v>100</v>
      </c>
      <c r="E28" s="92" t="s">
        <v>101</v>
      </c>
    </row>
    <row r="29" spans="1:5" ht="34" customHeight="1">
      <c r="A29" s="93">
        <v>25</v>
      </c>
      <c r="B29" s="94" t="s">
        <v>102</v>
      </c>
      <c r="C29" s="92" t="s">
        <v>103</v>
      </c>
      <c r="D29" s="92" t="s">
        <v>104</v>
      </c>
      <c r="E29" s="92" t="s">
        <v>105</v>
      </c>
    </row>
    <row r="30" spans="1:5" ht="34" customHeight="1">
      <c r="A30" s="93">
        <v>26</v>
      </c>
      <c r="B30" s="94" t="s">
        <v>106</v>
      </c>
      <c r="C30" s="92" t="s">
        <v>107</v>
      </c>
      <c r="D30" s="92" t="s">
        <v>108</v>
      </c>
      <c r="E30" s="92" t="s">
        <v>109</v>
      </c>
    </row>
    <row r="31" spans="1:5" ht="34" customHeight="1">
      <c r="A31" s="93">
        <v>27</v>
      </c>
      <c r="B31" s="94" t="s">
        <v>110</v>
      </c>
      <c r="C31" s="92" t="s">
        <v>111</v>
      </c>
      <c r="D31" s="92" t="s">
        <v>112</v>
      </c>
      <c r="E31" s="92" t="s">
        <v>113</v>
      </c>
    </row>
    <row r="32" spans="1:5" ht="34" customHeight="1">
      <c r="A32" s="93">
        <v>28</v>
      </c>
      <c r="B32" s="94" t="s">
        <v>114</v>
      </c>
      <c r="C32" s="92" t="s">
        <v>115</v>
      </c>
      <c r="D32" s="92" t="s">
        <v>116</v>
      </c>
      <c r="E32" s="92" t="s">
        <v>117</v>
      </c>
    </row>
    <row r="33" spans="1:5" ht="34" customHeight="1">
      <c r="A33" s="93">
        <v>29</v>
      </c>
      <c r="B33" s="94" t="s">
        <v>118</v>
      </c>
      <c r="C33" s="92" t="s">
        <v>119</v>
      </c>
      <c r="D33" s="92" t="s">
        <v>120</v>
      </c>
      <c r="E33" s="92" t="s">
        <v>121</v>
      </c>
    </row>
    <row r="34" spans="1:5" ht="34" customHeight="1">
      <c r="A34" s="93">
        <v>30</v>
      </c>
      <c r="B34" s="94" t="s">
        <v>122</v>
      </c>
      <c r="C34" s="92" t="s">
        <v>123</v>
      </c>
      <c r="D34" s="92" t="s">
        <v>124</v>
      </c>
      <c r="E34" s="92" t="s">
        <v>125</v>
      </c>
    </row>
    <row r="35" spans="1:5" ht="34" customHeight="1">
      <c r="A35" s="93">
        <v>31</v>
      </c>
      <c r="B35" s="94" t="s">
        <v>126</v>
      </c>
      <c r="C35" s="92" t="s">
        <v>127</v>
      </c>
      <c r="D35" s="92" t="s">
        <v>128</v>
      </c>
      <c r="E35" s="92" t="s">
        <v>129</v>
      </c>
    </row>
    <row r="36" spans="1:5" ht="34" customHeight="1">
      <c r="A36" s="93">
        <v>32</v>
      </c>
      <c r="B36" s="94" t="s">
        <v>130</v>
      </c>
      <c r="C36" s="92" t="s">
        <v>131</v>
      </c>
      <c r="D36" s="92" t="s">
        <v>132</v>
      </c>
      <c r="E36" s="92" t="s">
        <v>133</v>
      </c>
    </row>
    <row r="37" spans="1:5" ht="34" customHeight="1">
      <c r="A37" s="93">
        <v>33</v>
      </c>
      <c r="B37" s="94" t="s">
        <v>134</v>
      </c>
      <c r="C37" s="92" t="s">
        <v>135</v>
      </c>
      <c r="D37" s="92" t="s">
        <v>136</v>
      </c>
      <c r="E37" s="92" t="s">
        <v>137</v>
      </c>
    </row>
    <row r="38" spans="1:5" ht="34" customHeight="1">
      <c r="A38" s="93">
        <v>34</v>
      </c>
      <c r="B38" s="94" t="s">
        <v>138</v>
      </c>
      <c r="C38" s="92" t="s">
        <v>139</v>
      </c>
      <c r="D38" s="92" t="s">
        <v>140</v>
      </c>
      <c r="E38" s="92" t="s">
        <v>141</v>
      </c>
    </row>
    <row r="39" spans="1:5" ht="34" customHeight="1">
      <c r="A39" s="93">
        <v>35</v>
      </c>
      <c r="B39" s="94" t="s">
        <v>142</v>
      </c>
      <c r="C39" s="92" t="s">
        <v>143</v>
      </c>
      <c r="D39" s="92" t="s">
        <v>144</v>
      </c>
      <c r="E39" s="92" t="s">
        <v>145</v>
      </c>
    </row>
  </sheetData>
  <mergeCells count="2">
    <mergeCell ref="A1:E1"/>
    <mergeCell ref="A2:E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85"/>
  <sheetViews>
    <sheetView showGridLines="0" tabSelected="1" topLeftCell="A10" workbookViewId="0">
      <selection activeCell="D45" sqref="D45"/>
    </sheetView>
  </sheetViews>
  <sheetFormatPr defaultRowHeight="14"/>
  <cols>
    <col min="1" max="1" width="12" customWidth="1"/>
    <col min="2" max="2" width="34" customWidth="1"/>
    <col min="3" max="3" width="19" customWidth="1"/>
    <col min="4" max="4" width="18" customWidth="1"/>
    <col min="5" max="5" width="15" customWidth="1"/>
    <col min="6" max="6" width="13" customWidth="1"/>
    <col min="7" max="7" width="49" customWidth="1"/>
    <col min="8" max="8" width="3" customWidth="1"/>
    <col min="9" max="9" width="30" customWidth="1"/>
    <col min="10" max="10" width="18" customWidth="1"/>
    <col min="11" max="11" width="13" customWidth="1"/>
    <col min="12" max="12" width="4.33203125" customWidth="1"/>
    <col min="13" max="13" width="13.1640625" customWidth="1"/>
    <col min="15" max="15" width="9.6640625" customWidth="1"/>
  </cols>
  <sheetData>
    <row r="1" spans="1:11" ht="30" customHeight="1">
      <c r="A1" s="118" t="s">
        <v>146</v>
      </c>
      <c r="B1" s="118"/>
      <c r="C1" s="118"/>
      <c r="D1" s="118"/>
      <c r="E1" s="118"/>
      <c r="F1" s="118"/>
      <c r="G1" s="118"/>
      <c r="H1" s="30"/>
      <c r="I1" s="30"/>
      <c r="J1" s="30"/>
      <c r="K1" s="30"/>
    </row>
    <row r="2" spans="1:11" ht="26" customHeight="1">
      <c r="A2" s="119" t="s">
        <v>147</v>
      </c>
      <c r="B2" s="119"/>
      <c r="C2" s="119"/>
      <c r="D2" s="119"/>
      <c r="E2" s="119"/>
      <c r="F2" s="119"/>
      <c r="G2" s="119"/>
      <c r="H2" s="30"/>
      <c r="I2" s="30"/>
      <c r="J2" s="30"/>
      <c r="K2" s="30"/>
    </row>
    <row r="3" spans="1:11">
      <c r="A3" s="120" t="s">
        <v>148</v>
      </c>
      <c r="B3" s="120"/>
      <c r="C3" s="120"/>
      <c r="D3" s="120"/>
      <c r="E3" s="120"/>
      <c r="F3" s="120"/>
      <c r="G3" s="120"/>
      <c r="H3" s="30"/>
      <c r="I3" s="30"/>
      <c r="J3" s="30"/>
      <c r="K3" s="30"/>
    </row>
    <row r="4" spans="1:11">
      <c r="A4" s="30"/>
      <c r="B4" s="30"/>
      <c r="C4" s="30"/>
      <c r="D4" s="30"/>
      <c r="E4" s="30"/>
      <c r="F4" s="30"/>
      <c r="G4" s="30"/>
      <c r="H4" s="30"/>
      <c r="I4" s="30"/>
      <c r="J4" s="30"/>
      <c r="K4" s="30"/>
    </row>
    <row r="5" spans="1:11">
      <c r="A5" s="112" t="s">
        <v>149</v>
      </c>
      <c r="B5" s="112"/>
      <c r="C5" s="30"/>
      <c r="D5" s="30"/>
      <c r="E5" s="30"/>
      <c r="F5" s="30"/>
      <c r="G5" s="30"/>
      <c r="H5" s="30"/>
      <c r="I5" s="116" t="s">
        <v>150</v>
      </c>
      <c r="J5" s="116"/>
      <c r="K5" s="116"/>
    </row>
    <row r="6" spans="1:11">
      <c r="A6" s="30" t="s">
        <v>151</v>
      </c>
      <c r="B6" s="31" t="s">
        <v>152</v>
      </c>
      <c r="C6" s="30"/>
      <c r="D6" s="121" t="s">
        <v>153</v>
      </c>
      <c r="E6" s="121"/>
      <c r="F6" s="121"/>
      <c r="G6" s="121"/>
      <c r="H6" s="30"/>
      <c r="I6" s="18" t="s">
        <v>154</v>
      </c>
      <c r="J6" s="19" t="s">
        <v>155</v>
      </c>
      <c r="K6" s="20" t="s">
        <v>156</v>
      </c>
    </row>
    <row r="7" spans="1:11">
      <c r="A7" s="30" t="s">
        <v>157</v>
      </c>
      <c r="B7" s="32">
        <f>1+1</f>
        <v>2</v>
      </c>
      <c r="C7" s="30"/>
      <c r="D7" s="117" t="s">
        <v>158</v>
      </c>
      <c r="E7" s="117"/>
      <c r="F7" s="117"/>
      <c r="G7" s="117"/>
      <c r="H7" s="30"/>
      <c r="I7" s="26" t="s">
        <v>159</v>
      </c>
      <c r="J7" s="27">
        <f>IF(D12="","",D12)</f>
        <v>180</v>
      </c>
      <c r="K7" s="26" t="s">
        <v>95</v>
      </c>
    </row>
    <row r="8" spans="1:11">
      <c r="A8" s="30"/>
      <c r="B8" s="30"/>
      <c r="C8" s="30"/>
      <c r="D8" s="30"/>
      <c r="E8" s="30"/>
      <c r="F8" s="30"/>
      <c r="G8" s="30"/>
      <c r="H8" s="30"/>
      <c r="I8" s="26" t="s">
        <v>160</v>
      </c>
      <c r="J8" s="28">
        <f>IF(D16="","",D16)</f>
        <v>2028</v>
      </c>
      <c r="K8" s="26" t="s">
        <v>161</v>
      </c>
    </row>
    <row r="9" spans="1:11" ht="28" customHeight="1">
      <c r="A9" s="2" t="s">
        <v>162</v>
      </c>
      <c r="B9" s="3" t="s">
        <v>163</v>
      </c>
      <c r="C9" s="3" t="s">
        <v>164</v>
      </c>
      <c r="D9" s="3" t="s">
        <v>155</v>
      </c>
      <c r="E9" s="3" t="s">
        <v>156</v>
      </c>
      <c r="F9" s="3" t="s">
        <v>165</v>
      </c>
      <c r="G9" s="4" t="s">
        <v>166</v>
      </c>
      <c r="H9" s="30"/>
      <c r="I9" s="26" t="s">
        <v>167</v>
      </c>
      <c r="J9" s="28">
        <f>IF(D18="","",D18)</f>
        <v>2047</v>
      </c>
      <c r="K9" s="26" t="s">
        <v>161</v>
      </c>
    </row>
    <row r="10" spans="1:11" ht="22" customHeight="1">
      <c r="A10" s="112" t="s">
        <v>168</v>
      </c>
      <c r="B10" s="113"/>
      <c r="C10" s="112"/>
      <c r="D10" s="113"/>
      <c r="E10" s="112"/>
      <c r="F10" s="112"/>
      <c r="G10" s="114"/>
      <c r="H10" s="30"/>
      <c r="I10" s="30"/>
      <c r="J10" s="30"/>
      <c r="K10" s="30"/>
    </row>
    <row r="11" spans="1:11" ht="24" customHeight="1">
      <c r="A11" s="33" t="s">
        <v>169</v>
      </c>
      <c r="B11" s="7" t="s">
        <v>170</v>
      </c>
      <c r="C11" s="33" t="s">
        <v>171</v>
      </c>
      <c r="D11" s="6" t="s">
        <v>172</v>
      </c>
      <c r="E11" s="33" t="s">
        <v>173</v>
      </c>
      <c r="F11" s="33" t="s">
        <v>174</v>
      </c>
      <c r="G11" s="5" t="s">
        <v>175</v>
      </c>
      <c r="H11" s="30"/>
      <c r="I11" s="26" t="s">
        <v>176</v>
      </c>
      <c r="J11" s="103">
        <f>Input!$D$21</f>
        <v>6115</v>
      </c>
      <c r="K11" s="26" t="s">
        <v>177</v>
      </c>
    </row>
    <row r="12" spans="1:11" ht="15" customHeight="1">
      <c r="A12" s="33" t="s">
        <v>178</v>
      </c>
      <c r="B12" s="7" t="s">
        <v>159</v>
      </c>
      <c r="C12" s="33" t="s">
        <v>179</v>
      </c>
      <c r="D12" s="8">
        <v>180</v>
      </c>
      <c r="E12" s="33" t="s">
        <v>95</v>
      </c>
      <c r="F12" s="33" t="s">
        <v>174</v>
      </c>
      <c r="G12" s="5" t="s">
        <v>180</v>
      </c>
      <c r="H12" s="30"/>
      <c r="I12" s="26" t="s">
        <v>181</v>
      </c>
      <c r="J12" s="103">
        <f>Input!$D$12*Input!$D$22</f>
        <v>5580</v>
      </c>
      <c r="K12" s="26" t="s">
        <v>177</v>
      </c>
    </row>
    <row r="13" spans="1:11" ht="15" customHeight="1">
      <c r="A13" s="33" t="s">
        <v>182</v>
      </c>
      <c r="B13" s="5" t="s">
        <v>183</v>
      </c>
      <c r="C13" s="33" t="s">
        <v>184</v>
      </c>
      <c r="D13" s="9">
        <v>2026</v>
      </c>
      <c r="E13" s="33" t="s">
        <v>161</v>
      </c>
      <c r="F13" s="33" t="s">
        <v>174</v>
      </c>
      <c r="G13" s="5" t="s">
        <v>185</v>
      </c>
      <c r="H13" s="30"/>
      <c r="I13" s="26" t="s">
        <v>186</v>
      </c>
      <c r="J13" s="103">
        <f>Input!$D$29</f>
        <v>535</v>
      </c>
      <c r="K13" s="26" t="s">
        <v>177</v>
      </c>
    </row>
    <row r="14" spans="1:11" ht="15" customHeight="1">
      <c r="A14" s="33" t="s">
        <v>187</v>
      </c>
      <c r="B14" s="7" t="s">
        <v>188</v>
      </c>
      <c r="C14" s="33" t="s">
        <v>189</v>
      </c>
      <c r="D14" s="10">
        <v>2026</v>
      </c>
      <c r="E14" s="33" t="s">
        <v>161</v>
      </c>
      <c r="F14" s="33" t="s">
        <v>174</v>
      </c>
      <c r="G14" s="5" t="s">
        <v>190</v>
      </c>
      <c r="H14" s="30"/>
      <c r="I14" s="26" t="s">
        <v>191</v>
      </c>
      <c r="J14" s="103">
        <f>IF(OR(D21="",D12="",D12=0),"",D21/D12)</f>
        <v>33.972222222222221</v>
      </c>
      <c r="K14" s="26" t="s">
        <v>192</v>
      </c>
    </row>
    <row r="15" spans="1:11" ht="15" customHeight="1">
      <c r="A15" s="33" t="s">
        <v>193</v>
      </c>
      <c r="B15" s="7" t="s">
        <v>194</v>
      </c>
      <c r="C15" s="33" t="s">
        <v>195</v>
      </c>
      <c r="D15" s="10">
        <v>2</v>
      </c>
      <c r="E15" s="33" t="s">
        <v>161</v>
      </c>
      <c r="F15" s="33" t="s">
        <v>174</v>
      </c>
      <c r="G15" s="5" t="s">
        <v>196</v>
      </c>
      <c r="H15" s="30"/>
      <c r="I15" s="26" t="s">
        <v>197</v>
      </c>
      <c r="J15" s="103">
        <f>Input!$D$21*Input!$D$58</f>
        <v>4280.5</v>
      </c>
      <c r="K15" s="26" t="s">
        <v>177</v>
      </c>
    </row>
    <row r="16" spans="1:11" ht="15" customHeight="1">
      <c r="A16" s="33" t="s">
        <v>198</v>
      </c>
      <c r="B16" s="7" t="s">
        <v>199</v>
      </c>
      <c r="C16" s="33" t="s">
        <v>200</v>
      </c>
      <c r="D16" s="11">
        <f>IF(OR(D14="",D15=""),"",D14+D15)</f>
        <v>2028</v>
      </c>
      <c r="E16" s="33" t="s">
        <v>161</v>
      </c>
      <c r="F16" s="33" t="s">
        <v>201</v>
      </c>
      <c r="G16" s="5" t="s">
        <v>202</v>
      </c>
      <c r="H16" s="30"/>
      <c r="I16" s="26" t="s">
        <v>203</v>
      </c>
      <c r="J16" s="103">
        <f>Input!$D$21*(1-Input!$D$58)</f>
        <v>1834.5000000000002</v>
      </c>
      <c r="K16" s="26" t="s">
        <v>177</v>
      </c>
    </row>
    <row r="17" spans="1:16" ht="15" customHeight="1">
      <c r="A17" s="33" t="s">
        <v>204</v>
      </c>
      <c r="B17" s="7" t="s">
        <v>205</v>
      </c>
      <c r="C17" s="33" t="s">
        <v>206</v>
      </c>
      <c r="D17" s="10">
        <v>20</v>
      </c>
      <c r="E17" s="33" t="s">
        <v>161</v>
      </c>
      <c r="F17" s="33" t="s">
        <v>174</v>
      </c>
      <c r="G17" s="5" t="s">
        <v>207</v>
      </c>
      <c r="H17" s="30"/>
      <c r="I17" s="26" t="s">
        <v>208</v>
      </c>
      <c r="J17" s="104">
        <f>IF(D46="","",D46)</f>
        <v>551880</v>
      </c>
      <c r="K17" s="26" t="s">
        <v>98</v>
      </c>
      <c r="M17" s="111" t="s">
        <v>209</v>
      </c>
      <c r="N17" s="111"/>
      <c r="O17" s="111"/>
      <c r="P17" s="111"/>
    </row>
    <row r="18" spans="1:16" ht="15" customHeight="1">
      <c r="A18" s="33" t="s">
        <v>210</v>
      </c>
      <c r="B18" s="7" t="s">
        <v>167</v>
      </c>
      <c r="C18" s="33" t="s">
        <v>211</v>
      </c>
      <c r="D18" s="11">
        <f>IF(OR(D16="",D17=""),"",D16+D17-1)</f>
        <v>2047</v>
      </c>
      <c r="E18" s="33" t="s">
        <v>161</v>
      </c>
      <c r="F18" s="33" t="s">
        <v>201</v>
      </c>
      <c r="G18" s="5" t="s">
        <v>212</v>
      </c>
      <c r="H18" s="30"/>
      <c r="I18" s="26" t="s">
        <v>213</v>
      </c>
      <c r="J18" s="103">
        <f>IF(D48="","",D48)</f>
        <v>1807.4</v>
      </c>
      <c r="K18" s="26" t="s">
        <v>214</v>
      </c>
      <c r="M18" s="26" t="str">
        <f>Summary!A11</f>
        <v>Project IRR</v>
      </c>
      <c r="N18" s="77">
        <f>Summary!B11</f>
        <v>0.11231179217095022</v>
      </c>
      <c r="O18" s="26" t="str">
        <f>Summary!D11</f>
        <v>Project NPV</v>
      </c>
      <c r="P18" s="29">
        <f>Summary!E11</f>
        <v>511.45450429939251</v>
      </c>
    </row>
    <row r="19" spans="1:16" ht="15" customHeight="1">
      <c r="A19" s="34"/>
      <c r="B19" s="30"/>
      <c r="C19" s="34"/>
      <c r="D19" s="30"/>
      <c r="E19" s="34"/>
      <c r="F19" s="34"/>
      <c r="G19" s="35"/>
      <c r="H19" s="30"/>
      <c r="I19" s="26" t="s">
        <v>215</v>
      </c>
      <c r="J19" s="103">
        <f>IF(D50="","",D50)</f>
        <v>997.46791199999996</v>
      </c>
      <c r="K19" s="26" t="s">
        <v>177</v>
      </c>
      <c r="M19" s="26" t="str">
        <f>Summary!A12</f>
        <v>Equity IRR</v>
      </c>
      <c r="N19" s="77">
        <f>Summary!B12</f>
        <v>0.12254153062049333</v>
      </c>
      <c r="O19" s="26" t="str">
        <f>Summary!D12</f>
        <v>Equity NPV</v>
      </c>
      <c r="P19" s="29">
        <f>Summary!E12</f>
        <v>43.865651345437307</v>
      </c>
    </row>
    <row r="20" spans="1:16" ht="22" customHeight="1">
      <c r="A20" s="112" t="s">
        <v>216</v>
      </c>
      <c r="B20" s="113"/>
      <c r="C20" s="112"/>
      <c r="D20" s="113"/>
      <c r="E20" s="112"/>
      <c r="F20" s="112"/>
      <c r="G20" s="114"/>
      <c r="H20" s="30"/>
      <c r="I20" s="26" t="s">
        <v>217</v>
      </c>
      <c r="J20" s="105">
        <f>Input!$D$53</f>
        <v>0.02</v>
      </c>
      <c r="K20" s="26" t="s">
        <v>218</v>
      </c>
    </row>
    <row r="21" spans="1:16" ht="24" customHeight="1">
      <c r="A21" s="33" t="s">
        <v>219</v>
      </c>
      <c r="B21" s="7" t="s">
        <v>220</v>
      </c>
      <c r="C21" s="33" t="s">
        <v>221</v>
      </c>
      <c r="D21" s="12">
        <f>Input!$D$12*Input!$D$22+Input!$D$29</f>
        <v>6115</v>
      </c>
      <c r="E21" s="33" t="s">
        <v>177</v>
      </c>
      <c r="F21" s="33" t="s">
        <v>201</v>
      </c>
      <c r="G21" s="5" t="s">
        <v>222</v>
      </c>
      <c r="H21" s="30"/>
      <c r="I21" s="26" t="s">
        <v>223</v>
      </c>
      <c r="J21" s="103">
        <f>IF(D55="","",D55)</f>
        <v>875.167912</v>
      </c>
      <c r="K21" s="26" t="s">
        <v>177</v>
      </c>
    </row>
    <row r="22" spans="1:16" ht="15" customHeight="1">
      <c r="A22" s="33" t="s">
        <v>224</v>
      </c>
      <c r="B22" s="7" t="s">
        <v>225</v>
      </c>
      <c r="C22" s="33" t="s">
        <v>226</v>
      </c>
      <c r="D22" s="13">
        <v>31</v>
      </c>
      <c r="E22" s="33" t="s">
        <v>192</v>
      </c>
      <c r="F22" s="33" t="s">
        <v>174</v>
      </c>
      <c r="G22" s="5" t="s">
        <v>175</v>
      </c>
      <c r="H22" s="30"/>
      <c r="I22" s="30" t="s">
        <v>227</v>
      </c>
      <c r="J22" s="106">
        <f>IF(OR(D50="",D50=0,D55=""),"",D55/D50)</f>
        <v>0.87738953952435517</v>
      </c>
      <c r="K22" s="30" t="s">
        <v>228</v>
      </c>
    </row>
    <row r="23" spans="1:16" ht="15" customHeight="1">
      <c r="A23" s="33" t="s">
        <v>229</v>
      </c>
      <c r="B23" s="7" t="s">
        <v>230</v>
      </c>
      <c r="C23" s="33" t="s">
        <v>231</v>
      </c>
      <c r="D23" s="14">
        <v>0.1</v>
      </c>
      <c r="E23" s="33" t="s">
        <v>228</v>
      </c>
      <c r="F23" s="33" t="s">
        <v>174</v>
      </c>
      <c r="G23" s="5" t="s">
        <v>232</v>
      </c>
      <c r="H23" s="30"/>
      <c r="I23" s="26" t="s">
        <v>233</v>
      </c>
      <c r="J23" s="102" t="str">
        <f>IF(D40="","",IF(ABS(D40-1)&lt;0.000001,"OK","CHƯA ĐỦ 100%"))</f>
        <v>OK</v>
      </c>
      <c r="K23" s="26" t="s">
        <v>173</v>
      </c>
    </row>
    <row r="24" spans="1:16" ht="15" customHeight="1">
      <c r="A24" s="33" t="s">
        <v>234</v>
      </c>
      <c r="B24" s="5" t="s">
        <v>235</v>
      </c>
      <c r="C24" s="33" t="s">
        <v>236</v>
      </c>
      <c r="D24" s="15">
        <v>1</v>
      </c>
      <c r="E24" s="33" t="s">
        <v>228</v>
      </c>
      <c r="F24" s="33" t="s">
        <v>174</v>
      </c>
      <c r="G24" s="5" t="s">
        <v>237</v>
      </c>
      <c r="H24" s="30"/>
      <c r="I24" s="30"/>
      <c r="J24" s="30"/>
      <c r="K24" s="30"/>
    </row>
    <row r="25" spans="1:16" ht="15" customHeight="1">
      <c r="A25" s="33" t="s">
        <v>238</v>
      </c>
      <c r="B25" s="7" t="s">
        <v>239</v>
      </c>
      <c r="C25" s="33" t="s">
        <v>240</v>
      </c>
      <c r="D25" s="12">
        <f>IF(OR(D21="",D23=""),"",D21*(1+D23))</f>
        <v>6726.5000000000009</v>
      </c>
      <c r="E25" s="33" t="s">
        <v>177</v>
      </c>
      <c r="F25" s="33" t="s">
        <v>201</v>
      </c>
      <c r="G25" s="5" t="s">
        <v>241</v>
      </c>
      <c r="H25" s="30"/>
    </row>
    <row r="26" spans="1:16" ht="15" customHeight="1">
      <c r="A26" s="33" t="s">
        <v>242</v>
      </c>
      <c r="B26" s="7" t="s">
        <v>243</v>
      </c>
      <c r="C26" s="33" t="s">
        <v>244</v>
      </c>
      <c r="D26" s="12">
        <f>IF(OR(D21="",D23="",D24=""),"",D21+D21*D23*(1-D24))</f>
        <v>6115</v>
      </c>
      <c r="E26" s="33" t="s">
        <v>177</v>
      </c>
      <c r="F26" s="33" t="s">
        <v>201</v>
      </c>
      <c r="G26" s="5" t="s">
        <v>245</v>
      </c>
      <c r="H26" s="30"/>
    </row>
    <row r="27" spans="1:16" ht="15" customHeight="1">
      <c r="A27" s="33" t="s">
        <v>246</v>
      </c>
      <c r="B27" s="5" t="s">
        <v>247</v>
      </c>
      <c r="C27" s="33" t="s">
        <v>248</v>
      </c>
      <c r="D27" s="16">
        <v>1</v>
      </c>
      <c r="E27" s="33" t="s">
        <v>161</v>
      </c>
      <c r="F27" s="33" t="s">
        <v>249</v>
      </c>
      <c r="G27" s="5" t="s">
        <v>250</v>
      </c>
      <c r="H27" s="30"/>
    </row>
    <row r="28" spans="1:16" ht="15" customHeight="1">
      <c r="A28" s="33" t="s">
        <v>251</v>
      </c>
      <c r="B28" s="5" t="s">
        <v>252</v>
      </c>
      <c r="C28" s="33" t="s">
        <v>253</v>
      </c>
      <c r="D28" s="17">
        <v>0</v>
      </c>
      <c r="E28" s="33" t="s">
        <v>177</v>
      </c>
      <c r="F28" s="33" t="s">
        <v>249</v>
      </c>
      <c r="G28" s="5" t="s">
        <v>254</v>
      </c>
      <c r="H28" s="30"/>
    </row>
    <row r="29" spans="1:16" ht="30" customHeight="1">
      <c r="A29" s="34" t="s">
        <v>255</v>
      </c>
      <c r="B29" s="100" t="s">
        <v>256</v>
      </c>
      <c r="C29" s="34" t="s">
        <v>257</v>
      </c>
      <c r="D29" s="101">
        <f>D30+D31*D32</f>
        <v>535</v>
      </c>
      <c r="E29" s="33" t="s">
        <v>177</v>
      </c>
      <c r="F29" s="33" t="s">
        <v>201</v>
      </c>
      <c r="G29" s="5" t="s">
        <v>258</v>
      </c>
      <c r="H29" s="30"/>
    </row>
    <row r="30" spans="1:16">
      <c r="A30" s="33" t="s">
        <v>259</v>
      </c>
      <c r="B30" s="7" t="s">
        <v>260</v>
      </c>
      <c r="C30" s="33"/>
      <c r="D30" s="13">
        <v>220</v>
      </c>
      <c r="E30" s="33" t="s">
        <v>177</v>
      </c>
      <c r="F30" s="33" t="s">
        <v>174</v>
      </c>
      <c r="G30" s="5"/>
      <c r="H30" s="30"/>
    </row>
    <row r="31" spans="1:16">
      <c r="A31" s="34" t="s">
        <v>261</v>
      </c>
      <c r="B31" s="7" t="s">
        <v>262</v>
      </c>
      <c r="C31" s="33"/>
      <c r="D31" s="13">
        <v>35</v>
      </c>
      <c r="E31" s="33" t="s">
        <v>263</v>
      </c>
      <c r="F31" s="33" t="s">
        <v>174</v>
      </c>
      <c r="G31" s="5"/>
      <c r="H31" s="30"/>
    </row>
    <row r="32" spans="1:16">
      <c r="A32" s="33" t="s">
        <v>264</v>
      </c>
      <c r="B32" s="7" t="s">
        <v>265</v>
      </c>
      <c r="C32" s="33"/>
      <c r="D32" s="13">
        <v>9</v>
      </c>
      <c r="E32" s="33" t="s">
        <v>266</v>
      </c>
      <c r="F32" s="33" t="s">
        <v>174</v>
      </c>
      <c r="G32" s="5"/>
      <c r="H32" s="30"/>
    </row>
    <row r="33" spans="1:11" ht="22" customHeight="1">
      <c r="A33" s="112" t="s">
        <v>267</v>
      </c>
      <c r="B33" s="113"/>
      <c r="C33" s="112"/>
      <c r="D33" s="113"/>
      <c r="E33" s="112"/>
      <c r="F33" s="112"/>
      <c r="G33" s="114"/>
      <c r="H33" s="30"/>
    </row>
    <row r="34" spans="1:11" ht="15" customHeight="1">
      <c r="A34" s="18" t="s">
        <v>162</v>
      </c>
      <c r="B34" s="19" t="s">
        <v>268</v>
      </c>
      <c r="C34" s="19" t="s">
        <v>164</v>
      </c>
      <c r="D34" s="19" t="s">
        <v>269</v>
      </c>
      <c r="E34" s="19" t="s">
        <v>156</v>
      </c>
      <c r="F34" s="19" t="s">
        <v>165</v>
      </c>
      <c r="G34" s="36" t="s">
        <v>166</v>
      </c>
      <c r="H34" s="30"/>
    </row>
    <row r="35" spans="1:11" ht="15" customHeight="1">
      <c r="A35" s="33" t="s">
        <v>270</v>
      </c>
      <c r="B35" s="5" t="s">
        <v>271</v>
      </c>
      <c r="C35" s="33" t="s">
        <v>272</v>
      </c>
      <c r="D35" s="15">
        <v>0.4</v>
      </c>
      <c r="E35" s="33" t="s">
        <v>228</v>
      </c>
      <c r="F35" s="33" t="s">
        <v>174</v>
      </c>
      <c r="G35" s="5" t="s">
        <v>273</v>
      </c>
      <c r="H35" s="30"/>
    </row>
    <row r="36" spans="1:11" ht="15" customHeight="1">
      <c r="A36" s="33" t="s">
        <v>274</v>
      </c>
      <c r="B36" s="5" t="s">
        <v>275</v>
      </c>
      <c r="C36" s="33" t="s">
        <v>276</v>
      </c>
      <c r="D36" s="15">
        <v>0.6</v>
      </c>
      <c r="E36" s="33" t="s">
        <v>228</v>
      </c>
      <c r="F36" s="33" t="s">
        <v>174</v>
      </c>
      <c r="G36" s="5" t="s">
        <v>273</v>
      </c>
      <c r="H36" s="30"/>
    </row>
    <row r="37" spans="1:11" ht="15" customHeight="1">
      <c r="A37" s="33" t="s">
        <v>277</v>
      </c>
      <c r="B37" s="5" t="s">
        <v>278</v>
      </c>
      <c r="C37" s="33" t="s">
        <v>279</v>
      </c>
      <c r="D37" s="15">
        <v>0</v>
      </c>
      <c r="E37" s="33" t="s">
        <v>228</v>
      </c>
      <c r="F37" s="33" t="s">
        <v>249</v>
      </c>
      <c r="G37" s="5" t="s">
        <v>280</v>
      </c>
      <c r="H37" s="30"/>
      <c r="I37" s="30"/>
      <c r="J37" s="30"/>
      <c r="K37" s="30"/>
    </row>
    <row r="38" spans="1:11" ht="15" customHeight="1">
      <c r="A38" s="33" t="s">
        <v>281</v>
      </c>
      <c r="B38" s="5" t="s">
        <v>282</v>
      </c>
      <c r="C38" s="33" t="s">
        <v>283</v>
      </c>
      <c r="D38" s="15">
        <v>0</v>
      </c>
      <c r="E38" s="33" t="s">
        <v>228</v>
      </c>
      <c r="F38" s="33" t="s">
        <v>249</v>
      </c>
      <c r="G38" s="5" t="s">
        <v>280</v>
      </c>
      <c r="H38" s="30"/>
      <c r="I38" s="30"/>
      <c r="J38" s="30"/>
      <c r="K38" s="30"/>
    </row>
    <row r="39" spans="1:11" ht="15" customHeight="1">
      <c r="A39" s="33" t="s">
        <v>284</v>
      </c>
      <c r="B39" s="5" t="s">
        <v>285</v>
      </c>
      <c r="C39" s="33" t="s">
        <v>286</v>
      </c>
      <c r="D39" s="15">
        <v>0</v>
      </c>
      <c r="E39" s="33" t="s">
        <v>228</v>
      </c>
      <c r="F39" s="33" t="s">
        <v>249</v>
      </c>
      <c r="G39" s="5" t="s">
        <v>280</v>
      </c>
      <c r="H39" s="30"/>
      <c r="I39" s="30"/>
      <c r="J39" s="30"/>
      <c r="K39" s="30"/>
    </row>
    <row r="40" spans="1:11" ht="15" customHeight="1">
      <c r="A40" s="33" t="s">
        <v>287</v>
      </c>
      <c r="B40" s="7" t="s">
        <v>288</v>
      </c>
      <c r="C40" s="33" t="s">
        <v>289</v>
      </c>
      <c r="D40" s="21">
        <f>IF(COUNT(D35:D39)=0,"",SUM(D35:D39))</f>
        <v>1</v>
      </c>
      <c r="E40" s="33" t="s">
        <v>228</v>
      </c>
      <c r="F40" s="33" t="s">
        <v>290</v>
      </c>
      <c r="G40" s="5" t="s">
        <v>291</v>
      </c>
      <c r="H40" s="30"/>
      <c r="I40" s="30"/>
      <c r="J40" s="30"/>
      <c r="K40" s="30"/>
    </row>
    <row r="41" spans="1:11" ht="15" customHeight="1">
      <c r="A41" s="34"/>
      <c r="B41" s="30"/>
      <c r="C41" s="34"/>
      <c r="D41" s="30"/>
      <c r="E41" s="34"/>
      <c r="F41" s="34"/>
      <c r="G41" s="35"/>
      <c r="H41" s="30"/>
      <c r="I41" s="30"/>
      <c r="J41" s="30"/>
      <c r="K41" s="30"/>
    </row>
    <row r="42" spans="1:11" ht="22" customHeight="1">
      <c r="A42" s="112" t="s">
        <v>292</v>
      </c>
      <c r="B42" s="113"/>
      <c r="C42" s="112"/>
      <c r="D42" s="113"/>
      <c r="E42" s="112"/>
      <c r="F42" s="112"/>
      <c r="G42" s="114"/>
      <c r="H42" s="30"/>
      <c r="I42" s="30"/>
      <c r="J42" s="30"/>
      <c r="K42" s="30"/>
    </row>
    <row r="43" spans="1:11" ht="15" customHeight="1">
      <c r="A43" s="33" t="s">
        <v>293</v>
      </c>
      <c r="B43" s="5" t="s">
        <v>294</v>
      </c>
      <c r="C43" s="33" t="s">
        <v>295</v>
      </c>
      <c r="D43" s="22" t="s">
        <v>110</v>
      </c>
      <c r="E43" s="33" t="s">
        <v>173</v>
      </c>
      <c r="F43" s="33" t="s">
        <v>174</v>
      </c>
      <c r="G43" s="5" t="s">
        <v>296</v>
      </c>
      <c r="H43" s="30"/>
      <c r="I43" s="30"/>
      <c r="J43" s="30"/>
      <c r="K43" s="30"/>
    </row>
    <row r="44" spans="1:11" ht="24" customHeight="1">
      <c r="A44" s="33" t="s">
        <v>297</v>
      </c>
      <c r="B44" s="7" t="s">
        <v>298</v>
      </c>
      <c r="C44" s="33" t="s">
        <v>299</v>
      </c>
      <c r="D44" s="14">
        <v>0.35</v>
      </c>
      <c r="E44" s="33" t="s">
        <v>228</v>
      </c>
      <c r="F44" s="33" t="s">
        <v>174</v>
      </c>
      <c r="G44" s="5" t="s">
        <v>300</v>
      </c>
      <c r="H44" s="30"/>
      <c r="I44" s="30"/>
      <c r="J44" s="30"/>
      <c r="K44" s="30"/>
    </row>
    <row r="45" spans="1:11">
      <c r="A45" s="33" t="s">
        <v>301</v>
      </c>
      <c r="B45" s="7" t="s">
        <v>302</v>
      </c>
      <c r="C45" s="33" t="s">
        <v>71</v>
      </c>
      <c r="D45" s="95">
        <f>IF(OR(D12="",D12=0,D46=""),"",D46/D12)</f>
        <v>3066</v>
      </c>
      <c r="E45" s="33" t="s">
        <v>303</v>
      </c>
      <c r="F45" s="33" t="s">
        <v>201</v>
      </c>
      <c r="G45" s="5"/>
      <c r="H45" s="30"/>
      <c r="I45" s="30"/>
      <c r="J45" s="30"/>
      <c r="K45" s="30"/>
    </row>
    <row r="46" spans="1:11" ht="15" customHeight="1">
      <c r="A46" s="33" t="s">
        <v>304</v>
      </c>
      <c r="B46" s="7" t="s">
        <v>305</v>
      </c>
      <c r="C46" s="33" t="s">
        <v>306</v>
      </c>
      <c r="D46" s="98">
        <f>IF(OR(D12="",D44=""),"",D12*8760*D44)</f>
        <v>551880</v>
      </c>
      <c r="E46" s="33" t="s">
        <v>307</v>
      </c>
      <c r="F46" s="33" t="s">
        <v>201</v>
      </c>
      <c r="G46" s="5" t="s">
        <v>308</v>
      </c>
      <c r="H46" s="30"/>
      <c r="I46" s="30"/>
      <c r="J46" s="30"/>
      <c r="K46" s="30"/>
    </row>
    <row r="47" spans="1:11" ht="24" customHeight="1">
      <c r="A47" s="33" t="s">
        <v>309</v>
      </c>
      <c r="B47" s="7" t="s">
        <v>310</v>
      </c>
      <c r="C47" s="33" t="s">
        <v>311</v>
      </c>
      <c r="D47" s="24">
        <v>2E-3</v>
      </c>
      <c r="E47" s="33" t="s">
        <v>312</v>
      </c>
      <c r="F47" s="33" t="s">
        <v>174</v>
      </c>
      <c r="G47" s="5" t="s">
        <v>313</v>
      </c>
      <c r="H47" s="30"/>
      <c r="I47" s="30"/>
      <c r="J47" s="30"/>
      <c r="K47" s="30"/>
    </row>
    <row r="48" spans="1:11" ht="25">
      <c r="A48" s="33" t="s">
        <v>314</v>
      </c>
      <c r="B48" s="5" t="s">
        <v>315</v>
      </c>
      <c r="C48" s="33" t="s">
        <v>316</v>
      </c>
      <c r="D48" s="96">
        <v>1807.4</v>
      </c>
      <c r="E48" s="33" t="s">
        <v>214</v>
      </c>
      <c r="F48" s="33" t="s">
        <v>174</v>
      </c>
      <c r="G48" s="5" t="s">
        <v>317</v>
      </c>
      <c r="H48" s="30"/>
      <c r="I48" s="30"/>
      <c r="J48" s="30"/>
      <c r="K48" s="30"/>
    </row>
    <row r="49" spans="1:11" ht="15" customHeight="1">
      <c r="A49" s="33" t="s">
        <v>318</v>
      </c>
      <c r="B49" s="5" t="s">
        <v>319</v>
      </c>
      <c r="C49" s="33" t="s">
        <v>320</v>
      </c>
      <c r="D49" s="110">
        <v>0</v>
      </c>
      <c r="E49" s="33" t="s">
        <v>312</v>
      </c>
      <c r="F49" s="33" t="s">
        <v>174</v>
      </c>
      <c r="G49" s="5" t="s">
        <v>321</v>
      </c>
      <c r="H49" s="30"/>
      <c r="I49" s="30"/>
      <c r="J49" s="30"/>
      <c r="K49" s="30"/>
    </row>
    <row r="50" spans="1:11" ht="15" customHeight="1">
      <c r="A50" s="33" t="s">
        <v>322</v>
      </c>
      <c r="B50" s="7" t="s">
        <v>323</v>
      </c>
      <c r="C50" s="33" t="s">
        <v>324</v>
      </c>
      <c r="D50" s="97">
        <f>IF(OR(D46="",D48=""),"",D46*1000*D48/1000000000+IF(D51="",0,D51))</f>
        <v>997.46791199999996</v>
      </c>
      <c r="E50" s="33" t="s">
        <v>177</v>
      </c>
      <c r="F50" s="33" t="s">
        <v>201</v>
      </c>
      <c r="G50" s="5" t="s">
        <v>325</v>
      </c>
      <c r="H50" s="30"/>
      <c r="I50" s="30"/>
      <c r="J50" s="30"/>
      <c r="K50" s="30"/>
    </row>
    <row r="51" spans="1:11" ht="15" customHeight="1">
      <c r="A51" s="34" t="s">
        <v>326</v>
      </c>
      <c r="B51" s="30" t="s">
        <v>327</v>
      </c>
      <c r="C51" s="34" t="s">
        <v>328</v>
      </c>
      <c r="D51" s="99">
        <v>0</v>
      </c>
      <c r="E51" s="34" t="s">
        <v>329</v>
      </c>
      <c r="F51" s="34" t="s">
        <v>249</v>
      </c>
      <c r="G51" s="35" t="s">
        <v>330</v>
      </c>
      <c r="H51" s="30"/>
      <c r="I51" s="30"/>
      <c r="J51" s="30"/>
      <c r="K51" s="30"/>
    </row>
    <row r="52" spans="1:11" ht="22" customHeight="1">
      <c r="A52" s="112" t="s">
        <v>331</v>
      </c>
      <c r="B52" s="113"/>
      <c r="C52" s="112"/>
      <c r="D52" s="113"/>
      <c r="E52" s="112"/>
      <c r="F52" s="112"/>
      <c r="G52" s="114"/>
      <c r="H52" s="30"/>
      <c r="I52" s="30"/>
      <c r="J52" s="30"/>
      <c r="K52" s="30"/>
    </row>
    <row r="53" spans="1:11" ht="15" customHeight="1">
      <c r="A53" s="33" t="s">
        <v>332</v>
      </c>
      <c r="B53" s="7" t="s">
        <v>333</v>
      </c>
      <c r="C53" s="33" t="s">
        <v>334</v>
      </c>
      <c r="D53" s="24">
        <v>0.02</v>
      </c>
      <c r="E53" s="33" t="s">
        <v>218</v>
      </c>
      <c r="F53" s="33" t="s">
        <v>174</v>
      </c>
      <c r="G53" s="5" t="s">
        <v>335</v>
      </c>
      <c r="H53" s="30"/>
      <c r="I53" s="30"/>
      <c r="J53" s="30"/>
      <c r="K53" s="30"/>
    </row>
    <row r="54" spans="1:11" ht="15" customHeight="1">
      <c r="A54" s="33" t="s">
        <v>336</v>
      </c>
      <c r="B54" s="5" t="s">
        <v>337</v>
      </c>
      <c r="C54" s="33" t="s">
        <v>338</v>
      </c>
      <c r="D54" s="23">
        <v>0.02</v>
      </c>
      <c r="E54" s="33" t="s">
        <v>312</v>
      </c>
      <c r="F54" s="33" t="s">
        <v>174</v>
      </c>
      <c r="G54" s="5" t="s">
        <v>339</v>
      </c>
      <c r="H54" s="30"/>
      <c r="I54" s="30"/>
      <c r="J54" s="30"/>
      <c r="K54" s="30"/>
    </row>
    <row r="55" spans="1:11" ht="15" customHeight="1">
      <c r="A55" s="33" t="s">
        <v>340</v>
      </c>
      <c r="B55" s="7" t="s">
        <v>341</v>
      </c>
      <c r="C55" s="33" t="s">
        <v>342</v>
      </c>
      <c r="D55" s="12">
        <f>IF(OR(D50="",D21="",D53=""),"",D50-D21*D53)</f>
        <v>875.167912</v>
      </c>
      <c r="E55" s="33" t="s">
        <v>177</v>
      </c>
      <c r="F55" s="33" t="s">
        <v>201</v>
      </c>
      <c r="G55" s="5" t="s">
        <v>343</v>
      </c>
      <c r="H55" s="30"/>
      <c r="I55" s="30"/>
      <c r="J55" s="30"/>
      <c r="K55" s="30"/>
    </row>
    <row r="56" spans="1:11" ht="15" customHeight="1">
      <c r="A56" s="34"/>
      <c r="B56" s="30"/>
      <c r="C56" s="34"/>
      <c r="D56" s="30"/>
      <c r="E56" s="34"/>
      <c r="F56" s="34"/>
      <c r="G56" s="35"/>
      <c r="H56" s="30"/>
      <c r="I56" s="30"/>
      <c r="J56" s="30"/>
      <c r="K56" s="30"/>
    </row>
    <row r="57" spans="1:11" ht="22" customHeight="1">
      <c r="A57" s="112" t="s">
        <v>344</v>
      </c>
      <c r="B57" s="113"/>
      <c r="C57" s="112"/>
      <c r="D57" s="113"/>
      <c r="E57" s="112"/>
      <c r="F57" s="112"/>
      <c r="G57" s="114"/>
      <c r="H57" s="30"/>
      <c r="I57" s="30"/>
      <c r="J57" s="30"/>
      <c r="K57" s="30"/>
    </row>
    <row r="58" spans="1:11" ht="15" customHeight="1">
      <c r="A58" s="33" t="s">
        <v>345</v>
      </c>
      <c r="B58" s="7" t="s">
        <v>346</v>
      </c>
      <c r="C58" s="33" t="s">
        <v>347</v>
      </c>
      <c r="D58" s="14">
        <v>0.7</v>
      </c>
      <c r="E58" s="33" t="s">
        <v>228</v>
      </c>
      <c r="F58" s="33" t="s">
        <v>174</v>
      </c>
      <c r="G58" s="5" t="s">
        <v>348</v>
      </c>
      <c r="H58" s="30"/>
      <c r="I58" s="30"/>
      <c r="J58" s="30"/>
      <c r="K58" s="30"/>
    </row>
    <row r="59" spans="1:11" ht="15" customHeight="1">
      <c r="A59" s="33" t="s">
        <v>349</v>
      </c>
      <c r="B59" s="7" t="s">
        <v>350</v>
      </c>
      <c r="C59" s="33" t="s">
        <v>351</v>
      </c>
      <c r="D59" s="21">
        <f>IF(D58="","",1-D58)</f>
        <v>0.30000000000000004</v>
      </c>
      <c r="E59" s="33" t="s">
        <v>228</v>
      </c>
      <c r="F59" s="33" t="s">
        <v>201</v>
      </c>
      <c r="G59" s="5" t="s">
        <v>352</v>
      </c>
      <c r="H59" s="30"/>
      <c r="I59" s="30"/>
      <c r="J59" s="30"/>
      <c r="K59" s="30"/>
    </row>
    <row r="60" spans="1:11" ht="15" customHeight="1">
      <c r="A60" s="33" t="s">
        <v>353</v>
      </c>
      <c r="B60" s="7" t="s">
        <v>354</v>
      </c>
      <c r="C60" s="33" t="s">
        <v>355</v>
      </c>
      <c r="D60" s="24">
        <v>9.5000000000000001E-2</v>
      </c>
      <c r="E60" s="33" t="s">
        <v>312</v>
      </c>
      <c r="F60" s="33" t="s">
        <v>174</v>
      </c>
      <c r="G60" s="5" t="s">
        <v>356</v>
      </c>
      <c r="H60" s="30"/>
      <c r="I60" s="30"/>
      <c r="J60" s="30"/>
      <c r="K60" s="30"/>
    </row>
    <row r="61" spans="1:11" ht="15" customHeight="1">
      <c r="A61" s="33" t="s">
        <v>357</v>
      </c>
      <c r="B61" s="7" t="s">
        <v>358</v>
      </c>
      <c r="C61" s="33" t="s">
        <v>359</v>
      </c>
      <c r="D61" s="10">
        <v>15</v>
      </c>
      <c r="E61" s="33" t="s">
        <v>161</v>
      </c>
      <c r="F61" s="33" t="s">
        <v>174</v>
      </c>
      <c r="G61" s="5" t="s">
        <v>360</v>
      </c>
      <c r="H61" s="30"/>
      <c r="I61" s="30"/>
      <c r="J61" s="30"/>
      <c r="K61" s="30"/>
    </row>
    <row r="62" spans="1:11" ht="15" customHeight="1">
      <c r="A62" s="33" t="s">
        <v>361</v>
      </c>
      <c r="B62" s="5" t="s">
        <v>362</v>
      </c>
      <c r="C62" s="33" t="s">
        <v>363</v>
      </c>
      <c r="D62" s="16">
        <v>3</v>
      </c>
      <c r="E62" s="33" t="s">
        <v>161</v>
      </c>
      <c r="F62" s="33" t="s">
        <v>174</v>
      </c>
      <c r="G62" s="5" t="s">
        <v>364</v>
      </c>
      <c r="H62" s="30"/>
      <c r="I62" s="30"/>
      <c r="J62" s="30"/>
      <c r="K62" s="30"/>
    </row>
    <row r="63" spans="1:11" ht="15" customHeight="1">
      <c r="A63" s="33" t="s">
        <v>365</v>
      </c>
      <c r="B63" s="5" t="s">
        <v>366</v>
      </c>
      <c r="C63" s="33" t="s">
        <v>367</v>
      </c>
      <c r="D63" s="22" t="s">
        <v>368</v>
      </c>
      <c r="E63" s="33" t="s">
        <v>173</v>
      </c>
      <c r="F63" s="33" t="s">
        <v>174</v>
      </c>
      <c r="G63" s="5" t="s">
        <v>369</v>
      </c>
      <c r="H63" s="30"/>
      <c r="I63" s="30"/>
      <c r="J63" s="30"/>
      <c r="K63" s="30"/>
    </row>
    <row r="64" spans="1:11" ht="15" customHeight="1">
      <c r="A64" s="33" t="s">
        <v>370</v>
      </c>
      <c r="B64" s="5" t="s">
        <v>371</v>
      </c>
      <c r="C64" s="33" t="s">
        <v>372</v>
      </c>
      <c r="D64" s="23">
        <v>7.4999999999999997E-3</v>
      </c>
      <c r="E64" s="33" t="s">
        <v>373</v>
      </c>
      <c r="F64" s="33" t="s">
        <v>249</v>
      </c>
      <c r="G64" s="5" t="s">
        <v>374</v>
      </c>
      <c r="H64" s="30"/>
      <c r="I64" s="30"/>
      <c r="J64" s="30"/>
      <c r="K64" s="30"/>
    </row>
    <row r="65" spans="1:11" ht="15" customHeight="1">
      <c r="A65" s="33" t="s">
        <v>375</v>
      </c>
      <c r="B65" s="5" t="s">
        <v>376</v>
      </c>
      <c r="C65" s="33" t="s">
        <v>377</v>
      </c>
      <c r="D65" s="25">
        <v>1.2</v>
      </c>
      <c r="E65" s="33" t="s">
        <v>378</v>
      </c>
      <c r="F65" s="33" t="s">
        <v>249</v>
      </c>
      <c r="G65" s="5" t="s">
        <v>379</v>
      </c>
      <c r="H65" s="30"/>
      <c r="I65" s="30"/>
      <c r="J65" s="30"/>
      <c r="K65" s="30"/>
    </row>
    <row r="66" spans="1:11" ht="15" customHeight="1">
      <c r="A66" s="33" t="s">
        <v>380</v>
      </c>
      <c r="B66" s="7" t="s">
        <v>197</v>
      </c>
      <c r="C66" s="33" t="s">
        <v>381</v>
      </c>
      <c r="D66" s="12">
        <f>IF(OR(D26="",D58=""),"",D26*D58)</f>
        <v>4280.5</v>
      </c>
      <c r="E66" s="33" t="s">
        <v>177</v>
      </c>
      <c r="F66" s="33" t="s">
        <v>201</v>
      </c>
      <c r="G66" s="5" t="s">
        <v>382</v>
      </c>
      <c r="H66" s="30"/>
      <c r="I66" s="30"/>
      <c r="J66" s="30"/>
      <c r="K66" s="30"/>
    </row>
    <row r="67" spans="1:11" ht="15" customHeight="1">
      <c r="A67" s="33" t="s">
        <v>383</v>
      </c>
      <c r="B67" s="7" t="s">
        <v>203</v>
      </c>
      <c r="C67" s="33" t="s">
        <v>384</v>
      </c>
      <c r="D67" s="12">
        <f>IF(OR(D26="",D66=""),"",D26-D66)</f>
        <v>1834.5</v>
      </c>
      <c r="E67" s="33" t="s">
        <v>177</v>
      </c>
      <c r="F67" s="33" t="s">
        <v>201</v>
      </c>
      <c r="G67" s="5" t="s">
        <v>385</v>
      </c>
      <c r="H67" s="30"/>
      <c r="I67" s="30"/>
      <c r="J67" s="30"/>
      <c r="K67" s="30"/>
    </row>
    <row r="68" spans="1:11" ht="15" customHeight="1">
      <c r="A68" s="34"/>
      <c r="B68" s="30"/>
      <c r="C68" s="34"/>
      <c r="D68" s="30"/>
      <c r="E68" s="34"/>
      <c r="F68" s="34"/>
      <c r="G68" s="35"/>
      <c r="H68" s="30"/>
      <c r="I68" s="30"/>
      <c r="J68" s="30"/>
      <c r="K68" s="30"/>
    </row>
    <row r="69" spans="1:11" ht="22" customHeight="1">
      <c r="A69" s="112" t="s">
        <v>386</v>
      </c>
      <c r="B69" s="113"/>
      <c r="C69" s="112"/>
      <c r="D69" s="113"/>
      <c r="E69" s="112"/>
      <c r="F69" s="112"/>
      <c r="G69" s="114"/>
      <c r="H69" s="30"/>
      <c r="I69" s="30"/>
      <c r="J69" s="30"/>
      <c r="K69" s="30"/>
    </row>
    <row r="70" spans="1:11" ht="15" customHeight="1">
      <c r="A70" s="33" t="s">
        <v>387</v>
      </c>
      <c r="B70" s="7" t="s">
        <v>388</v>
      </c>
      <c r="C70" s="33" t="s">
        <v>389</v>
      </c>
      <c r="D70" s="14">
        <v>0.2</v>
      </c>
      <c r="E70" s="33" t="s">
        <v>228</v>
      </c>
      <c r="F70" s="33" t="s">
        <v>174</v>
      </c>
      <c r="G70" s="5" t="s">
        <v>390</v>
      </c>
      <c r="H70" s="30"/>
      <c r="I70" s="30"/>
      <c r="J70" s="30"/>
      <c r="K70" s="30"/>
    </row>
    <row r="71" spans="1:11" ht="24" customHeight="1">
      <c r="A71" s="33" t="s">
        <v>391</v>
      </c>
      <c r="B71" s="5" t="s">
        <v>392</v>
      </c>
      <c r="C71" s="33" t="s">
        <v>393</v>
      </c>
      <c r="D71" s="15">
        <v>0.1</v>
      </c>
      <c r="E71" s="33" t="s">
        <v>228</v>
      </c>
      <c r="F71" s="33" t="s">
        <v>249</v>
      </c>
      <c r="G71" s="5" t="s">
        <v>394</v>
      </c>
      <c r="H71" s="30"/>
      <c r="I71" s="30"/>
      <c r="J71" s="30"/>
      <c r="K71" s="30"/>
    </row>
    <row r="72" spans="1:11" ht="15" customHeight="1">
      <c r="A72" s="33" t="s">
        <v>395</v>
      </c>
      <c r="B72" s="5" t="s">
        <v>396</v>
      </c>
      <c r="C72" s="33" t="s">
        <v>397</v>
      </c>
      <c r="D72" s="9">
        <v>15</v>
      </c>
      <c r="E72" s="33" t="s">
        <v>161</v>
      </c>
      <c r="F72" s="33" t="s">
        <v>249</v>
      </c>
      <c r="G72" s="5" t="s">
        <v>398</v>
      </c>
      <c r="H72" s="30"/>
      <c r="I72" s="30"/>
      <c r="J72" s="30"/>
      <c r="K72" s="30"/>
    </row>
    <row r="73" spans="1:11" ht="15" customHeight="1">
      <c r="A73" s="33" t="s">
        <v>399</v>
      </c>
      <c r="B73" s="5" t="s">
        <v>400</v>
      </c>
      <c r="C73" s="33" t="s">
        <v>401</v>
      </c>
      <c r="D73" s="9">
        <v>4</v>
      </c>
      <c r="E73" s="33" t="s">
        <v>161</v>
      </c>
      <c r="F73" s="33" t="s">
        <v>249</v>
      </c>
      <c r="G73" s="5" t="s">
        <v>402</v>
      </c>
      <c r="H73" s="30"/>
      <c r="I73" s="30"/>
      <c r="J73" s="30"/>
      <c r="K73" s="30"/>
    </row>
    <row r="74" spans="1:11" ht="15" customHeight="1">
      <c r="A74" s="33" t="s">
        <v>403</v>
      </c>
      <c r="B74" s="5" t="s">
        <v>404</v>
      </c>
      <c r="C74" s="33" t="s">
        <v>405</v>
      </c>
      <c r="D74" s="9">
        <v>9</v>
      </c>
      <c r="E74" s="33" t="s">
        <v>161</v>
      </c>
      <c r="F74" s="33" t="s">
        <v>249</v>
      </c>
      <c r="G74" s="5" t="s">
        <v>406</v>
      </c>
      <c r="H74" s="30"/>
      <c r="I74" s="30"/>
      <c r="J74" s="30"/>
      <c r="K74" s="30"/>
    </row>
    <row r="75" spans="1:11" ht="15" customHeight="1">
      <c r="A75" s="33" t="s">
        <v>407</v>
      </c>
      <c r="B75" s="7" t="s">
        <v>408</v>
      </c>
      <c r="C75" s="33" t="s">
        <v>409</v>
      </c>
      <c r="D75" s="10">
        <v>20</v>
      </c>
      <c r="E75" s="33" t="s">
        <v>161</v>
      </c>
      <c r="F75" s="33" t="s">
        <v>174</v>
      </c>
      <c r="G75" s="5" t="s">
        <v>410</v>
      </c>
      <c r="H75" s="30"/>
      <c r="I75" s="30"/>
      <c r="J75" s="30"/>
      <c r="K75" s="30"/>
    </row>
    <row r="76" spans="1:11" ht="15" customHeight="1">
      <c r="A76" s="33" t="s">
        <v>411</v>
      </c>
      <c r="B76" s="5" t="s">
        <v>412</v>
      </c>
      <c r="C76" s="33" t="s">
        <v>413</v>
      </c>
      <c r="D76" s="9">
        <v>5</v>
      </c>
      <c r="E76" s="33" t="s">
        <v>161</v>
      </c>
      <c r="F76" s="33" t="s">
        <v>174</v>
      </c>
      <c r="G76" s="5" t="s">
        <v>414</v>
      </c>
      <c r="H76" s="30"/>
      <c r="I76" s="30"/>
      <c r="J76" s="30"/>
      <c r="K76" s="30"/>
    </row>
    <row r="77" spans="1:11" ht="15" customHeight="1">
      <c r="A77" s="33" t="s">
        <v>415</v>
      </c>
      <c r="B77" s="7" t="s">
        <v>416</v>
      </c>
      <c r="C77" s="33" t="s">
        <v>417</v>
      </c>
      <c r="D77" s="24">
        <v>0.1</v>
      </c>
      <c r="E77" s="33" t="s">
        <v>312</v>
      </c>
      <c r="F77" s="33" t="s">
        <v>174</v>
      </c>
      <c r="G77" s="5" t="s">
        <v>418</v>
      </c>
      <c r="H77" s="30"/>
      <c r="I77" s="30"/>
      <c r="J77" s="30"/>
      <c r="K77" s="30"/>
    </row>
    <row r="78" spans="1:11" ht="15" customHeight="1">
      <c r="A78" s="33" t="s">
        <v>419</v>
      </c>
      <c r="B78" s="7" t="s">
        <v>420</v>
      </c>
      <c r="C78" s="33" t="s">
        <v>421</v>
      </c>
      <c r="D78" s="24">
        <v>0.12</v>
      </c>
      <c r="E78" s="33" t="s">
        <v>312</v>
      </c>
      <c r="F78" s="33" t="s">
        <v>174</v>
      </c>
      <c r="G78" s="5" t="s">
        <v>422</v>
      </c>
      <c r="H78" s="30"/>
      <c r="I78" s="30"/>
      <c r="J78" s="30"/>
      <c r="K78" s="30"/>
    </row>
    <row r="79" spans="1:11" ht="15" customHeight="1">
      <c r="A79" s="30"/>
      <c r="B79" s="30"/>
      <c r="C79" s="30"/>
      <c r="D79" s="30"/>
      <c r="E79" s="30"/>
      <c r="F79" s="30"/>
      <c r="G79" s="35"/>
      <c r="H79" s="30"/>
      <c r="I79" s="30"/>
      <c r="J79" s="30"/>
      <c r="K79" s="30"/>
    </row>
    <row r="80" spans="1:11" ht="15" customHeight="1">
      <c r="A80" s="30"/>
      <c r="B80" s="30"/>
      <c r="C80" s="30"/>
      <c r="D80" s="30"/>
      <c r="E80" s="30"/>
      <c r="F80" s="30"/>
      <c r="G80" s="35"/>
      <c r="H80" s="30"/>
      <c r="I80" s="1"/>
      <c r="J80" s="1"/>
      <c r="K80" s="1"/>
    </row>
    <row r="81" spans="1:11" ht="15" customHeight="1">
      <c r="A81" s="115" t="s">
        <v>423</v>
      </c>
      <c r="B81" s="115"/>
      <c r="C81" s="115"/>
      <c r="D81" s="115"/>
      <c r="E81" s="115"/>
      <c r="F81" s="115"/>
      <c r="G81" s="115"/>
      <c r="H81" s="30"/>
      <c r="I81" s="1"/>
      <c r="J81" s="1"/>
      <c r="K81" s="1"/>
    </row>
    <row r="82" spans="1:11">
      <c r="A82" s="1"/>
      <c r="B82" s="1"/>
      <c r="C82" s="1"/>
      <c r="D82" s="1"/>
      <c r="E82" s="1"/>
      <c r="F82" s="1"/>
      <c r="G82" s="1"/>
      <c r="H82" s="1"/>
      <c r="I82" s="1"/>
      <c r="J82" s="1"/>
      <c r="K82" s="1"/>
    </row>
    <row r="83" spans="1:11">
      <c r="A83" s="1"/>
      <c r="B83" s="1"/>
      <c r="C83" s="1"/>
      <c r="D83" s="1"/>
      <c r="E83" s="1"/>
      <c r="F83" s="1"/>
      <c r="G83" s="1"/>
      <c r="H83" s="1"/>
      <c r="I83" s="1"/>
      <c r="J83" s="1"/>
      <c r="K83" s="1"/>
    </row>
    <row r="84" spans="1:11">
      <c r="A84" s="1"/>
      <c r="B84" s="1"/>
      <c r="C84" s="1"/>
      <c r="D84" s="1"/>
      <c r="E84" s="1"/>
      <c r="F84" s="1"/>
      <c r="G84" s="1"/>
      <c r="H84" s="1"/>
    </row>
    <row r="85" spans="1:11">
      <c r="A85" s="1"/>
      <c r="B85" s="1"/>
      <c r="C85" s="1"/>
      <c r="D85" s="1"/>
      <c r="E85" s="1"/>
      <c r="F85" s="1"/>
      <c r="G85" s="1"/>
      <c r="H85" s="1"/>
    </row>
  </sheetData>
  <mergeCells count="16">
    <mergeCell ref="A1:G1"/>
    <mergeCell ref="A2:G2"/>
    <mergeCell ref="A3:G3"/>
    <mergeCell ref="A5:B5"/>
    <mergeCell ref="D6:G6"/>
    <mergeCell ref="I5:K5"/>
    <mergeCell ref="D7:G7"/>
    <mergeCell ref="A10:G10"/>
    <mergeCell ref="A20:G20"/>
    <mergeCell ref="A33:G33"/>
    <mergeCell ref="M17:P17"/>
    <mergeCell ref="A52:G52"/>
    <mergeCell ref="A57:G57"/>
    <mergeCell ref="A69:G69"/>
    <mergeCell ref="A81:G81"/>
    <mergeCell ref="A42:G42"/>
  </mergeCells>
  <conditionalFormatting sqref="D40">
    <cfRule type="cellIs" dxfId="18" priority="2" operator="equal">
      <formula>1</formula>
    </cfRule>
    <cfRule type="cellIs" dxfId="17" priority="3" operator="notEqual">
      <formula>1</formula>
    </cfRule>
  </conditionalFormatting>
  <conditionalFormatting sqref="J23">
    <cfRule type="containsText" dxfId="16" priority="4" operator="containsText" text="OK"/>
    <cfRule type="containsText" dxfId="15" priority="5" operator="containsText" text="CHƯA"/>
  </conditionalFormatting>
  <conditionalFormatting sqref="P18:P19">
    <cfRule type="cellIs" dxfId="14" priority="1" operator="lessThan">
      <formula>0</formula>
    </cfRule>
  </conditionalFormatting>
  <dataValidations count="8">
    <dataValidation type="list" sqref="D43" xr:uid="{00000000-0002-0000-0100-000000000000}">
      <formula1>"P50,P75,P90,Khác"</formula1>
    </dataValidation>
    <dataValidation type="list" sqref="D63" xr:uid="{00000000-0002-0000-0100-000001000000}">
      <formula1>"Gốc đều,Niên kim"</formula1>
    </dataValidation>
    <dataValidation type="decimal" sqref="D23:D24 D77:D78 D70:D71 D64 D60 D58 D54 D48 D46 D44 D35:D39" xr:uid="{00000000-0002-0000-0100-000002000000}">
      <formula1>0</formula1>
      <formula2>1</formula2>
    </dataValidation>
    <dataValidation type="decimal" sqref="D12" xr:uid="{00000000-0002-0000-0100-000003000000}">
      <formula1>0</formula1>
      <formula2>10000</formula2>
    </dataValidation>
    <dataValidation type="whole" sqref="D15" xr:uid="{00000000-0002-0000-0100-000004000000}">
      <formula1>1</formula1>
      <formula2>5</formula2>
    </dataValidation>
    <dataValidation type="whole" sqref="D17 D61" xr:uid="{00000000-0002-0000-0100-000005000000}">
      <formula1>1</formula1>
      <formula2>25</formula2>
    </dataValidation>
    <dataValidation type="whole" sqref="D61:D62 D72:D76" xr:uid="{00000000-0002-0000-0100-000006000000}">
      <formula1>0</formula1>
      <formula2>100</formula2>
    </dataValidation>
    <dataValidation type="decimal" sqref="D30:D32" xr:uid="{00000000-0002-0000-0100-000007000000}">
      <formula1>0</formula1>
      <formula2>1000000</formula2>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50"/>
  <sheetViews>
    <sheetView showGridLines="0" workbookViewId="0">
      <selection activeCell="B12" sqref="B12"/>
    </sheetView>
  </sheetViews>
  <sheetFormatPr defaultRowHeight="14"/>
  <cols>
    <col min="1" max="1" width="22" customWidth="1"/>
    <col min="2" max="2" width="31" customWidth="1"/>
    <col min="3" max="3" width="12" customWidth="1"/>
    <col min="4" max="4" width="23" customWidth="1"/>
    <col min="5" max="5" width="16" customWidth="1"/>
    <col min="6" max="6" width="13" customWidth="1"/>
    <col min="7" max="7" width="23" customWidth="1"/>
    <col min="8" max="8" width="16" customWidth="1"/>
  </cols>
  <sheetData>
    <row r="1" spans="1:8" ht="30" customHeight="1">
      <c r="A1" s="118" t="s">
        <v>424</v>
      </c>
      <c r="B1" s="118"/>
      <c r="C1" s="118"/>
      <c r="D1" s="118"/>
      <c r="E1" s="118"/>
      <c r="F1" s="118"/>
      <c r="G1" s="118"/>
      <c r="H1" s="118"/>
    </row>
    <row r="2" spans="1:8">
      <c r="A2" s="132" t="str">
        <f>Input!D11</f>
        <v>Dự án Nhà máy điện gió Vân Canh 2</v>
      </c>
      <c r="B2" s="132"/>
      <c r="C2" s="132"/>
      <c r="D2" s="132"/>
      <c r="E2" s="132"/>
      <c r="F2" s="132"/>
      <c r="G2" s="132"/>
      <c r="H2" s="132"/>
    </row>
    <row r="3" spans="1:8">
      <c r="A3" s="133" t="s">
        <v>425</v>
      </c>
      <c r="B3" s="133"/>
      <c r="C3" s="133"/>
      <c r="D3" s="133"/>
      <c r="E3" s="133"/>
      <c r="F3" s="133"/>
      <c r="G3" s="133"/>
      <c r="H3" s="133"/>
    </row>
    <row r="4" spans="1:8">
      <c r="A4" s="1"/>
      <c r="B4" s="1"/>
      <c r="C4" s="1"/>
      <c r="D4" s="1"/>
      <c r="E4" s="1"/>
      <c r="F4" s="1"/>
      <c r="G4" s="1"/>
      <c r="H4" s="1"/>
    </row>
    <row r="5" spans="1:8">
      <c r="A5" s="134" t="s">
        <v>426</v>
      </c>
      <c r="B5" s="134"/>
      <c r="C5" s="134"/>
      <c r="D5" s="134"/>
      <c r="E5" s="134"/>
      <c r="F5" s="134"/>
      <c r="G5" s="134"/>
      <c r="H5" s="134"/>
    </row>
    <row r="6" spans="1:8">
      <c r="A6" s="1" t="s">
        <v>427</v>
      </c>
      <c r="B6" s="57">
        <f>Input!D12</f>
        <v>180</v>
      </c>
      <c r="C6" s="1" t="s">
        <v>95</v>
      </c>
      <c r="D6" s="1" t="s">
        <v>160</v>
      </c>
      <c r="E6" s="58">
        <f>Input!D16</f>
        <v>2028</v>
      </c>
      <c r="F6" s="1" t="s">
        <v>161</v>
      </c>
      <c r="G6" s="1" t="s">
        <v>205</v>
      </c>
      <c r="H6" s="58">
        <f>Input!D17</f>
        <v>20</v>
      </c>
    </row>
    <row r="7" spans="1:8">
      <c r="A7" s="1" t="s">
        <v>428</v>
      </c>
      <c r="B7" s="59">
        <f>Input!D25</f>
        <v>6726.5000000000009</v>
      </c>
      <c r="C7" s="1" t="s">
        <v>177</v>
      </c>
      <c r="D7" s="1" t="s">
        <v>429</v>
      </c>
      <c r="E7" s="60">
        <f>Input!D46</f>
        <v>551880</v>
      </c>
      <c r="F7" s="1" t="s">
        <v>98</v>
      </c>
      <c r="G7" s="1" t="s">
        <v>213</v>
      </c>
      <c r="H7" s="61">
        <f>Input!D48</f>
        <v>1807.4</v>
      </c>
    </row>
    <row r="8" spans="1:8">
      <c r="A8" s="1" t="s">
        <v>346</v>
      </c>
      <c r="B8" s="62">
        <f>Input!D58</f>
        <v>0.7</v>
      </c>
      <c r="C8" s="1" t="s">
        <v>228</v>
      </c>
      <c r="D8" s="1" t="s">
        <v>354</v>
      </c>
      <c r="E8" s="62">
        <f>Input!D60</f>
        <v>9.5000000000000001E-2</v>
      </c>
      <c r="F8" s="1" t="s">
        <v>312</v>
      </c>
      <c r="G8" s="1" t="s">
        <v>358</v>
      </c>
      <c r="H8" s="58">
        <f>Input!D61</f>
        <v>15</v>
      </c>
    </row>
    <row r="9" spans="1:8">
      <c r="A9" s="1"/>
      <c r="B9" s="1"/>
      <c r="C9" s="1"/>
      <c r="D9" s="1"/>
      <c r="E9" s="1"/>
      <c r="F9" s="1"/>
      <c r="G9" s="1"/>
      <c r="H9" s="1"/>
    </row>
    <row r="10" spans="1:8">
      <c r="A10" s="134" t="s">
        <v>430</v>
      </c>
      <c r="B10" s="134"/>
      <c r="C10" s="134"/>
      <c r="D10" s="134"/>
      <c r="E10" s="134"/>
      <c r="F10" s="134"/>
      <c r="G10" s="134"/>
      <c r="H10" s="134"/>
    </row>
    <row r="11" spans="1:8">
      <c r="A11" s="1" t="s">
        <v>130</v>
      </c>
      <c r="B11" s="62">
        <f>Project_CF!C34</f>
        <v>0.11231179217095022</v>
      </c>
      <c r="C11" s="1" t="s">
        <v>228</v>
      </c>
      <c r="D11" s="1" t="s">
        <v>134</v>
      </c>
      <c r="E11" s="59">
        <f>Project_CF!C35</f>
        <v>511.45450429939251</v>
      </c>
      <c r="F11" s="1" t="s">
        <v>177</v>
      </c>
      <c r="G11" s="1" t="s">
        <v>431</v>
      </c>
      <c r="H11" s="58">
        <f>Project_CF!C37</f>
        <v>9</v>
      </c>
    </row>
    <row r="12" spans="1:8">
      <c r="A12" s="1" t="s">
        <v>63</v>
      </c>
      <c r="B12" s="62">
        <f>Equity_CF!C27</f>
        <v>0.12254153062049333</v>
      </c>
      <c r="C12" s="1" t="s">
        <v>228</v>
      </c>
      <c r="D12" s="1" t="s">
        <v>67</v>
      </c>
      <c r="E12" s="59">
        <f>Equity_CF!C28</f>
        <v>43.865651345437307</v>
      </c>
      <c r="F12" s="1" t="s">
        <v>177</v>
      </c>
      <c r="G12" s="1" t="s">
        <v>432</v>
      </c>
      <c r="H12" s="58">
        <f>Equity_CF!C30</f>
        <v>10</v>
      </c>
    </row>
    <row r="13" spans="1:8">
      <c r="A13" s="1" t="s">
        <v>433</v>
      </c>
      <c r="B13" s="63">
        <f>Debt!C31</f>
        <v>1.258250218156902</v>
      </c>
      <c r="C13" s="1" t="s">
        <v>378</v>
      </c>
      <c r="D13" s="1" t="s">
        <v>434</v>
      </c>
      <c r="E13" s="63">
        <f>Debt!C32</f>
        <v>1.990570351617434</v>
      </c>
      <c r="F13" s="1" t="s">
        <v>378</v>
      </c>
      <c r="G13" s="1" t="s">
        <v>91</v>
      </c>
      <c r="H13" s="63">
        <f>Debt!C33</f>
        <v>1.5071859115369788</v>
      </c>
    </row>
    <row r="14" spans="1:8">
      <c r="A14" s="1" t="s">
        <v>87</v>
      </c>
      <c r="B14" s="61">
        <f>Project_CF!C38</f>
        <v>1640.503582109307</v>
      </c>
      <c r="C14" s="1" t="s">
        <v>214</v>
      </c>
      <c r="D14" s="1" t="s">
        <v>435</v>
      </c>
      <c r="E14" s="61">
        <f>Project_CF!C39</f>
        <v>1640.5035821093074</v>
      </c>
      <c r="F14" s="1" t="s">
        <v>214</v>
      </c>
      <c r="G14" s="1" t="s">
        <v>227</v>
      </c>
      <c r="H14" s="62">
        <f>IF(Input!D50=0,0,Input!D55/Input!D50)</f>
        <v>0.87738953952435517</v>
      </c>
    </row>
    <row r="15" spans="1:8">
      <c r="A15" s="1" t="s">
        <v>436</v>
      </c>
      <c r="B15" s="59">
        <f>Debt!C29</f>
        <v>4025.8102499999991</v>
      </c>
      <c r="C15" s="1" t="s">
        <v>177</v>
      </c>
      <c r="D15" s="1" t="s">
        <v>437</v>
      </c>
      <c r="E15" s="59">
        <f>Income_Statement!C26</f>
        <v>680.90935809254074</v>
      </c>
      <c r="F15" s="1" t="s">
        <v>177</v>
      </c>
      <c r="G15" s="1" t="s">
        <v>438</v>
      </c>
      <c r="H15" s="59">
        <f>Equity_CF!C31</f>
        <v>2599.4865000000004</v>
      </c>
    </row>
    <row r="16" spans="1:8">
      <c r="A16" s="1" t="s">
        <v>223</v>
      </c>
      <c r="B16" s="59">
        <f>Input!D55</f>
        <v>875.167912</v>
      </c>
      <c r="C16" s="1" t="s">
        <v>177</v>
      </c>
      <c r="D16" s="1" t="s">
        <v>215</v>
      </c>
      <c r="E16" s="59">
        <f>Input!D50</f>
        <v>997.46791199999996</v>
      </c>
      <c r="F16" s="1" t="s">
        <v>177</v>
      </c>
      <c r="G16" s="1" t="s">
        <v>439</v>
      </c>
      <c r="H16" s="59">
        <f>E12-E11</f>
        <v>-467.58885295395521</v>
      </c>
    </row>
    <row r="17" spans="1:8">
      <c r="A17" s="1"/>
      <c r="B17" s="1"/>
      <c r="C17" s="1"/>
      <c r="D17" s="1"/>
      <c r="E17" s="1"/>
      <c r="F17" s="1"/>
      <c r="G17" s="1"/>
      <c r="H17" s="1"/>
    </row>
    <row r="18" spans="1:8" ht="18" customHeight="1">
      <c r="A18" s="126" t="s">
        <v>440</v>
      </c>
      <c r="B18" s="126"/>
      <c r="C18" s="126"/>
      <c r="D18" s="126"/>
      <c r="E18" s="126"/>
      <c r="F18" s="126"/>
      <c r="G18" s="126"/>
      <c r="H18" s="126"/>
    </row>
    <row r="19" spans="1:8" ht="18" customHeight="1">
      <c r="A19" s="79" t="s">
        <v>441</v>
      </c>
      <c r="B19" s="79" t="s">
        <v>165</v>
      </c>
      <c r="C19" s="79" t="s">
        <v>442</v>
      </c>
      <c r="D19" s="79" t="s">
        <v>165</v>
      </c>
      <c r="E19" s="79" t="s">
        <v>443</v>
      </c>
      <c r="F19" s="79" t="s">
        <v>165</v>
      </c>
      <c r="G19" s="79" t="s">
        <v>444</v>
      </c>
      <c r="H19" s="79" t="s">
        <v>445</v>
      </c>
    </row>
    <row r="20" spans="1:8" ht="36" customHeight="1">
      <c r="A20" s="82" t="s">
        <v>446</v>
      </c>
      <c r="B20" s="83" t="str">
        <f>IF(AND(B11&gt;=Input!$D$77,E11&gt;=0),"ĐẠT","KHÔNG ĐẠT")</f>
        <v>ĐẠT</v>
      </c>
      <c r="C20" s="81" t="s">
        <v>447</v>
      </c>
      <c r="D20" s="80" t="str">
        <f>IF(AND(B12&gt;=Input!$D$78,E12&gt;=0),"ĐẠT","KHÔNG ĐẠT")</f>
        <v>ĐẠT</v>
      </c>
      <c r="E20" s="81" t="s">
        <v>448</v>
      </c>
      <c r="F20" s="80" t="str">
        <f>IF(B13&gt;=Input!D65,"ĐẠT","KHÔNG ĐẠT")</f>
        <v>ĐẠT</v>
      </c>
      <c r="G20" s="80" t="str">
        <f>IF(COUNTIF(B20:F20,"KHÔNG ĐẠT")=0,"ĐẠT","KHÔNG ĐẠT")</f>
        <v>ĐẠT</v>
      </c>
      <c r="H20" s="80">
        <f>COUNTIF(B20:F20,"KHÔNG ĐẠT")</f>
        <v>0</v>
      </c>
    </row>
    <row r="21" spans="1:8" ht="30" customHeight="1">
      <c r="A21" s="127" t="str">
        <f>IF(H20=0,"DỰ ÁN HIỆU QUẢ",IF(H20=1,"DỰ ÁN CẦN XEM XÉT","DỰ ÁN KHÔNG HIỆU QUẢ / CHƯA ĐẠT YÊU CẦU ĐẦU TƯ"))</f>
        <v>DỰ ÁN HIỆU QUẢ</v>
      </c>
      <c r="B21" s="128"/>
      <c r="C21" s="128"/>
      <c r="D21" s="128"/>
      <c r="E21" s="128"/>
      <c r="F21" s="128"/>
      <c r="G21" s="128"/>
      <c r="H21" s="129"/>
    </row>
    <row r="22" spans="1:8" ht="26" customHeight="1">
      <c r="A22" s="130" t="str">
        <f>IF(H20=0,"Các chỉ tiêu Project, Equity và DSCR đều đạt ngưỡng yêu cầu.",IF(H20=1,"Có một nhóm chỉ tiêu trọng yếu chưa đạt; cần rà soát giả định và điều kiện đầu tư.","Có từ hai nhóm chỉ tiêu trọng yếu chưa đạt; dự án chưa đáp ứng yêu cầu đầu tư theo kịch bản hiện tại."))</f>
        <v>Các chỉ tiêu Project, Equity và DSCR đều đạt ngưỡng yêu cầu.</v>
      </c>
      <c r="B22" s="130"/>
      <c r="C22" s="130"/>
      <c r="D22" s="130"/>
      <c r="E22" s="130"/>
      <c r="F22" s="130"/>
      <c r="G22" s="130"/>
      <c r="H22" s="130"/>
    </row>
    <row r="23" spans="1:8" ht="18" customHeight="1"/>
    <row r="24" spans="1:8" ht="18" customHeight="1">
      <c r="A24" s="126" t="s">
        <v>449</v>
      </c>
      <c r="B24" s="126"/>
      <c r="C24" s="126"/>
      <c r="D24" s="126"/>
      <c r="E24" s="126"/>
      <c r="F24" s="126"/>
      <c r="G24" s="126"/>
      <c r="H24" s="126"/>
    </row>
    <row r="25" spans="1:8" ht="18" customHeight="1">
      <c r="A25" s="78" t="s">
        <v>162</v>
      </c>
      <c r="B25" s="78" t="s">
        <v>450</v>
      </c>
      <c r="C25" s="78" t="s">
        <v>451</v>
      </c>
      <c r="D25" s="78" t="s">
        <v>165</v>
      </c>
    </row>
    <row r="26" spans="1:8" ht="18" customHeight="1">
      <c r="A26" t="s">
        <v>452</v>
      </c>
      <c r="B26" t="s">
        <v>453</v>
      </c>
      <c r="C26" s="85">
        <f>CAPEX!C27</f>
        <v>1</v>
      </c>
      <c r="D26" s="84" t="str">
        <f>IF(ABS(C26-1)&lt;0.000001,"OK","KIỂM TRA")</f>
        <v>OK</v>
      </c>
      <c r="F26" s="131" t="s">
        <v>454</v>
      </c>
      <c r="G26" s="131"/>
      <c r="H26" s="131"/>
    </row>
    <row r="27" spans="1:8" ht="18" customHeight="1">
      <c r="A27" t="s">
        <v>455</v>
      </c>
      <c r="B27" t="s">
        <v>456</v>
      </c>
      <c r="C27" s="86">
        <f>CAPEX!C28-Input!D21</f>
        <v>0</v>
      </c>
      <c r="D27" s="84" t="str">
        <f>IF(ABS(C27)&lt;0.01,"OK","KIỂM TRA")</f>
        <v>OK</v>
      </c>
      <c r="F27" s="124" t="str">
        <f>IF(COUNTIF(D26:D31,"KIỂM TRA")=0,"OK","CẦN KIỂM TRA")</f>
        <v>OK</v>
      </c>
      <c r="G27" s="124"/>
      <c r="H27" s="124"/>
    </row>
    <row r="28" spans="1:8" ht="18" customHeight="1">
      <c r="A28" t="s">
        <v>457</v>
      </c>
      <c r="B28" t="s">
        <v>458</v>
      </c>
      <c r="C28" s="86">
        <f>Debt!C28-Input!D66</f>
        <v>0</v>
      </c>
      <c r="D28" s="84" t="str">
        <f>IF(ABS(C28)&lt;0.01,"OK","KIỂM TRA")</f>
        <v>OK</v>
      </c>
      <c r="F28" s="124"/>
      <c r="G28" s="124"/>
      <c r="H28" s="124"/>
    </row>
    <row r="29" spans="1:8" ht="18" customHeight="1">
      <c r="A29" t="s">
        <v>459</v>
      </c>
      <c r="B29" t="s">
        <v>460</v>
      </c>
      <c r="C29" s="86">
        <f>Debt!AF18</f>
        <v>0</v>
      </c>
      <c r="D29" s="84" t="str">
        <f>IF(ABS(C29)&lt;0.01,"OK","KIỂM TRA")</f>
        <v>OK</v>
      </c>
      <c r="F29" s="124"/>
      <c r="G29" s="124"/>
      <c r="H29" s="124"/>
    </row>
    <row r="30" spans="1:8" ht="18" customHeight="1">
      <c r="A30" t="s">
        <v>461</v>
      </c>
      <c r="B30" t="s">
        <v>462</v>
      </c>
      <c r="C30" s="87">
        <f>COUNTIF(Project_CF!C24:AF24,"&lt;0")*COUNTIF(Project_CF!C24:AF24,"&gt;0")</f>
        <v>40</v>
      </c>
      <c r="D30" s="84" t="str">
        <f>IF(C30&gt;0,"OK","KIỂM TRA")</f>
        <v>OK</v>
      </c>
    </row>
    <row r="31" spans="1:8" ht="18" customHeight="1">
      <c r="A31" t="s">
        <v>463</v>
      </c>
      <c r="B31" t="s">
        <v>448</v>
      </c>
      <c r="C31" s="88">
        <f>Debt!C31-Input!D65</f>
        <v>5.8250218156902012E-2</v>
      </c>
      <c r="D31" s="84" t="str">
        <f>IF(C31&gt;=0,"OK","KIỂM TRA")</f>
        <v>OK</v>
      </c>
    </row>
    <row r="32" spans="1:8" ht="18" customHeight="1"/>
    <row r="33" spans="1:8" ht="18" customHeight="1"/>
    <row r="34" spans="1:8" ht="18" customHeight="1">
      <c r="A34" s="125" t="s">
        <v>464</v>
      </c>
      <c r="B34" s="125"/>
      <c r="C34" s="125"/>
      <c r="D34" s="125"/>
      <c r="E34" s="125"/>
      <c r="F34" s="125"/>
      <c r="G34" s="125"/>
      <c r="H34" s="125"/>
    </row>
    <row r="35" spans="1:8" ht="18" customHeight="1">
      <c r="A35" s="125"/>
      <c r="B35" s="125"/>
      <c r="C35" s="125"/>
      <c r="D35" s="125"/>
      <c r="E35" s="125"/>
      <c r="F35" s="125"/>
      <c r="G35" s="125"/>
      <c r="H35" s="125"/>
    </row>
    <row r="36" spans="1:8">
      <c r="A36" s="1"/>
      <c r="B36" s="1"/>
      <c r="C36" s="1"/>
      <c r="D36" s="1"/>
      <c r="E36" s="1"/>
      <c r="F36" s="1"/>
      <c r="G36" s="1"/>
      <c r="H36" s="1"/>
    </row>
    <row r="37" spans="1:8">
      <c r="A37" s="1"/>
      <c r="B37" s="1"/>
      <c r="C37" s="1"/>
      <c r="D37" s="1"/>
      <c r="E37" s="1"/>
      <c r="F37" s="1"/>
      <c r="G37" s="1"/>
      <c r="H37" s="1"/>
    </row>
    <row r="38" spans="1:8">
      <c r="A38" s="1"/>
      <c r="B38" s="1"/>
      <c r="C38" s="1"/>
      <c r="D38" s="1"/>
      <c r="E38" s="1"/>
      <c r="F38" s="1"/>
      <c r="G38" s="1"/>
      <c r="H38" s="1"/>
    </row>
    <row r="39" spans="1:8">
      <c r="A39" s="1"/>
      <c r="B39" s="1"/>
      <c r="C39" s="1"/>
      <c r="D39" s="1"/>
      <c r="E39" s="1"/>
      <c r="F39" s="1"/>
      <c r="G39" s="1"/>
      <c r="H39" s="1"/>
    </row>
    <row r="40" spans="1:8">
      <c r="A40" s="1"/>
      <c r="B40" s="1"/>
      <c r="C40" s="1"/>
      <c r="D40" s="1"/>
      <c r="E40" s="1"/>
      <c r="F40" s="1"/>
      <c r="G40" s="1"/>
      <c r="H40" s="1"/>
    </row>
    <row r="41" spans="1:8">
      <c r="A41" s="1"/>
      <c r="B41" s="1"/>
      <c r="C41" s="1"/>
      <c r="D41" s="1"/>
      <c r="E41" s="1"/>
      <c r="F41" s="1"/>
      <c r="G41" s="1"/>
      <c r="H41" s="1"/>
    </row>
    <row r="42" spans="1:8">
      <c r="A42" s="1"/>
      <c r="B42" s="1"/>
      <c r="C42" s="1"/>
      <c r="D42" s="1"/>
      <c r="E42" s="1"/>
      <c r="F42" s="1"/>
      <c r="G42" s="1"/>
      <c r="H42" s="1"/>
    </row>
    <row r="43" spans="1:8">
      <c r="A43" s="1"/>
      <c r="B43" s="1"/>
      <c r="C43" s="1"/>
      <c r="D43" s="1"/>
      <c r="E43" s="1"/>
      <c r="F43" s="1"/>
      <c r="G43" s="1"/>
      <c r="H43" s="1"/>
    </row>
    <row r="44" spans="1:8">
      <c r="A44" s="1"/>
      <c r="B44" s="1"/>
      <c r="C44" s="1"/>
      <c r="D44" s="1"/>
      <c r="E44" s="1"/>
      <c r="F44" s="1"/>
      <c r="G44" s="1"/>
      <c r="H44" s="1"/>
    </row>
    <row r="45" spans="1:8">
      <c r="A45" s="1"/>
      <c r="B45" s="1"/>
      <c r="C45" s="1"/>
      <c r="D45" s="1"/>
      <c r="E45" s="1"/>
      <c r="F45" s="1"/>
      <c r="G45" s="1"/>
      <c r="H45" s="1"/>
    </row>
    <row r="46" spans="1:8">
      <c r="A46" s="1"/>
      <c r="B46" s="1"/>
      <c r="C46" s="1"/>
      <c r="D46" s="1"/>
      <c r="E46" s="1"/>
      <c r="F46" s="1"/>
      <c r="G46" s="1"/>
      <c r="H46" s="1"/>
    </row>
    <row r="47" spans="1:8">
      <c r="A47" s="1"/>
      <c r="B47" s="1"/>
      <c r="C47" s="1"/>
      <c r="D47" s="1"/>
      <c r="E47" s="1"/>
      <c r="F47" s="1"/>
      <c r="G47" s="1"/>
      <c r="H47" s="1"/>
    </row>
    <row r="48" spans="1:8">
      <c r="A48" s="1"/>
      <c r="B48" s="1"/>
      <c r="C48" s="1"/>
      <c r="D48" s="1"/>
      <c r="E48" s="1"/>
      <c r="F48" s="1"/>
      <c r="G48" s="1"/>
      <c r="H48" s="1"/>
    </row>
    <row r="49" spans="1:8">
      <c r="A49" s="1"/>
      <c r="B49" s="1"/>
      <c r="C49" s="1"/>
      <c r="D49" s="1"/>
      <c r="E49" s="1"/>
      <c r="F49" s="1"/>
      <c r="G49" s="1"/>
      <c r="H49" s="1"/>
    </row>
    <row r="50" spans="1:8">
      <c r="A50" s="1"/>
      <c r="B50" s="1"/>
      <c r="C50" s="1"/>
      <c r="D50" s="1"/>
      <c r="E50" s="1"/>
      <c r="F50" s="1"/>
      <c r="G50" s="1"/>
      <c r="H50" s="1"/>
    </row>
  </sheetData>
  <mergeCells count="12">
    <mergeCell ref="A1:H1"/>
    <mergeCell ref="A2:H2"/>
    <mergeCell ref="A3:H3"/>
    <mergeCell ref="A5:H5"/>
    <mergeCell ref="A10:H10"/>
    <mergeCell ref="F27:H29"/>
    <mergeCell ref="A34:H35"/>
    <mergeCell ref="A18:H18"/>
    <mergeCell ref="A21:H21"/>
    <mergeCell ref="A22:H22"/>
    <mergeCell ref="A24:H24"/>
    <mergeCell ref="F26:H26"/>
  </mergeCells>
  <conditionalFormatting sqref="A21:H21">
    <cfRule type="expression" dxfId="13" priority="10">
      <formula>$A$21="DỰ ÁN HIỆU QUẢ"</formula>
    </cfRule>
    <cfRule type="expression" dxfId="12" priority="11">
      <formula>$A$21="DỰ ÁN CẦN XEM XÉT"</formula>
    </cfRule>
    <cfRule type="expression" dxfId="11" priority="12">
      <formula>$A$21="DỰ ÁN KHÔNG HIỆU QUẢ / CHƯA ĐẠT YÊU CẦU ĐẦU TƯ"</formula>
    </cfRule>
  </conditionalFormatting>
  <conditionalFormatting sqref="B20">
    <cfRule type="expression" dxfId="10" priority="2">
      <formula>B20="ĐẠT"</formula>
    </cfRule>
    <cfRule type="expression" dxfId="9" priority="3">
      <formula>B20="KHÔNG ĐẠT"</formula>
    </cfRule>
  </conditionalFormatting>
  <conditionalFormatting sqref="D20">
    <cfRule type="expression" dxfId="8" priority="4">
      <formula>D20="ĐẠT"</formula>
    </cfRule>
    <cfRule type="expression" dxfId="7" priority="5">
      <formula>D20="KHÔNG ĐẠT"</formula>
    </cfRule>
  </conditionalFormatting>
  <conditionalFormatting sqref="F21">
    <cfRule type="containsText" dxfId="6" priority="1" operator="containsText" text="CẦN"/>
  </conditionalFormatting>
  <conditionalFormatting sqref="F20:G20">
    <cfRule type="expression" dxfId="5" priority="6">
      <formula>F20="ĐẠT"</formula>
    </cfRule>
    <cfRule type="expression" dxfId="4" priority="7">
      <formula>F20="KHÔNG ĐẠT"</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80"/>
  <sheetViews>
    <sheetView showGridLines="0" workbookViewId="0"/>
  </sheetViews>
  <sheetFormatPr defaultRowHeight="14"/>
  <cols>
    <col min="1" max="1" width="10" customWidth="1"/>
    <col min="2" max="2" width="34" customWidth="1"/>
    <col min="3" max="32" width="12" customWidth="1"/>
  </cols>
  <sheetData>
    <row r="1" spans="1:32" ht="15" customHeight="1">
      <c r="A1" s="135" t="s">
        <v>465</v>
      </c>
      <c r="B1" s="135"/>
      <c r="C1" s="136"/>
      <c r="D1" s="136"/>
      <c r="E1" s="136"/>
      <c r="F1" s="136"/>
      <c r="G1" s="136"/>
      <c r="H1" s="136"/>
      <c r="I1" s="136"/>
      <c r="J1" s="136"/>
      <c r="K1" s="136"/>
      <c r="L1" s="136"/>
      <c r="M1" s="136"/>
      <c r="N1" s="136"/>
      <c r="O1" s="136"/>
      <c r="P1" s="136"/>
      <c r="Q1" s="136"/>
      <c r="R1" s="136"/>
      <c r="S1" s="136"/>
      <c r="T1" s="136"/>
      <c r="U1" s="136"/>
      <c r="V1" s="136"/>
      <c r="W1" s="136"/>
      <c r="X1" s="136"/>
      <c r="Y1" s="136"/>
      <c r="Z1" s="136"/>
      <c r="AA1" s="136"/>
      <c r="AB1" s="136"/>
      <c r="AC1" s="136"/>
      <c r="AD1" s="136"/>
      <c r="AE1" s="136"/>
      <c r="AF1" s="136"/>
    </row>
    <row r="2" spans="1:32" ht="15" customHeight="1">
      <c r="A2" s="137" t="s">
        <v>466</v>
      </c>
      <c r="B2" s="137"/>
      <c r="C2" s="137"/>
      <c r="D2" s="137"/>
      <c r="E2" s="137"/>
      <c r="F2" s="137"/>
      <c r="G2" s="137"/>
      <c r="H2" s="137"/>
      <c r="I2" s="137"/>
      <c r="J2" s="137"/>
      <c r="K2" s="137"/>
      <c r="L2" s="137"/>
      <c r="M2" s="137"/>
      <c r="N2" s="137"/>
      <c r="O2" s="137"/>
      <c r="P2" s="137"/>
      <c r="Q2" s="137"/>
      <c r="R2" s="137"/>
      <c r="S2" s="137"/>
      <c r="T2" s="137"/>
      <c r="U2" s="137"/>
      <c r="V2" s="137"/>
      <c r="W2" s="137"/>
      <c r="X2" s="137"/>
      <c r="Y2" s="137"/>
      <c r="Z2" s="137"/>
      <c r="AA2" s="137"/>
      <c r="AB2" s="137"/>
      <c r="AC2" s="137"/>
      <c r="AD2" s="137"/>
      <c r="AE2" s="137"/>
      <c r="AF2" s="137"/>
    </row>
    <row r="3" spans="1:32" ht="15" customHeight="1">
      <c r="A3" s="138" t="s">
        <v>467</v>
      </c>
      <c r="B3" s="138"/>
      <c r="C3" s="139"/>
      <c r="D3" s="139"/>
      <c r="E3" s="139"/>
      <c r="F3" s="139"/>
      <c r="G3" s="139"/>
      <c r="H3" s="139"/>
      <c r="I3" s="139"/>
      <c r="J3" s="139"/>
      <c r="K3" s="139"/>
      <c r="L3" s="139"/>
      <c r="M3" s="139"/>
      <c r="N3" s="139"/>
      <c r="O3" s="139"/>
      <c r="P3" s="139"/>
      <c r="Q3" s="139"/>
      <c r="R3" s="139"/>
      <c r="S3" s="139"/>
      <c r="T3" s="139"/>
      <c r="U3" s="139"/>
      <c r="V3" s="139"/>
      <c r="W3" s="139"/>
      <c r="X3" s="139"/>
      <c r="Y3" s="139"/>
      <c r="Z3" s="139"/>
      <c r="AA3" s="139"/>
      <c r="AB3" s="139"/>
      <c r="AC3" s="139"/>
      <c r="AD3" s="139"/>
      <c r="AE3" s="139"/>
      <c r="AF3" s="139"/>
    </row>
    <row r="4" spans="1:32" ht="15" customHeight="1">
      <c r="A4" s="69"/>
      <c r="B4" s="69"/>
      <c r="C4" s="64"/>
      <c r="D4" s="64"/>
      <c r="E4" s="64"/>
      <c r="F4" s="64"/>
      <c r="G4" s="64"/>
      <c r="H4" s="64"/>
      <c r="I4" s="64"/>
      <c r="J4" s="64"/>
      <c r="K4" s="64"/>
      <c r="L4" s="64"/>
      <c r="M4" s="64"/>
      <c r="N4" s="64"/>
      <c r="O4" s="64"/>
      <c r="P4" s="64"/>
      <c r="Q4" s="64"/>
      <c r="R4" s="64"/>
      <c r="S4" s="64"/>
      <c r="T4" s="64"/>
      <c r="U4" s="64"/>
      <c r="V4" s="64"/>
      <c r="W4" s="64"/>
      <c r="X4" s="64"/>
      <c r="Y4" s="64"/>
      <c r="Z4" s="64"/>
      <c r="AA4" s="64"/>
      <c r="AB4" s="64"/>
      <c r="AC4" s="64"/>
      <c r="AD4" s="64"/>
      <c r="AE4" s="64"/>
      <c r="AF4" s="64"/>
    </row>
    <row r="5" spans="1:32" ht="15" customHeight="1">
      <c r="A5" s="69"/>
      <c r="B5" s="69"/>
      <c r="C5" s="64"/>
      <c r="D5" s="64"/>
      <c r="E5" s="64"/>
      <c r="F5" s="64"/>
      <c r="G5" s="64"/>
      <c r="H5" s="64"/>
      <c r="I5" s="64"/>
      <c r="J5" s="64"/>
      <c r="K5" s="64"/>
      <c r="L5" s="64"/>
      <c r="M5" s="64"/>
      <c r="N5" s="64"/>
      <c r="O5" s="64"/>
      <c r="P5" s="64"/>
      <c r="Q5" s="64"/>
      <c r="R5" s="64"/>
      <c r="S5" s="64"/>
      <c r="T5" s="64"/>
      <c r="U5" s="64"/>
      <c r="V5" s="64"/>
      <c r="W5" s="64"/>
      <c r="X5" s="64"/>
      <c r="Y5" s="64"/>
      <c r="Z5" s="64"/>
      <c r="AA5" s="64"/>
      <c r="AB5" s="64"/>
      <c r="AC5" s="64"/>
      <c r="AD5" s="64"/>
      <c r="AE5" s="64"/>
      <c r="AF5" s="64"/>
    </row>
    <row r="6" spans="1:32" ht="15" customHeight="1">
      <c r="A6" s="70"/>
      <c r="B6" s="70" t="s">
        <v>161</v>
      </c>
      <c r="C6" s="41">
        <f>Input!$D$14+0</f>
        <v>2026</v>
      </c>
      <c r="D6" s="41">
        <f>Input!$D$14+1</f>
        <v>2027</v>
      </c>
      <c r="E6" s="41">
        <f>Input!$D$14+2</f>
        <v>2028</v>
      </c>
      <c r="F6" s="41">
        <f>Input!$D$14+3</f>
        <v>2029</v>
      </c>
      <c r="G6" s="41">
        <f>Input!$D$14+4</f>
        <v>2030</v>
      </c>
      <c r="H6" s="41">
        <f>Input!$D$14+5</f>
        <v>2031</v>
      </c>
      <c r="I6" s="41">
        <f>Input!$D$14+6</f>
        <v>2032</v>
      </c>
      <c r="J6" s="41">
        <f>Input!$D$14+7</f>
        <v>2033</v>
      </c>
      <c r="K6" s="41">
        <f>Input!$D$14+8</f>
        <v>2034</v>
      </c>
      <c r="L6" s="41">
        <f>Input!$D$14+9</f>
        <v>2035</v>
      </c>
      <c r="M6" s="41">
        <f>Input!$D$14+10</f>
        <v>2036</v>
      </c>
      <c r="N6" s="41">
        <f>Input!$D$14+11</f>
        <v>2037</v>
      </c>
      <c r="O6" s="41">
        <f>Input!$D$14+12</f>
        <v>2038</v>
      </c>
      <c r="P6" s="41">
        <f>Input!$D$14+13</f>
        <v>2039</v>
      </c>
      <c r="Q6" s="41">
        <f>Input!$D$14+14</f>
        <v>2040</v>
      </c>
      <c r="R6" s="41">
        <f>Input!$D$14+15</f>
        <v>2041</v>
      </c>
      <c r="S6" s="41">
        <f>Input!$D$14+16</f>
        <v>2042</v>
      </c>
      <c r="T6" s="41">
        <f>Input!$D$14+17</f>
        <v>2043</v>
      </c>
      <c r="U6" s="41">
        <f>Input!$D$14+18</f>
        <v>2044</v>
      </c>
      <c r="V6" s="41">
        <f>Input!$D$14+19</f>
        <v>2045</v>
      </c>
      <c r="W6" s="41">
        <f>Input!$D$14+20</f>
        <v>2046</v>
      </c>
      <c r="X6" s="41">
        <f>Input!$D$14+21</f>
        <v>2047</v>
      </c>
      <c r="Y6" s="41">
        <f>Input!$D$14+22</f>
        <v>2048</v>
      </c>
      <c r="Z6" s="41">
        <f>Input!$D$14+23</f>
        <v>2049</v>
      </c>
      <c r="AA6" s="41">
        <f>Input!$D$14+24</f>
        <v>2050</v>
      </c>
      <c r="AB6" s="41">
        <f>Input!$D$14+25</f>
        <v>2051</v>
      </c>
      <c r="AC6" s="41">
        <f>Input!$D$14+26</f>
        <v>2052</v>
      </c>
      <c r="AD6" s="41">
        <f>Input!$D$14+27</f>
        <v>2053</v>
      </c>
      <c r="AE6" s="41">
        <f>Input!$D$14+28</f>
        <v>2054</v>
      </c>
      <c r="AF6" s="41">
        <f>Input!$D$14+29</f>
        <v>2055</v>
      </c>
    </row>
    <row r="7" spans="1:32" ht="15" customHeight="1">
      <c r="A7" s="69"/>
      <c r="B7" s="69" t="s">
        <v>468</v>
      </c>
      <c r="C7" s="65">
        <v>0</v>
      </c>
      <c r="D7" s="65">
        <v>1</v>
      </c>
      <c r="E7" s="65">
        <v>2</v>
      </c>
      <c r="F7" s="65">
        <v>3</v>
      </c>
      <c r="G7" s="65">
        <v>4</v>
      </c>
      <c r="H7" s="65">
        <v>5</v>
      </c>
      <c r="I7" s="65">
        <v>6</v>
      </c>
      <c r="J7" s="65">
        <v>7</v>
      </c>
      <c r="K7" s="65">
        <v>8</v>
      </c>
      <c r="L7" s="65">
        <v>9</v>
      </c>
      <c r="M7" s="65">
        <v>10</v>
      </c>
      <c r="N7" s="65">
        <v>11</v>
      </c>
      <c r="O7" s="65">
        <v>12</v>
      </c>
      <c r="P7" s="65">
        <v>13</v>
      </c>
      <c r="Q7" s="65">
        <v>14</v>
      </c>
      <c r="R7" s="65">
        <v>15</v>
      </c>
      <c r="S7" s="65">
        <v>16</v>
      </c>
      <c r="T7" s="65">
        <v>17</v>
      </c>
      <c r="U7" s="65">
        <v>18</v>
      </c>
      <c r="V7" s="65">
        <v>19</v>
      </c>
      <c r="W7" s="65">
        <v>20</v>
      </c>
      <c r="X7" s="65">
        <v>21</v>
      </c>
      <c r="Y7" s="65">
        <v>22</v>
      </c>
      <c r="Z7" s="65">
        <v>23</v>
      </c>
      <c r="AA7" s="65">
        <v>24</v>
      </c>
      <c r="AB7" s="65">
        <v>25</v>
      </c>
      <c r="AC7" s="65">
        <v>26</v>
      </c>
      <c r="AD7" s="65">
        <v>27</v>
      </c>
      <c r="AE7" s="65">
        <v>28</v>
      </c>
      <c r="AF7" s="65">
        <v>29</v>
      </c>
    </row>
    <row r="8" spans="1:32" ht="15" customHeight="1">
      <c r="A8" s="69"/>
      <c r="B8" s="69" t="s">
        <v>469</v>
      </c>
      <c r="C8" s="65">
        <f>IF(C$6="","",IF(C$6&lt;Input!$D$16,1,0))</f>
        <v>1</v>
      </c>
      <c r="D8" s="65">
        <f>IF(D$6="","",IF(D$6&lt;Input!$D$16,1,0))</f>
        <v>1</v>
      </c>
      <c r="E8" s="65">
        <f>IF(E$6="","",IF(E$6&lt;Input!$D$16,1,0))</f>
        <v>0</v>
      </c>
      <c r="F8" s="65">
        <f>IF(F$6="","",IF(F$6&lt;Input!$D$16,1,0))</f>
        <v>0</v>
      </c>
      <c r="G8" s="65">
        <f>IF(G$6="","",IF(G$6&lt;Input!$D$16,1,0))</f>
        <v>0</v>
      </c>
      <c r="H8" s="65">
        <f>IF(H$6="","",IF(H$6&lt;Input!$D$16,1,0))</f>
        <v>0</v>
      </c>
      <c r="I8" s="65">
        <f>IF(I$6="","",IF(I$6&lt;Input!$D$16,1,0))</f>
        <v>0</v>
      </c>
      <c r="J8" s="65">
        <f>IF(J$6="","",IF(J$6&lt;Input!$D$16,1,0))</f>
        <v>0</v>
      </c>
      <c r="K8" s="65">
        <f>IF(K$6="","",IF(K$6&lt;Input!$D$16,1,0))</f>
        <v>0</v>
      </c>
      <c r="L8" s="65">
        <f>IF(L$6="","",IF(L$6&lt;Input!$D$16,1,0))</f>
        <v>0</v>
      </c>
      <c r="M8" s="65">
        <f>IF(M$6="","",IF(M$6&lt;Input!$D$16,1,0))</f>
        <v>0</v>
      </c>
      <c r="N8" s="65">
        <f>IF(N$6="","",IF(N$6&lt;Input!$D$16,1,0))</f>
        <v>0</v>
      </c>
      <c r="O8" s="65">
        <f>IF(O$6="","",IF(O$6&lt;Input!$D$16,1,0))</f>
        <v>0</v>
      </c>
      <c r="P8" s="65">
        <f>IF(P$6="","",IF(P$6&lt;Input!$D$16,1,0))</f>
        <v>0</v>
      </c>
      <c r="Q8" s="65">
        <f>IF(Q$6="","",IF(Q$6&lt;Input!$D$16,1,0))</f>
        <v>0</v>
      </c>
      <c r="R8" s="65">
        <f>IF(R$6="","",IF(R$6&lt;Input!$D$16,1,0))</f>
        <v>0</v>
      </c>
      <c r="S8" s="65">
        <f>IF(S$6="","",IF(S$6&lt;Input!$D$16,1,0))</f>
        <v>0</v>
      </c>
      <c r="T8" s="65">
        <f>IF(T$6="","",IF(T$6&lt;Input!$D$16,1,0))</f>
        <v>0</v>
      </c>
      <c r="U8" s="65">
        <f>IF(U$6="","",IF(U$6&lt;Input!$D$16,1,0))</f>
        <v>0</v>
      </c>
      <c r="V8" s="65">
        <f>IF(V$6="","",IF(V$6&lt;Input!$D$16,1,0))</f>
        <v>0</v>
      </c>
      <c r="W8" s="65">
        <f>IF(W$6="","",IF(W$6&lt;Input!$D$16,1,0))</f>
        <v>0</v>
      </c>
      <c r="X8" s="65">
        <f>IF(X$6="","",IF(X$6&lt;Input!$D$16,1,0))</f>
        <v>0</v>
      </c>
      <c r="Y8" s="65">
        <f>IF(Y$6="","",IF(Y$6&lt;Input!$D$16,1,0))</f>
        <v>0</v>
      </c>
      <c r="Z8" s="65">
        <f>IF(Z$6="","",IF(Z$6&lt;Input!$D$16,1,0))</f>
        <v>0</v>
      </c>
      <c r="AA8" s="65">
        <f>IF(AA$6="","",IF(AA$6&lt;Input!$D$16,1,0))</f>
        <v>0</v>
      </c>
      <c r="AB8" s="65">
        <f>IF(AB$6="","",IF(AB$6&lt;Input!$D$16,1,0))</f>
        <v>0</v>
      </c>
      <c r="AC8" s="65">
        <f>IF(AC$6="","",IF(AC$6&lt;Input!$D$16,1,0))</f>
        <v>0</v>
      </c>
      <c r="AD8" s="65">
        <f>IF(AD$6="","",IF(AD$6&lt;Input!$D$16,1,0))</f>
        <v>0</v>
      </c>
      <c r="AE8" s="65">
        <f>IF(AE$6="","",IF(AE$6&lt;Input!$D$16,1,0))</f>
        <v>0</v>
      </c>
      <c r="AF8" s="65">
        <f>IF(AF$6="","",IF(AF$6&lt;Input!$D$16,1,0))</f>
        <v>0</v>
      </c>
    </row>
    <row r="9" spans="1:32" ht="15" customHeight="1">
      <c r="A9" s="69"/>
      <c r="B9" s="69" t="s">
        <v>470</v>
      </c>
      <c r="C9" s="65">
        <f>IF(C$6="","",IF(AND(C$6&gt;=Input!$D$16,C$6&lt;=Input!$D$18),C$6-Input!$D$16+1,0))</f>
        <v>0</v>
      </c>
      <c r="D9" s="65">
        <f>IF(D$6="","",IF(AND(D$6&gt;=Input!$D$16,D$6&lt;=Input!$D$18),D$6-Input!$D$16+1,0))</f>
        <v>0</v>
      </c>
      <c r="E9" s="65">
        <f>IF(E$6="","",IF(AND(E$6&gt;=Input!$D$16,E$6&lt;=Input!$D$18),E$6-Input!$D$16+1,0))</f>
        <v>1</v>
      </c>
      <c r="F9" s="65">
        <f>IF(F$6="","",IF(AND(F$6&gt;=Input!$D$16,F$6&lt;=Input!$D$18),F$6-Input!$D$16+1,0))</f>
        <v>2</v>
      </c>
      <c r="G9" s="65">
        <f>IF(G$6="","",IF(AND(G$6&gt;=Input!$D$16,G$6&lt;=Input!$D$18),G$6-Input!$D$16+1,0))</f>
        <v>3</v>
      </c>
      <c r="H9" s="65">
        <f>IF(H$6="","",IF(AND(H$6&gt;=Input!$D$16,H$6&lt;=Input!$D$18),H$6-Input!$D$16+1,0))</f>
        <v>4</v>
      </c>
      <c r="I9" s="65">
        <f>IF(I$6="","",IF(AND(I$6&gt;=Input!$D$16,I$6&lt;=Input!$D$18),I$6-Input!$D$16+1,0))</f>
        <v>5</v>
      </c>
      <c r="J9" s="65">
        <f>IF(J$6="","",IF(AND(J$6&gt;=Input!$D$16,J$6&lt;=Input!$D$18),J$6-Input!$D$16+1,0))</f>
        <v>6</v>
      </c>
      <c r="K9" s="65">
        <f>IF(K$6="","",IF(AND(K$6&gt;=Input!$D$16,K$6&lt;=Input!$D$18),K$6-Input!$D$16+1,0))</f>
        <v>7</v>
      </c>
      <c r="L9" s="65">
        <f>IF(L$6="","",IF(AND(L$6&gt;=Input!$D$16,L$6&lt;=Input!$D$18),L$6-Input!$D$16+1,0))</f>
        <v>8</v>
      </c>
      <c r="M9" s="65">
        <f>IF(M$6="","",IF(AND(M$6&gt;=Input!$D$16,M$6&lt;=Input!$D$18),M$6-Input!$D$16+1,0))</f>
        <v>9</v>
      </c>
      <c r="N9" s="65">
        <f>IF(N$6="","",IF(AND(N$6&gt;=Input!$D$16,N$6&lt;=Input!$D$18),N$6-Input!$D$16+1,0))</f>
        <v>10</v>
      </c>
      <c r="O9" s="65">
        <f>IF(O$6="","",IF(AND(O$6&gt;=Input!$D$16,O$6&lt;=Input!$D$18),O$6-Input!$D$16+1,0))</f>
        <v>11</v>
      </c>
      <c r="P9" s="65">
        <f>IF(P$6="","",IF(AND(P$6&gt;=Input!$D$16,P$6&lt;=Input!$D$18),P$6-Input!$D$16+1,0))</f>
        <v>12</v>
      </c>
      <c r="Q9" s="65">
        <f>IF(Q$6="","",IF(AND(Q$6&gt;=Input!$D$16,Q$6&lt;=Input!$D$18),Q$6-Input!$D$16+1,0))</f>
        <v>13</v>
      </c>
      <c r="R9" s="65">
        <f>IF(R$6="","",IF(AND(R$6&gt;=Input!$D$16,R$6&lt;=Input!$D$18),R$6-Input!$D$16+1,0))</f>
        <v>14</v>
      </c>
      <c r="S9" s="65">
        <f>IF(S$6="","",IF(AND(S$6&gt;=Input!$D$16,S$6&lt;=Input!$D$18),S$6-Input!$D$16+1,0))</f>
        <v>15</v>
      </c>
      <c r="T9" s="65">
        <f>IF(T$6="","",IF(AND(T$6&gt;=Input!$D$16,T$6&lt;=Input!$D$18),T$6-Input!$D$16+1,0))</f>
        <v>16</v>
      </c>
      <c r="U9" s="65">
        <f>IF(U$6="","",IF(AND(U$6&gt;=Input!$D$16,U$6&lt;=Input!$D$18),U$6-Input!$D$16+1,0))</f>
        <v>17</v>
      </c>
      <c r="V9" s="65">
        <f>IF(V$6="","",IF(AND(V$6&gt;=Input!$D$16,V$6&lt;=Input!$D$18),V$6-Input!$D$16+1,0))</f>
        <v>18</v>
      </c>
      <c r="W9" s="65">
        <f>IF(W$6="","",IF(AND(W$6&gt;=Input!$D$16,W$6&lt;=Input!$D$18),W$6-Input!$D$16+1,0))</f>
        <v>19</v>
      </c>
      <c r="X9" s="65">
        <f>IF(X$6="","",IF(AND(X$6&gt;=Input!$D$16,X$6&lt;=Input!$D$18),X$6-Input!$D$16+1,0))</f>
        <v>20</v>
      </c>
      <c r="Y9" s="65">
        <f>IF(Y$6="","",IF(AND(Y$6&gt;=Input!$D$16,Y$6&lt;=Input!$D$18),Y$6-Input!$D$16+1,0))</f>
        <v>0</v>
      </c>
      <c r="Z9" s="65">
        <f>IF(Z$6="","",IF(AND(Z$6&gt;=Input!$D$16,Z$6&lt;=Input!$D$18),Z$6-Input!$D$16+1,0))</f>
        <v>0</v>
      </c>
      <c r="AA9" s="65">
        <f>IF(AA$6="","",IF(AND(AA$6&gt;=Input!$D$16,AA$6&lt;=Input!$D$18),AA$6-Input!$D$16+1,0))</f>
        <v>0</v>
      </c>
      <c r="AB9" s="65">
        <f>IF(AB$6="","",IF(AND(AB$6&gt;=Input!$D$16,AB$6&lt;=Input!$D$18),AB$6-Input!$D$16+1,0))</f>
        <v>0</v>
      </c>
      <c r="AC9" s="65">
        <f>IF(AC$6="","",IF(AND(AC$6&gt;=Input!$D$16,AC$6&lt;=Input!$D$18),AC$6-Input!$D$16+1,0))</f>
        <v>0</v>
      </c>
      <c r="AD9" s="65">
        <f>IF(AD$6="","",IF(AND(AD$6&gt;=Input!$D$16,AD$6&lt;=Input!$D$18),AD$6-Input!$D$16+1,0))</f>
        <v>0</v>
      </c>
      <c r="AE9" s="65">
        <f>IF(AE$6="","",IF(AND(AE$6&gt;=Input!$D$16,AE$6&lt;=Input!$D$18),AE$6-Input!$D$16+1,0))</f>
        <v>0</v>
      </c>
      <c r="AF9" s="65">
        <f>IF(AF$6="","",IF(AND(AF$6&gt;=Input!$D$16,AF$6&lt;=Input!$D$18),AF$6-Input!$D$16+1,0))</f>
        <v>0</v>
      </c>
    </row>
    <row r="10" spans="1:32" ht="15" customHeight="1">
      <c r="A10" s="69"/>
      <c r="B10" s="69"/>
      <c r="C10" s="64"/>
      <c r="D10" s="64"/>
      <c r="E10" s="64"/>
      <c r="F10" s="64"/>
      <c r="G10" s="64"/>
      <c r="H10" s="64"/>
      <c r="I10" s="64"/>
      <c r="J10" s="64"/>
      <c r="K10" s="64"/>
      <c r="L10" s="64"/>
      <c r="M10" s="64"/>
      <c r="N10" s="64"/>
      <c r="O10" s="64"/>
      <c r="P10" s="64"/>
      <c r="Q10" s="64"/>
      <c r="R10" s="64"/>
      <c r="S10" s="64"/>
      <c r="T10" s="64"/>
      <c r="U10" s="64"/>
      <c r="V10" s="64"/>
      <c r="W10" s="64"/>
      <c r="X10" s="64"/>
      <c r="Y10" s="64"/>
      <c r="Z10" s="64"/>
      <c r="AA10" s="64"/>
      <c r="AB10" s="64"/>
      <c r="AC10" s="64"/>
      <c r="AD10" s="64"/>
      <c r="AE10" s="64"/>
      <c r="AF10" s="64"/>
    </row>
    <row r="11" spans="1:32" ht="15" customHeight="1">
      <c r="A11" s="140" t="s">
        <v>471</v>
      </c>
      <c r="B11" s="140"/>
      <c r="C11" s="141"/>
      <c r="D11" s="141"/>
      <c r="E11" s="141"/>
      <c r="F11" s="141"/>
      <c r="G11" s="141"/>
      <c r="H11" s="141"/>
      <c r="I11" s="141"/>
      <c r="J11" s="141"/>
      <c r="K11" s="141"/>
      <c r="L11" s="141"/>
      <c r="M11" s="141"/>
      <c r="N11" s="141"/>
      <c r="O11" s="141"/>
      <c r="P11" s="141"/>
      <c r="Q11" s="141"/>
      <c r="R11" s="141"/>
      <c r="S11" s="141"/>
      <c r="T11" s="141"/>
      <c r="U11" s="141"/>
      <c r="V11" s="141"/>
      <c r="W11" s="141"/>
      <c r="X11" s="141"/>
      <c r="Y11" s="141"/>
      <c r="Z11" s="141"/>
      <c r="AA11" s="141"/>
      <c r="AB11" s="141"/>
      <c r="AC11" s="141"/>
      <c r="AD11" s="141"/>
      <c r="AE11" s="141"/>
      <c r="AF11" s="141"/>
    </row>
    <row r="12" spans="1:32" ht="15" customHeight="1">
      <c r="A12" s="71" t="s">
        <v>219</v>
      </c>
      <c r="B12" s="71" t="s">
        <v>269</v>
      </c>
      <c r="C12" s="42">
        <f>IF(C$8=1,INDEX(Input!$D$35:$D$39,C$7+1),0)</f>
        <v>0.4</v>
      </c>
      <c r="D12" s="42">
        <f>IF(D$8=1,INDEX(Input!$D$35:$D$39,D$7+1),0)</f>
        <v>0.6</v>
      </c>
      <c r="E12" s="42">
        <f>IF(E$8=1,INDEX(Input!$D$35:$D$39,E$7+1),0)</f>
        <v>0</v>
      </c>
      <c r="F12" s="42">
        <f>IF(F$8=1,INDEX(Input!$D$35:$D$39,F$7+1),0)</f>
        <v>0</v>
      </c>
      <c r="G12" s="42">
        <f>IF(G$8=1,INDEX(Input!$D$35:$D$39,G$7+1),0)</f>
        <v>0</v>
      </c>
      <c r="H12" s="42">
        <f>IF(H$8=1,INDEX(Input!$D$35:$D$39,H$7+1),0)</f>
        <v>0</v>
      </c>
      <c r="I12" s="42">
        <f>IF(I$8=1,INDEX(Input!$D$35:$D$39,I$7+1),0)</f>
        <v>0</v>
      </c>
      <c r="J12" s="42">
        <f>IF(J$8=1,INDEX(Input!$D$35:$D$39,J$7+1),0)</f>
        <v>0</v>
      </c>
      <c r="K12" s="42">
        <f>IF(K$8=1,INDEX(Input!$D$35:$D$39,K$7+1),0)</f>
        <v>0</v>
      </c>
      <c r="L12" s="42">
        <f>IF(L$8=1,INDEX(Input!$D$35:$D$39,L$7+1),0)</f>
        <v>0</v>
      </c>
      <c r="M12" s="42">
        <f>IF(M$8=1,INDEX(Input!$D$35:$D$39,M$7+1),0)</f>
        <v>0</v>
      </c>
      <c r="N12" s="42">
        <f>IF(N$8=1,INDEX(Input!$D$35:$D$39,N$7+1),0)</f>
        <v>0</v>
      </c>
      <c r="O12" s="42">
        <f>IF(O$8=1,INDEX(Input!$D$35:$D$39,O$7+1),0)</f>
        <v>0</v>
      </c>
      <c r="P12" s="42">
        <f>IF(P$8=1,INDEX(Input!$D$35:$D$39,P$7+1),0)</f>
        <v>0</v>
      </c>
      <c r="Q12" s="42">
        <f>IF(Q$8=1,INDEX(Input!$D$35:$D$39,Q$7+1),0)</f>
        <v>0</v>
      </c>
      <c r="R12" s="42">
        <f>IF(R$8=1,INDEX(Input!$D$35:$D$39,R$7+1),0)</f>
        <v>0</v>
      </c>
      <c r="S12" s="42">
        <f>IF(S$8=1,INDEX(Input!$D$35:$D$39,S$7+1),0)</f>
        <v>0</v>
      </c>
      <c r="T12" s="42">
        <f>IF(T$8=1,INDEX(Input!$D$35:$D$39,T$7+1),0)</f>
        <v>0</v>
      </c>
      <c r="U12" s="42">
        <f>IF(U$8=1,INDEX(Input!$D$35:$D$39,U$7+1),0)</f>
        <v>0</v>
      </c>
      <c r="V12" s="42">
        <f>IF(V$8=1,INDEX(Input!$D$35:$D$39,V$7+1),0)</f>
        <v>0</v>
      </c>
      <c r="W12" s="42">
        <f>IF(W$8=1,INDEX(Input!$D$35:$D$39,W$7+1),0)</f>
        <v>0</v>
      </c>
      <c r="X12" s="42">
        <f>IF(X$8=1,INDEX(Input!$D$35:$D$39,X$7+1),0)</f>
        <v>0</v>
      </c>
      <c r="Y12" s="42">
        <f>IF(Y$8=1,INDEX(Input!$D$35:$D$39,Y$7+1),0)</f>
        <v>0</v>
      </c>
      <c r="Z12" s="42">
        <f>IF(Z$8=1,INDEX(Input!$D$35:$D$39,Z$7+1),0)</f>
        <v>0</v>
      </c>
      <c r="AA12" s="42">
        <f>IF(AA$8=1,INDEX(Input!$D$35:$D$39,AA$7+1),0)</f>
        <v>0</v>
      </c>
      <c r="AB12" s="42">
        <f>IF(AB$8=1,INDEX(Input!$D$35:$D$39,AB$7+1),0)</f>
        <v>0</v>
      </c>
      <c r="AC12" s="42">
        <f>IF(AC$8=1,INDEX(Input!$D$35:$D$39,AC$7+1),0)</f>
        <v>0</v>
      </c>
      <c r="AD12" s="42">
        <f>IF(AD$8=1,INDEX(Input!$D$35:$D$39,AD$7+1),0)</f>
        <v>0</v>
      </c>
      <c r="AE12" s="42">
        <f>IF(AE$8=1,INDEX(Input!$D$35:$D$39,AE$7+1),0)</f>
        <v>0</v>
      </c>
      <c r="AF12" s="42">
        <f>IF(AF$8=1,INDEX(Input!$D$35:$D$39,AF$7+1),0)</f>
        <v>0</v>
      </c>
    </row>
    <row r="13" spans="1:32" ht="15" customHeight="1">
      <c r="A13" s="71" t="s">
        <v>224</v>
      </c>
      <c r="B13" s="72" t="s">
        <v>472</v>
      </c>
      <c r="C13" s="43">
        <f>Input!$D$21*C12</f>
        <v>2446</v>
      </c>
      <c r="D13" s="43">
        <f>Input!$D$21*D12</f>
        <v>3669</v>
      </c>
      <c r="E13" s="43">
        <f>Input!$D$21*E12</f>
        <v>0</v>
      </c>
      <c r="F13" s="43">
        <f>Input!$D$21*F12</f>
        <v>0</v>
      </c>
      <c r="G13" s="43">
        <f>Input!$D$21*G12</f>
        <v>0</v>
      </c>
      <c r="H13" s="43">
        <f>Input!$D$21*H12</f>
        <v>0</v>
      </c>
      <c r="I13" s="43">
        <f>Input!$D$21*I12</f>
        <v>0</v>
      </c>
      <c r="J13" s="43">
        <f>Input!$D$21*J12</f>
        <v>0</v>
      </c>
      <c r="K13" s="43">
        <f>Input!$D$21*K12</f>
        <v>0</v>
      </c>
      <c r="L13" s="43">
        <f>Input!$D$21*L12</f>
        <v>0</v>
      </c>
      <c r="M13" s="43">
        <f>Input!$D$21*M12</f>
        <v>0</v>
      </c>
      <c r="N13" s="43">
        <f>Input!$D$21*N12</f>
        <v>0</v>
      </c>
      <c r="O13" s="43">
        <f>Input!$D$21*O12</f>
        <v>0</v>
      </c>
      <c r="P13" s="43">
        <f>Input!$D$21*P12</f>
        <v>0</v>
      </c>
      <c r="Q13" s="43">
        <f>Input!$D$21*Q12</f>
        <v>0</v>
      </c>
      <c r="R13" s="43">
        <f>Input!$D$21*R12</f>
        <v>0</v>
      </c>
      <c r="S13" s="43">
        <f>Input!$D$21*S12</f>
        <v>0</v>
      </c>
      <c r="T13" s="43">
        <f>Input!$D$21*T12</f>
        <v>0</v>
      </c>
      <c r="U13" s="43">
        <f>Input!$D$21*U12</f>
        <v>0</v>
      </c>
      <c r="V13" s="43">
        <f>Input!$D$21*V12</f>
        <v>0</v>
      </c>
      <c r="W13" s="43">
        <f>Input!$D$21*W12</f>
        <v>0</v>
      </c>
      <c r="X13" s="43">
        <f>Input!$D$21*X12</f>
        <v>0</v>
      </c>
      <c r="Y13" s="43">
        <f>Input!$D$21*Y12</f>
        <v>0</v>
      </c>
      <c r="Z13" s="43">
        <f>Input!$D$21*Z12</f>
        <v>0</v>
      </c>
      <c r="AA13" s="43">
        <f>Input!$D$21*AA12</f>
        <v>0</v>
      </c>
      <c r="AB13" s="43">
        <f>Input!$D$21*AB12</f>
        <v>0</v>
      </c>
      <c r="AC13" s="43">
        <f>Input!$D$21*AC12</f>
        <v>0</v>
      </c>
      <c r="AD13" s="43">
        <f>Input!$D$21*AD12</f>
        <v>0</v>
      </c>
      <c r="AE13" s="43">
        <f>Input!$D$21*AE12</f>
        <v>0</v>
      </c>
      <c r="AF13" s="43">
        <f>Input!$D$21*AF12</f>
        <v>0</v>
      </c>
    </row>
    <row r="14" spans="1:32" ht="15" customHeight="1">
      <c r="A14" s="71" t="s">
        <v>229</v>
      </c>
      <c r="B14" s="71" t="s">
        <v>473</v>
      </c>
      <c r="C14" s="44">
        <f>C13*Input!$D$23</f>
        <v>244.60000000000002</v>
      </c>
      <c r="D14" s="44">
        <f>D13*Input!$D$23</f>
        <v>366.90000000000003</v>
      </c>
      <c r="E14" s="44">
        <f>E13*Input!$D$23</f>
        <v>0</v>
      </c>
      <c r="F14" s="44">
        <f>F13*Input!$D$23</f>
        <v>0</v>
      </c>
      <c r="G14" s="44">
        <f>G13*Input!$D$23</f>
        <v>0</v>
      </c>
      <c r="H14" s="44">
        <f>H13*Input!$D$23</f>
        <v>0</v>
      </c>
      <c r="I14" s="44">
        <f>I13*Input!$D$23</f>
        <v>0</v>
      </c>
      <c r="J14" s="44">
        <f>J13*Input!$D$23</f>
        <v>0</v>
      </c>
      <c r="K14" s="44">
        <f>K13*Input!$D$23</f>
        <v>0</v>
      </c>
      <c r="L14" s="44">
        <f>L13*Input!$D$23</f>
        <v>0</v>
      </c>
      <c r="M14" s="44">
        <f>M13*Input!$D$23</f>
        <v>0</v>
      </c>
      <c r="N14" s="44">
        <f>N13*Input!$D$23</f>
        <v>0</v>
      </c>
      <c r="O14" s="44">
        <f>O13*Input!$D$23</f>
        <v>0</v>
      </c>
      <c r="P14" s="44">
        <f>P13*Input!$D$23</f>
        <v>0</v>
      </c>
      <c r="Q14" s="44">
        <f>Q13*Input!$D$23</f>
        <v>0</v>
      </c>
      <c r="R14" s="44">
        <f>R13*Input!$D$23</f>
        <v>0</v>
      </c>
      <c r="S14" s="44">
        <f>S13*Input!$D$23</f>
        <v>0</v>
      </c>
      <c r="T14" s="44">
        <f>T13*Input!$D$23</f>
        <v>0</v>
      </c>
      <c r="U14" s="44">
        <f>U13*Input!$D$23</f>
        <v>0</v>
      </c>
      <c r="V14" s="44">
        <f>V13*Input!$D$23</f>
        <v>0</v>
      </c>
      <c r="W14" s="44">
        <f>W13*Input!$D$23</f>
        <v>0</v>
      </c>
      <c r="X14" s="44">
        <f>X13*Input!$D$23</f>
        <v>0</v>
      </c>
      <c r="Y14" s="44">
        <f>Y13*Input!$D$23</f>
        <v>0</v>
      </c>
      <c r="Z14" s="44">
        <f>Z13*Input!$D$23</f>
        <v>0</v>
      </c>
      <c r="AA14" s="44">
        <f>AA13*Input!$D$23</f>
        <v>0</v>
      </c>
      <c r="AB14" s="44">
        <f>AB13*Input!$D$23</f>
        <v>0</v>
      </c>
      <c r="AC14" s="44">
        <f>AC13*Input!$D$23</f>
        <v>0</v>
      </c>
      <c r="AD14" s="44">
        <f>AD13*Input!$D$23</f>
        <v>0</v>
      </c>
      <c r="AE14" s="44">
        <f>AE13*Input!$D$23</f>
        <v>0</v>
      </c>
      <c r="AF14" s="44">
        <f>AF13*Input!$D$23</f>
        <v>0</v>
      </c>
    </row>
    <row r="15" spans="1:32" ht="15" customHeight="1">
      <c r="A15" s="71" t="s">
        <v>234</v>
      </c>
      <c r="B15" s="72" t="s">
        <v>474</v>
      </c>
      <c r="C15" s="43">
        <f t="shared" ref="C15:AF15" si="0">SUM(C13:C14)</f>
        <v>2690.6</v>
      </c>
      <c r="D15" s="43">
        <f t="shared" si="0"/>
        <v>4035.9</v>
      </c>
      <c r="E15" s="43">
        <f t="shared" si="0"/>
        <v>0</v>
      </c>
      <c r="F15" s="43">
        <f t="shared" si="0"/>
        <v>0</v>
      </c>
      <c r="G15" s="43">
        <f t="shared" si="0"/>
        <v>0</v>
      </c>
      <c r="H15" s="43">
        <f t="shared" si="0"/>
        <v>0</v>
      </c>
      <c r="I15" s="43">
        <f t="shared" si="0"/>
        <v>0</v>
      </c>
      <c r="J15" s="43">
        <f t="shared" si="0"/>
        <v>0</v>
      </c>
      <c r="K15" s="43">
        <f t="shared" si="0"/>
        <v>0</v>
      </c>
      <c r="L15" s="43">
        <f t="shared" si="0"/>
        <v>0</v>
      </c>
      <c r="M15" s="43">
        <f t="shared" si="0"/>
        <v>0</v>
      </c>
      <c r="N15" s="43">
        <f t="shared" si="0"/>
        <v>0</v>
      </c>
      <c r="O15" s="43">
        <f t="shared" si="0"/>
        <v>0</v>
      </c>
      <c r="P15" s="43">
        <f t="shared" si="0"/>
        <v>0</v>
      </c>
      <c r="Q15" s="43">
        <f t="shared" si="0"/>
        <v>0</v>
      </c>
      <c r="R15" s="43">
        <f t="shared" si="0"/>
        <v>0</v>
      </c>
      <c r="S15" s="43">
        <f t="shared" si="0"/>
        <v>0</v>
      </c>
      <c r="T15" s="43">
        <f t="shared" si="0"/>
        <v>0</v>
      </c>
      <c r="U15" s="43">
        <f t="shared" si="0"/>
        <v>0</v>
      </c>
      <c r="V15" s="43">
        <f t="shared" si="0"/>
        <v>0</v>
      </c>
      <c r="W15" s="43">
        <f t="shared" si="0"/>
        <v>0</v>
      </c>
      <c r="X15" s="43">
        <f t="shared" si="0"/>
        <v>0</v>
      </c>
      <c r="Y15" s="43">
        <f t="shared" si="0"/>
        <v>0</v>
      </c>
      <c r="Z15" s="43">
        <f t="shared" si="0"/>
        <v>0</v>
      </c>
      <c r="AA15" s="43">
        <f t="shared" si="0"/>
        <v>0</v>
      </c>
      <c r="AB15" s="43">
        <f t="shared" si="0"/>
        <v>0</v>
      </c>
      <c r="AC15" s="43">
        <f t="shared" si="0"/>
        <v>0</v>
      </c>
      <c r="AD15" s="43">
        <f t="shared" si="0"/>
        <v>0</v>
      </c>
      <c r="AE15" s="43">
        <f t="shared" si="0"/>
        <v>0</v>
      </c>
      <c r="AF15" s="43">
        <f t="shared" si="0"/>
        <v>0</v>
      </c>
    </row>
    <row r="16" spans="1:32" ht="15" customHeight="1">
      <c r="A16" s="71" t="s">
        <v>238</v>
      </c>
      <c r="B16" s="71" t="s">
        <v>475</v>
      </c>
      <c r="C16" s="44">
        <f>C14*Input!$D$24</f>
        <v>244.60000000000002</v>
      </c>
      <c r="D16" s="44">
        <f>D14*Input!$D$24</f>
        <v>366.90000000000003</v>
      </c>
      <c r="E16" s="44">
        <f>E14*Input!$D$24</f>
        <v>0</v>
      </c>
      <c r="F16" s="44">
        <f>F14*Input!$D$24</f>
        <v>0</v>
      </c>
      <c r="G16" s="44">
        <f>G14*Input!$D$24</f>
        <v>0</v>
      </c>
      <c r="H16" s="44">
        <f>H14*Input!$D$24</f>
        <v>0</v>
      </c>
      <c r="I16" s="44">
        <f>I14*Input!$D$24</f>
        <v>0</v>
      </c>
      <c r="J16" s="44">
        <f>J14*Input!$D$24</f>
        <v>0</v>
      </c>
      <c r="K16" s="44">
        <f>K14*Input!$D$24</f>
        <v>0</v>
      </c>
      <c r="L16" s="44">
        <f>L14*Input!$D$24</f>
        <v>0</v>
      </c>
      <c r="M16" s="44">
        <f>M14*Input!$D$24</f>
        <v>0</v>
      </c>
      <c r="N16" s="44">
        <f>N14*Input!$D$24</f>
        <v>0</v>
      </c>
      <c r="O16" s="44">
        <f>O14*Input!$D$24</f>
        <v>0</v>
      </c>
      <c r="P16" s="44">
        <f>P14*Input!$D$24</f>
        <v>0</v>
      </c>
      <c r="Q16" s="44">
        <f>Q14*Input!$D$24</f>
        <v>0</v>
      </c>
      <c r="R16" s="44">
        <f>R14*Input!$D$24</f>
        <v>0</v>
      </c>
      <c r="S16" s="44">
        <f>S14*Input!$D$24</f>
        <v>0</v>
      </c>
      <c r="T16" s="44">
        <f>T14*Input!$D$24</f>
        <v>0</v>
      </c>
      <c r="U16" s="44">
        <f>U14*Input!$D$24</f>
        <v>0</v>
      </c>
      <c r="V16" s="44">
        <f>V14*Input!$D$24</f>
        <v>0</v>
      </c>
      <c r="W16" s="44">
        <f>W14*Input!$D$24</f>
        <v>0</v>
      </c>
      <c r="X16" s="44">
        <f>X14*Input!$D$24</f>
        <v>0</v>
      </c>
      <c r="Y16" s="44">
        <f>Y14*Input!$D$24</f>
        <v>0</v>
      </c>
      <c r="Z16" s="44">
        <f>Z14*Input!$D$24</f>
        <v>0</v>
      </c>
      <c r="AA16" s="44">
        <f>AA14*Input!$D$24</f>
        <v>0</v>
      </c>
      <c r="AB16" s="44">
        <f>AB14*Input!$D$24</f>
        <v>0</v>
      </c>
      <c r="AC16" s="44">
        <f>AC14*Input!$D$24</f>
        <v>0</v>
      </c>
      <c r="AD16" s="44">
        <f>AD14*Input!$D$24</f>
        <v>0</v>
      </c>
      <c r="AE16" s="44">
        <f>AE14*Input!$D$24</f>
        <v>0</v>
      </c>
      <c r="AF16" s="44">
        <f>AF14*Input!$D$24</f>
        <v>0</v>
      </c>
    </row>
    <row r="17" spans="1:32" ht="15" customHeight="1">
      <c r="A17" s="71" t="s">
        <v>242</v>
      </c>
      <c r="B17" s="71" t="s">
        <v>476</v>
      </c>
      <c r="C17" s="44">
        <f>IF(C$6="",0,SUMIFS($C$16:$AF$16,$C$6:$AF$6,C$6-Input!$D$27))</f>
        <v>0</v>
      </c>
      <c r="D17" s="44">
        <f>IF(D$6="",0,SUMIFS($C$16:$AF$16,$C$6:$AF$6,D$6-Input!$D$27))</f>
        <v>244.60000000000002</v>
      </c>
      <c r="E17" s="44">
        <f>IF(E$6="",0,SUMIFS($C$16:$AF$16,$C$6:$AF$6,E$6-Input!$D$27))</f>
        <v>366.90000000000003</v>
      </c>
      <c r="F17" s="44">
        <f>IF(F$6="",0,SUMIFS($C$16:$AF$16,$C$6:$AF$6,F$6-Input!$D$27))</f>
        <v>0</v>
      </c>
      <c r="G17" s="44">
        <f>IF(G$6="",0,SUMIFS($C$16:$AF$16,$C$6:$AF$6,G$6-Input!$D$27))</f>
        <v>0</v>
      </c>
      <c r="H17" s="44">
        <f>IF(H$6="",0,SUMIFS($C$16:$AF$16,$C$6:$AF$6,H$6-Input!$D$27))</f>
        <v>0</v>
      </c>
      <c r="I17" s="44">
        <f>IF(I$6="",0,SUMIFS($C$16:$AF$16,$C$6:$AF$6,I$6-Input!$D$27))</f>
        <v>0</v>
      </c>
      <c r="J17" s="44">
        <f>IF(J$6="",0,SUMIFS($C$16:$AF$16,$C$6:$AF$6,J$6-Input!$D$27))</f>
        <v>0</v>
      </c>
      <c r="K17" s="44">
        <f>IF(K$6="",0,SUMIFS($C$16:$AF$16,$C$6:$AF$6,K$6-Input!$D$27))</f>
        <v>0</v>
      </c>
      <c r="L17" s="44">
        <f>IF(L$6="",0,SUMIFS($C$16:$AF$16,$C$6:$AF$6,L$6-Input!$D$27))</f>
        <v>0</v>
      </c>
      <c r="M17" s="44">
        <f>IF(M$6="",0,SUMIFS($C$16:$AF$16,$C$6:$AF$6,M$6-Input!$D$27))</f>
        <v>0</v>
      </c>
      <c r="N17" s="44">
        <f>IF(N$6="",0,SUMIFS($C$16:$AF$16,$C$6:$AF$6,N$6-Input!$D$27))</f>
        <v>0</v>
      </c>
      <c r="O17" s="44">
        <f>IF(O$6="",0,SUMIFS($C$16:$AF$16,$C$6:$AF$6,O$6-Input!$D$27))</f>
        <v>0</v>
      </c>
      <c r="P17" s="44">
        <f>IF(P$6="",0,SUMIFS($C$16:$AF$16,$C$6:$AF$6,P$6-Input!$D$27))</f>
        <v>0</v>
      </c>
      <c r="Q17" s="44">
        <f>IF(Q$6="",0,SUMIFS($C$16:$AF$16,$C$6:$AF$6,Q$6-Input!$D$27))</f>
        <v>0</v>
      </c>
      <c r="R17" s="44">
        <f>IF(R$6="",0,SUMIFS($C$16:$AF$16,$C$6:$AF$6,R$6-Input!$D$27))</f>
        <v>0</v>
      </c>
      <c r="S17" s="44">
        <f>IF(S$6="",0,SUMIFS($C$16:$AF$16,$C$6:$AF$6,S$6-Input!$D$27))</f>
        <v>0</v>
      </c>
      <c r="T17" s="44">
        <f>IF(T$6="",0,SUMIFS($C$16:$AF$16,$C$6:$AF$6,T$6-Input!$D$27))</f>
        <v>0</v>
      </c>
      <c r="U17" s="44">
        <f>IF(U$6="",0,SUMIFS($C$16:$AF$16,$C$6:$AF$6,U$6-Input!$D$27))</f>
        <v>0</v>
      </c>
      <c r="V17" s="44">
        <f>IF(V$6="",0,SUMIFS($C$16:$AF$16,$C$6:$AF$6,V$6-Input!$D$27))</f>
        <v>0</v>
      </c>
      <c r="W17" s="44">
        <f>IF(W$6="",0,SUMIFS($C$16:$AF$16,$C$6:$AF$6,W$6-Input!$D$27))</f>
        <v>0</v>
      </c>
      <c r="X17" s="44">
        <f>IF(X$6="",0,SUMIFS($C$16:$AF$16,$C$6:$AF$6,X$6-Input!$D$27))</f>
        <v>0</v>
      </c>
      <c r="Y17" s="44">
        <f>IF(Y$6="",0,SUMIFS($C$16:$AF$16,$C$6:$AF$6,Y$6-Input!$D$27))</f>
        <v>0</v>
      </c>
      <c r="Z17" s="44">
        <f>IF(Z$6="",0,SUMIFS($C$16:$AF$16,$C$6:$AF$6,Z$6-Input!$D$27))</f>
        <v>0</v>
      </c>
      <c r="AA17" s="44">
        <f>IF(AA$6="",0,SUMIFS($C$16:$AF$16,$C$6:$AF$6,AA$6-Input!$D$27))</f>
        <v>0</v>
      </c>
      <c r="AB17" s="44">
        <f>IF(AB$6="",0,SUMIFS($C$16:$AF$16,$C$6:$AF$6,AB$6-Input!$D$27))</f>
        <v>0</v>
      </c>
      <c r="AC17" s="44">
        <f>IF(AC$6="",0,SUMIFS($C$16:$AF$16,$C$6:$AF$6,AC$6-Input!$D$27))</f>
        <v>0</v>
      </c>
      <c r="AD17" s="44">
        <f>IF(AD$6="",0,SUMIFS($C$16:$AF$16,$C$6:$AF$6,AD$6-Input!$D$27))</f>
        <v>0</v>
      </c>
      <c r="AE17" s="44">
        <f>IF(AE$6="",0,SUMIFS($C$16:$AF$16,$C$6:$AF$6,AE$6-Input!$D$27))</f>
        <v>0</v>
      </c>
      <c r="AF17" s="44">
        <f>IF(AF$6="",0,SUMIFS($C$16:$AF$16,$C$6:$AF$6,AF$6-Input!$D$27))</f>
        <v>0</v>
      </c>
    </row>
    <row r="18" spans="1:32" ht="15" customHeight="1">
      <c r="A18" s="71" t="s">
        <v>246</v>
      </c>
      <c r="B18" s="71" t="s">
        <v>477</v>
      </c>
      <c r="C18" s="44">
        <f t="shared" ref="C18:AF18" si="1">C14-C16</f>
        <v>0</v>
      </c>
      <c r="D18" s="44">
        <f t="shared" si="1"/>
        <v>0</v>
      </c>
      <c r="E18" s="44">
        <f t="shared" si="1"/>
        <v>0</v>
      </c>
      <c r="F18" s="44">
        <f t="shared" si="1"/>
        <v>0</v>
      </c>
      <c r="G18" s="44">
        <f t="shared" si="1"/>
        <v>0</v>
      </c>
      <c r="H18" s="44">
        <f t="shared" si="1"/>
        <v>0</v>
      </c>
      <c r="I18" s="44">
        <f t="shared" si="1"/>
        <v>0</v>
      </c>
      <c r="J18" s="44">
        <f t="shared" si="1"/>
        <v>0</v>
      </c>
      <c r="K18" s="44">
        <f t="shared" si="1"/>
        <v>0</v>
      </c>
      <c r="L18" s="44">
        <f t="shared" si="1"/>
        <v>0</v>
      </c>
      <c r="M18" s="44">
        <f t="shared" si="1"/>
        <v>0</v>
      </c>
      <c r="N18" s="44">
        <f t="shared" si="1"/>
        <v>0</v>
      </c>
      <c r="O18" s="44">
        <f t="shared" si="1"/>
        <v>0</v>
      </c>
      <c r="P18" s="44">
        <f t="shared" si="1"/>
        <v>0</v>
      </c>
      <c r="Q18" s="44">
        <f t="shared" si="1"/>
        <v>0</v>
      </c>
      <c r="R18" s="44">
        <f t="shared" si="1"/>
        <v>0</v>
      </c>
      <c r="S18" s="44">
        <f t="shared" si="1"/>
        <v>0</v>
      </c>
      <c r="T18" s="44">
        <f t="shared" si="1"/>
        <v>0</v>
      </c>
      <c r="U18" s="44">
        <f t="shared" si="1"/>
        <v>0</v>
      </c>
      <c r="V18" s="44">
        <f t="shared" si="1"/>
        <v>0</v>
      </c>
      <c r="W18" s="44">
        <f t="shared" si="1"/>
        <v>0</v>
      </c>
      <c r="X18" s="44">
        <f t="shared" si="1"/>
        <v>0</v>
      </c>
      <c r="Y18" s="44">
        <f t="shared" si="1"/>
        <v>0</v>
      </c>
      <c r="Z18" s="44">
        <f t="shared" si="1"/>
        <v>0</v>
      </c>
      <c r="AA18" s="44">
        <f t="shared" si="1"/>
        <v>0</v>
      </c>
      <c r="AB18" s="44">
        <f t="shared" si="1"/>
        <v>0</v>
      </c>
      <c r="AC18" s="44">
        <f t="shared" si="1"/>
        <v>0</v>
      </c>
      <c r="AD18" s="44">
        <f t="shared" si="1"/>
        <v>0</v>
      </c>
      <c r="AE18" s="44">
        <f t="shared" si="1"/>
        <v>0</v>
      </c>
      <c r="AF18" s="44">
        <f t="shared" si="1"/>
        <v>0</v>
      </c>
    </row>
    <row r="19" spans="1:32" ht="15" customHeight="1">
      <c r="A19" s="71" t="s">
        <v>251</v>
      </c>
      <c r="B19" s="72" t="s">
        <v>478</v>
      </c>
      <c r="C19" s="43">
        <f t="shared" ref="C19:AF19" si="2">SUM(C13,C18)</f>
        <v>2446</v>
      </c>
      <c r="D19" s="43">
        <f t="shared" si="2"/>
        <v>3669</v>
      </c>
      <c r="E19" s="43">
        <f t="shared" si="2"/>
        <v>0</v>
      </c>
      <c r="F19" s="43">
        <f t="shared" si="2"/>
        <v>0</v>
      </c>
      <c r="G19" s="43">
        <f t="shared" si="2"/>
        <v>0</v>
      </c>
      <c r="H19" s="43">
        <f t="shared" si="2"/>
        <v>0</v>
      </c>
      <c r="I19" s="43">
        <f t="shared" si="2"/>
        <v>0</v>
      </c>
      <c r="J19" s="43">
        <f t="shared" si="2"/>
        <v>0</v>
      </c>
      <c r="K19" s="43">
        <f t="shared" si="2"/>
        <v>0</v>
      </c>
      <c r="L19" s="43">
        <f t="shared" si="2"/>
        <v>0</v>
      </c>
      <c r="M19" s="43">
        <f t="shared" si="2"/>
        <v>0</v>
      </c>
      <c r="N19" s="43">
        <f t="shared" si="2"/>
        <v>0</v>
      </c>
      <c r="O19" s="43">
        <f t="shared" si="2"/>
        <v>0</v>
      </c>
      <c r="P19" s="43">
        <f t="shared" si="2"/>
        <v>0</v>
      </c>
      <c r="Q19" s="43">
        <f t="shared" si="2"/>
        <v>0</v>
      </c>
      <c r="R19" s="43">
        <f t="shared" si="2"/>
        <v>0</v>
      </c>
      <c r="S19" s="43">
        <f t="shared" si="2"/>
        <v>0</v>
      </c>
      <c r="T19" s="43">
        <f t="shared" si="2"/>
        <v>0</v>
      </c>
      <c r="U19" s="43">
        <f t="shared" si="2"/>
        <v>0</v>
      </c>
      <c r="V19" s="43">
        <f t="shared" si="2"/>
        <v>0</v>
      </c>
      <c r="W19" s="43">
        <f t="shared" si="2"/>
        <v>0</v>
      </c>
      <c r="X19" s="43">
        <f t="shared" si="2"/>
        <v>0</v>
      </c>
      <c r="Y19" s="43">
        <f t="shared" si="2"/>
        <v>0</v>
      </c>
      <c r="Z19" s="43">
        <f t="shared" si="2"/>
        <v>0</v>
      </c>
      <c r="AA19" s="43">
        <f t="shared" si="2"/>
        <v>0</v>
      </c>
      <c r="AB19" s="43">
        <f t="shared" si="2"/>
        <v>0</v>
      </c>
      <c r="AC19" s="43">
        <f t="shared" si="2"/>
        <v>0</v>
      </c>
      <c r="AD19" s="43">
        <f t="shared" si="2"/>
        <v>0</v>
      </c>
      <c r="AE19" s="43">
        <f t="shared" si="2"/>
        <v>0</v>
      </c>
      <c r="AF19" s="43">
        <f t="shared" si="2"/>
        <v>0</v>
      </c>
    </row>
    <row r="20" spans="1:32" ht="15" customHeight="1">
      <c r="A20" s="71" t="s">
        <v>255</v>
      </c>
      <c r="B20" s="72" t="s">
        <v>479</v>
      </c>
      <c r="C20" s="43">
        <f>C19*Input!$D$58</f>
        <v>1712.1999999999998</v>
      </c>
      <c r="D20" s="43">
        <f>D19*Input!$D$58</f>
        <v>2568.2999999999997</v>
      </c>
      <c r="E20" s="43">
        <f>E19*Input!$D$58</f>
        <v>0</v>
      </c>
      <c r="F20" s="43">
        <f>F19*Input!$D$58</f>
        <v>0</v>
      </c>
      <c r="G20" s="43">
        <f>G19*Input!$D$58</f>
        <v>0</v>
      </c>
      <c r="H20" s="43">
        <f>H19*Input!$D$58</f>
        <v>0</v>
      </c>
      <c r="I20" s="43">
        <f>I19*Input!$D$58</f>
        <v>0</v>
      </c>
      <c r="J20" s="43">
        <f>J19*Input!$D$58</f>
        <v>0</v>
      </c>
      <c r="K20" s="43">
        <f>K19*Input!$D$58</f>
        <v>0</v>
      </c>
      <c r="L20" s="43">
        <f>L19*Input!$D$58</f>
        <v>0</v>
      </c>
      <c r="M20" s="43">
        <f>M19*Input!$D$58</f>
        <v>0</v>
      </c>
      <c r="N20" s="43">
        <f>N19*Input!$D$58</f>
        <v>0</v>
      </c>
      <c r="O20" s="43">
        <f>O19*Input!$D$58</f>
        <v>0</v>
      </c>
      <c r="P20" s="43">
        <f>P19*Input!$D$58</f>
        <v>0</v>
      </c>
      <c r="Q20" s="43">
        <f>Q19*Input!$D$58</f>
        <v>0</v>
      </c>
      <c r="R20" s="43">
        <f>R19*Input!$D$58</f>
        <v>0</v>
      </c>
      <c r="S20" s="43">
        <f>S19*Input!$D$58</f>
        <v>0</v>
      </c>
      <c r="T20" s="43">
        <f>T19*Input!$D$58</f>
        <v>0</v>
      </c>
      <c r="U20" s="43">
        <f>U19*Input!$D$58</f>
        <v>0</v>
      </c>
      <c r="V20" s="43">
        <f>V19*Input!$D$58</f>
        <v>0</v>
      </c>
      <c r="W20" s="43">
        <f>W19*Input!$D$58</f>
        <v>0</v>
      </c>
      <c r="X20" s="43">
        <f>X19*Input!$D$58</f>
        <v>0</v>
      </c>
      <c r="Y20" s="43">
        <f>Y19*Input!$D$58</f>
        <v>0</v>
      </c>
      <c r="Z20" s="43">
        <f>Z19*Input!$D$58</f>
        <v>0</v>
      </c>
      <c r="AA20" s="43">
        <f>AA19*Input!$D$58</f>
        <v>0</v>
      </c>
      <c r="AB20" s="43">
        <f>AB19*Input!$D$58</f>
        <v>0</v>
      </c>
      <c r="AC20" s="43">
        <f>AC19*Input!$D$58</f>
        <v>0</v>
      </c>
      <c r="AD20" s="43">
        <f>AD19*Input!$D$58</f>
        <v>0</v>
      </c>
      <c r="AE20" s="43">
        <f>AE19*Input!$D$58</f>
        <v>0</v>
      </c>
      <c r="AF20" s="43">
        <f>AF19*Input!$D$58</f>
        <v>0</v>
      </c>
    </row>
    <row r="21" spans="1:32" ht="15" customHeight="1">
      <c r="A21" s="71" t="s">
        <v>259</v>
      </c>
      <c r="B21" s="71" t="s">
        <v>480</v>
      </c>
      <c r="C21" s="44">
        <f t="shared" ref="C21:AF21" si="3">C19-C20</f>
        <v>733.80000000000018</v>
      </c>
      <c r="D21" s="44">
        <f t="shared" si="3"/>
        <v>1100.7000000000003</v>
      </c>
      <c r="E21" s="44">
        <f t="shared" si="3"/>
        <v>0</v>
      </c>
      <c r="F21" s="44">
        <f t="shared" si="3"/>
        <v>0</v>
      </c>
      <c r="G21" s="44">
        <f t="shared" si="3"/>
        <v>0</v>
      </c>
      <c r="H21" s="44">
        <f t="shared" si="3"/>
        <v>0</v>
      </c>
      <c r="I21" s="44">
        <f t="shared" si="3"/>
        <v>0</v>
      </c>
      <c r="J21" s="44">
        <f t="shared" si="3"/>
        <v>0</v>
      </c>
      <c r="K21" s="44">
        <f t="shared" si="3"/>
        <v>0</v>
      </c>
      <c r="L21" s="44">
        <f t="shared" si="3"/>
        <v>0</v>
      </c>
      <c r="M21" s="44">
        <f t="shared" si="3"/>
        <v>0</v>
      </c>
      <c r="N21" s="44">
        <f t="shared" si="3"/>
        <v>0</v>
      </c>
      <c r="O21" s="44">
        <f t="shared" si="3"/>
        <v>0</v>
      </c>
      <c r="P21" s="44">
        <f t="shared" si="3"/>
        <v>0</v>
      </c>
      <c r="Q21" s="44">
        <f t="shared" si="3"/>
        <v>0</v>
      </c>
      <c r="R21" s="44">
        <f t="shared" si="3"/>
        <v>0</v>
      </c>
      <c r="S21" s="44">
        <f t="shared" si="3"/>
        <v>0</v>
      </c>
      <c r="T21" s="44">
        <f t="shared" si="3"/>
        <v>0</v>
      </c>
      <c r="U21" s="44">
        <f t="shared" si="3"/>
        <v>0</v>
      </c>
      <c r="V21" s="44">
        <f t="shared" si="3"/>
        <v>0</v>
      </c>
      <c r="W21" s="44">
        <f t="shared" si="3"/>
        <v>0</v>
      </c>
      <c r="X21" s="44">
        <f t="shared" si="3"/>
        <v>0</v>
      </c>
      <c r="Y21" s="44">
        <f t="shared" si="3"/>
        <v>0</v>
      </c>
      <c r="Z21" s="44">
        <f t="shared" si="3"/>
        <v>0</v>
      </c>
      <c r="AA21" s="44">
        <f t="shared" si="3"/>
        <v>0</v>
      </c>
      <c r="AB21" s="44">
        <f t="shared" si="3"/>
        <v>0</v>
      </c>
      <c r="AC21" s="44">
        <f t="shared" si="3"/>
        <v>0</v>
      </c>
      <c r="AD21" s="44">
        <f t="shared" si="3"/>
        <v>0</v>
      </c>
      <c r="AE21" s="44">
        <f t="shared" si="3"/>
        <v>0</v>
      </c>
      <c r="AF21" s="44">
        <f t="shared" si="3"/>
        <v>0</v>
      </c>
    </row>
    <row r="22" spans="1:32" ht="15" customHeight="1">
      <c r="A22" s="71" t="s">
        <v>261</v>
      </c>
      <c r="B22" s="71" t="s">
        <v>371</v>
      </c>
      <c r="C22" s="44">
        <f>Input!$D$66*Input!$D$64</f>
        <v>32.103749999999998</v>
      </c>
      <c r="D22" s="44">
        <f>0</f>
        <v>0</v>
      </c>
      <c r="E22" s="44">
        <f>0</f>
        <v>0</v>
      </c>
      <c r="F22" s="44">
        <f>0</f>
        <v>0</v>
      </c>
      <c r="G22" s="44">
        <f>0</f>
        <v>0</v>
      </c>
      <c r="H22" s="44">
        <f>0</f>
        <v>0</v>
      </c>
      <c r="I22" s="44">
        <f>0</f>
        <v>0</v>
      </c>
      <c r="J22" s="44">
        <f>0</f>
        <v>0</v>
      </c>
      <c r="K22" s="44">
        <f>0</f>
        <v>0</v>
      </c>
      <c r="L22" s="44">
        <f>0</f>
        <v>0</v>
      </c>
      <c r="M22" s="44">
        <f>0</f>
        <v>0</v>
      </c>
      <c r="N22" s="44">
        <f>0</f>
        <v>0</v>
      </c>
      <c r="O22" s="44">
        <f>0</f>
        <v>0</v>
      </c>
      <c r="P22" s="44">
        <f>0</f>
        <v>0</v>
      </c>
      <c r="Q22" s="44">
        <f>0</f>
        <v>0</v>
      </c>
      <c r="R22" s="44">
        <f>0</f>
        <v>0</v>
      </c>
      <c r="S22" s="44">
        <f>0</f>
        <v>0</v>
      </c>
      <c r="T22" s="44">
        <f>0</f>
        <v>0</v>
      </c>
      <c r="U22" s="44">
        <f>0</f>
        <v>0</v>
      </c>
      <c r="V22" s="44">
        <f>0</f>
        <v>0</v>
      </c>
      <c r="W22" s="44">
        <f>0</f>
        <v>0</v>
      </c>
      <c r="X22" s="44">
        <f>0</f>
        <v>0</v>
      </c>
      <c r="Y22" s="44">
        <f>0</f>
        <v>0</v>
      </c>
      <c r="Z22" s="44">
        <f>0</f>
        <v>0</v>
      </c>
      <c r="AA22" s="44">
        <f>0</f>
        <v>0</v>
      </c>
      <c r="AB22" s="44">
        <f>0</f>
        <v>0</v>
      </c>
      <c r="AC22" s="44">
        <f>0</f>
        <v>0</v>
      </c>
      <c r="AD22" s="44">
        <f>0</f>
        <v>0</v>
      </c>
      <c r="AE22" s="44">
        <f>0</f>
        <v>0</v>
      </c>
      <c r="AF22" s="44">
        <f>0</f>
        <v>0</v>
      </c>
    </row>
    <row r="23" spans="1:32" ht="15" customHeight="1">
      <c r="A23" s="71" t="s">
        <v>264</v>
      </c>
      <c r="B23" s="71" t="s">
        <v>481</v>
      </c>
      <c r="C23" s="44">
        <f>IF(C$8=1,Debt!C16,0)</f>
        <v>81.329499999999996</v>
      </c>
      <c r="D23" s="44">
        <f>IF(D$8=1,Debt!D16,0)</f>
        <v>284.65324999999996</v>
      </c>
      <c r="E23" s="44">
        <f>IF(E$8=1,Debt!E16,0)</f>
        <v>0</v>
      </c>
      <c r="F23" s="44">
        <f>IF(F$8=1,Debt!F16,0)</f>
        <v>0</v>
      </c>
      <c r="G23" s="44">
        <f>IF(G$8=1,Debt!G16,0)</f>
        <v>0</v>
      </c>
      <c r="H23" s="44">
        <f>IF(H$8=1,Debt!H16,0)</f>
        <v>0</v>
      </c>
      <c r="I23" s="44">
        <f>IF(I$8=1,Debt!I16,0)</f>
        <v>0</v>
      </c>
      <c r="J23" s="44">
        <f>IF(J$8=1,Debt!J16,0)</f>
        <v>0</v>
      </c>
      <c r="K23" s="44">
        <f>IF(K$8=1,Debt!K16,0)</f>
        <v>0</v>
      </c>
      <c r="L23" s="44">
        <f>IF(L$8=1,Debt!L16,0)</f>
        <v>0</v>
      </c>
      <c r="M23" s="44">
        <f>IF(M$8=1,Debt!M16,0)</f>
        <v>0</v>
      </c>
      <c r="N23" s="44">
        <f>IF(N$8=1,Debt!N16,0)</f>
        <v>0</v>
      </c>
      <c r="O23" s="44">
        <f>IF(O$8=1,Debt!O16,0)</f>
        <v>0</v>
      </c>
      <c r="P23" s="44">
        <f>IF(P$8=1,Debt!P16,0)</f>
        <v>0</v>
      </c>
      <c r="Q23" s="44">
        <f>IF(Q$8=1,Debt!Q16,0)</f>
        <v>0</v>
      </c>
      <c r="R23" s="44">
        <f>IF(R$8=1,Debt!R16,0)</f>
        <v>0</v>
      </c>
      <c r="S23" s="44">
        <f>IF(S$8=1,Debt!S16,0)</f>
        <v>0</v>
      </c>
      <c r="T23" s="44">
        <f>IF(T$8=1,Debt!T16,0)</f>
        <v>0</v>
      </c>
      <c r="U23" s="44">
        <f>IF(U$8=1,Debt!U16,0)</f>
        <v>0</v>
      </c>
      <c r="V23" s="44">
        <f>IF(V$8=1,Debt!V16,0)</f>
        <v>0</v>
      </c>
      <c r="W23" s="44">
        <f>IF(W$8=1,Debt!W16,0)</f>
        <v>0</v>
      </c>
      <c r="X23" s="44">
        <f>IF(X$8=1,Debt!X16,0)</f>
        <v>0</v>
      </c>
      <c r="Y23" s="44">
        <f>IF(Y$8=1,Debt!Y16,0)</f>
        <v>0</v>
      </c>
      <c r="Z23" s="44">
        <f>IF(Z$8=1,Debt!Z16,0)</f>
        <v>0</v>
      </c>
      <c r="AA23" s="44">
        <f>IF(AA$8=1,Debt!AA16,0)</f>
        <v>0</v>
      </c>
      <c r="AB23" s="44">
        <f>IF(AB$8=1,Debt!AB16,0)</f>
        <v>0</v>
      </c>
      <c r="AC23" s="44">
        <f>IF(AC$8=1,Debt!AC16,0)</f>
        <v>0</v>
      </c>
      <c r="AD23" s="44">
        <f>IF(AD$8=1,Debt!AD16,0)</f>
        <v>0</v>
      </c>
      <c r="AE23" s="44">
        <f>IF(AE$8=1,Debt!AE16,0)</f>
        <v>0</v>
      </c>
      <c r="AF23" s="44">
        <f>IF(AF$8=1,Debt!AF16,0)</f>
        <v>0</v>
      </c>
    </row>
    <row r="24" spans="1:32" ht="15" customHeight="1">
      <c r="A24" s="71" t="s">
        <v>482</v>
      </c>
      <c r="B24" s="72" t="s">
        <v>483</v>
      </c>
      <c r="C24" s="43">
        <f t="shared" ref="C24:AF24" si="4">C15+C22+IF(C$8=1,C23,0)-C20-C17</f>
        <v>1091.8332500000001</v>
      </c>
      <c r="D24" s="43">
        <f t="shared" si="4"/>
        <v>1507.6532500000003</v>
      </c>
      <c r="E24" s="43">
        <f t="shared" si="4"/>
        <v>-366.90000000000003</v>
      </c>
      <c r="F24" s="43">
        <f t="shared" si="4"/>
        <v>0</v>
      </c>
      <c r="G24" s="43">
        <f t="shared" si="4"/>
        <v>0</v>
      </c>
      <c r="H24" s="43">
        <f t="shared" si="4"/>
        <v>0</v>
      </c>
      <c r="I24" s="43">
        <f t="shared" si="4"/>
        <v>0</v>
      </c>
      <c r="J24" s="43">
        <f t="shared" si="4"/>
        <v>0</v>
      </c>
      <c r="K24" s="43">
        <f t="shared" si="4"/>
        <v>0</v>
      </c>
      <c r="L24" s="43">
        <f t="shared" si="4"/>
        <v>0</v>
      </c>
      <c r="M24" s="43">
        <f t="shared" si="4"/>
        <v>0</v>
      </c>
      <c r="N24" s="43">
        <f t="shared" si="4"/>
        <v>0</v>
      </c>
      <c r="O24" s="43">
        <f t="shared" si="4"/>
        <v>0</v>
      </c>
      <c r="P24" s="43">
        <f t="shared" si="4"/>
        <v>0</v>
      </c>
      <c r="Q24" s="43">
        <f t="shared" si="4"/>
        <v>0</v>
      </c>
      <c r="R24" s="43">
        <f t="shared" si="4"/>
        <v>0</v>
      </c>
      <c r="S24" s="43">
        <f t="shared" si="4"/>
        <v>0</v>
      </c>
      <c r="T24" s="43">
        <f t="shared" si="4"/>
        <v>0</v>
      </c>
      <c r="U24" s="43">
        <f t="shared" si="4"/>
        <v>0</v>
      </c>
      <c r="V24" s="43">
        <f t="shared" si="4"/>
        <v>0</v>
      </c>
      <c r="W24" s="43">
        <f t="shared" si="4"/>
        <v>0</v>
      </c>
      <c r="X24" s="43">
        <f t="shared" si="4"/>
        <v>0</v>
      </c>
      <c r="Y24" s="43">
        <f t="shared" si="4"/>
        <v>0</v>
      </c>
      <c r="Z24" s="43">
        <f t="shared" si="4"/>
        <v>0</v>
      </c>
      <c r="AA24" s="43">
        <f t="shared" si="4"/>
        <v>0</v>
      </c>
      <c r="AB24" s="43">
        <f t="shared" si="4"/>
        <v>0</v>
      </c>
      <c r="AC24" s="43">
        <f t="shared" si="4"/>
        <v>0</v>
      </c>
      <c r="AD24" s="43">
        <f t="shared" si="4"/>
        <v>0</v>
      </c>
      <c r="AE24" s="43">
        <f t="shared" si="4"/>
        <v>0</v>
      </c>
      <c r="AF24" s="43">
        <f t="shared" si="4"/>
        <v>0</v>
      </c>
    </row>
    <row r="25" spans="1:32" ht="15" customHeight="1">
      <c r="A25" s="69"/>
      <c r="B25" s="69"/>
      <c r="C25" s="64"/>
      <c r="D25" s="64"/>
      <c r="E25" s="64"/>
      <c r="F25" s="64"/>
      <c r="G25" s="64"/>
      <c r="H25" s="64"/>
      <c r="I25" s="64"/>
      <c r="J25" s="64"/>
      <c r="K25" s="64"/>
      <c r="L25" s="64"/>
      <c r="M25" s="64"/>
      <c r="N25" s="64"/>
      <c r="O25" s="64"/>
      <c r="P25" s="64"/>
      <c r="Q25" s="64"/>
      <c r="R25" s="64"/>
      <c r="S25" s="64"/>
      <c r="T25" s="64"/>
      <c r="U25" s="64"/>
      <c r="V25" s="64"/>
      <c r="W25" s="64"/>
      <c r="X25" s="64"/>
      <c r="Y25" s="64"/>
      <c r="Z25" s="64"/>
      <c r="AA25" s="64"/>
      <c r="AB25" s="64"/>
      <c r="AC25" s="64"/>
      <c r="AD25" s="64"/>
      <c r="AE25" s="64"/>
      <c r="AF25" s="64"/>
    </row>
    <row r="26" spans="1:32" ht="15" customHeight="1">
      <c r="A26" s="140" t="s">
        <v>484</v>
      </c>
      <c r="B26" s="140"/>
      <c r="C26" s="141"/>
      <c r="D26" s="141"/>
      <c r="E26" s="141"/>
      <c r="F26" s="141"/>
      <c r="G26" s="141"/>
      <c r="H26" s="141"/>
      <c r="I26" s="141"/>
      <c r="J26" s="141"/>
      <c r="K26" s="141"/>
      <c r="L26" s="141"/>
      <c r="M26" s="141"/>
      <c r="N26" s="141"/>
      <c r="O26" s="141"/>
      <c r="P26" s="141"/>
      <c r="Q26" s="141"/>
      <c r="R26" s="141"/>
      <c r="S26" s="141"/>
      <c r="T26" s="141"/>
      <c r="U26" s="141"/>
      <c r="V26" s="141"/>
      <c r="W26" s="141"/>
      <c r="X26" s="141"/>
      <c r="Y26" s="141"/>
      <c r="Z26" s="141"/>
      <c r="AA26" s="141"/>
      <c r="AB26" s="141"/>
      <c r="AC26" s="141"/>
      <c r="AD26" s="141"/>
      <c r="AE26" s="141"/>
      <c r="AF26" s="141"/>
    </row>
    <row r="27" spans="1:32" ht="15" customHeight="1">
      <c r="A27" s="69" t="s">
        <v>452</v>
      </c>
      <c r="B27" s="69" t="s">
        <v>288</v>
      </c>
      <c r="C27" s="66">
        <f>SUM(C12:AF12)</f>
        <v>1</v>
      </c>
      <c r="D27" s="64"/>
      <c r="E27" s="64"/>
      <c r="F27" s="64"/>
      <c r="G27" s="64"/>
      <c r="H27" s="64"/>
      <c r="I27" s="64"/>
      <c r="J27" s="64"/>
      <c r="K27" s="64"/>
      <c r="L27" s="64"/>
      <c r="M27" s="64"/>
      <c r="N27" s="64"/>
      <c r="O27" s="64"/>
      <c r="P27" s="64"/>
      <c r="Q27" s="64"/>
      <c r="R27" s="64"/>
      <c r="S27" s="64"/>
      <c r="T27" s="64"/>
      <c r="U27" s="64"/>
      <c r="V27" s="64"/>
      <c r="W27" s="64"/>
      <c r="X27" s="64"/>
      <c r="Y27" s="64"/>
      <c r="Z27" s="64"/>
      <c r="AA27" s="64"/>
      <c r="AB27" s="64"/>
      <c r="AC27" s="64"/>
      <c r="AD27" s="64"/>
      <c r="AE27" s="64"/>
      <c r="AF27" s="64"/>
    </row>
    <row r="28" spans="1:32" ht="15" customHeight="1">
      <c r="A28" s="69" t="s">
        <v>455</v>
      </c>
      <c r="B28" s="69" t="s">
        <v>220</v>
      </c>
      <c r="C28" s="67">
        <f>SUM(C13:AF13)</f>
        <v>6115</v>
      </c>
      <c r="D28" s="64"/>
      <c r="E28" s="64"/>
      <c r="F28" s="64"/>
      <c r="G28" s="64"/>
      <c r="H28" s="64"/>
      <c r="I28" s="64"/>
      <c r="J28" s="64"/>
      <c r="K28" s="64"/>
      <c r="L28" s="64"/>
      <c r="M28" s="64"/>
      <c r="N28" s="64"/>
      <c r="O28" s="64"/>
      <c r="P28" s="64"/>
      <c r="Q28" s="64"/>
      <c r="R28" s="64"/>
      <c r="S28" s="64"/>
      <c r="T28" s="64"/>
      <c r="U28" s="64"/>
      <c r="V28" s="64"/>
      <c r="W28" s="64"/>
      <c r="X28" s="64"/>
      <c r="Y28" s="64"/>
      <c r="Z28" s="64"/>
      <c r="AA28" s="64"/>
      <c r="AB28" s="64"/>
      <c r="AC28" s="64"/>
      <c r="AD28" s="64"/>
      <c r="AE28" s="64"/>
      <c r="AF28" s="64"/>
    </row>
    <row r="29" spans="1:32" ht="15" customHeight="1">
      <c r="A29" s="69" t="s">
        <v>457</v>
      </c>
      <c r="B29" s="69" t="s">
        <v>485</v>
      </c>
      <c r="C29" s="67">
        <f>SUM(C20:AF20)</f>
        <v>4280.5</v>
      </c>
      <c r="D29" s="64"/>
      <c r="E29" s="64"/>
      <c r="F29" s="64"/>
      <c r="G29" s="64"/>
      <c r="H29" s="64"/>
      <c r="I29" s="64"/>
      <c r="J29" s="64"/>
      <c r="K29" s="64"/>
      <c r="L29" s="64"/>
      <c r="M29" s="64"/>
      <c r="N29" s="64"/>
      <c r="O29" s="64"/>
      <c r="P29" s="64"/>
      <c r="Q29" s="64"/>
      <c r="R29" s="64"/>
      <c r="S29" s="64"/>
      <c r="T29" s="64"/>
      <c r="U29" s="64"/>
      <c r="V29" s="64"/>
      <c r="W29" s="64"/>
      <c r="X29" s="64"/>
      <c r="Y29" s="64"/>
      <c r="Z29" s="64"/>
      <c r="AA29" s="64"/>
      <c r="AB29" s="64"/>
      <c r="AC29" s="64"/>
      <c r="AD29" s="64"/>
      <c r="AE29" s="64"/>
      <c r="AF29" s="64"/>
    </row>
    <row r="30" spans="1:32" ht="15" customHeight="1">
      <c r="A30" s="69" t="s">
        <v>459</v>
      </c>
      <c r="B30" s="69" t="s">
        <v>486</v>
      </c>
      <c r="C30" s="67">
        <f>SUM(C23:AF23)</f>
        <v>365.98274999999995</v>
      </c>
      <c r="D30" s="64"/>
      <c r="E30" s="64"/>
      <c r="F30" s="64"/>
      <c r="G30" s="64"/>
      <c r="H30" s="64"/>
      <c r="I30" s="64"/>
      <c r="J30" s="64"/>
      <c r="K30" s="64"/>
      <c r="L30" s="64"/>
      <c r="M30" s="64"/>
      <c r="N30" s="64"/>
      <c r="O30" s="64"/>
      <c r="P30" s="64"/>
      <c r="Q30" s="64"/>
      <c r="R30" s="64"/>
      <c r="S30" s="64"/>
      <c r="T30" s="64"/>
      <c r="U30" s="64"/>
      <c r="V30" s="64"/>
      <c r="W30" s="64"/>
      <c r="X30" s="64"/>
      <c r="Y30" s="64"/>
      <c r="Z30" s="64"/>
      <c r="AA30" s="64"/>
      <c r="AB30" s="64"/>
      <c r="AC30" s="64"/>
      <c r="AD30" s="64"/>
      <c r="AE30" s="64"/>
      <c r="AF30" s="64"/>
    </row>
    <row r="31" spans="1:32" ht="15" customHeight="1">
      <c r="A31" s="69" t="s">
        <v>461</v>
      </c>
      <c r="B31" s="69" t="s">
        <v>181</v>
      </c>
      <c r="C31" s="89">
        <f>Input!$D$12*Input!$D$22</f>
        <v>5580</v>
      </c>
      <c r="D31" s="64"/>
      <c r="E31" s="64"/>
      <c r="F31" s="64"/>
      <c r="G31" s="64"/>
      <c r="H31" s="64"/>
      <c r="I31" s="64"/>
      <c r="J31" s="64"/>
      <c r="K31" s="64"/>
      <c r="L31" s="64"/>
      <c r="M31" s="64"/>
      <c r="N31" s="64"/>
      <c r="O31" s="64"/>
      <c r="P31" s="64"/>
      <c r="Q31" s="64"/>
      <c r="R31" s="64"/>
      <c r="S31" s="64"/>
      <c r="T31" s="64"/>
      <c r="U31" s="64"/>
      <c r="V31" s="64"/>
      <c r="W31" s="64"/>
      <c r="X31" s="64"/>
      <c r="Y31" s="64"/>
      <c r="Z31" s="64"/>
      <c r="AA31" s="64"/>
      <c r="AB31" s="64"/>
      <c r="AC31" s="64"/>
      <c r="AD31" s="64"/>
      <c r="AE31" s="64"/>
      <c r="AF31" s="64"/>
    </row>
    <row r="32" spans="1:32" ht="15" customHeight="1">
      <c r="A32" s="69" t="s">
        <v>463</v>
      </c>
      <c r="B32" s="69" t="s">
        <v>186</v>
      </c>
      <c r="C32" s="90">
        <f>Input!$D$29</f>
        <v>535</v>
      </c>
      <c r="D32" s="64"/>
      <c r="E32" s="64"/>
      <c r="F32" s="64"/>
      <c r="G32" s="64"/>
      <c r="H32" s="64"/>
      <c r="I32" s="64"/>
      <c r="J32" s="64"/>
      <c r="K32" s="64"/>
      <c r="L32" s="64"/>
      <c r="M32" s="64"/>
      <c r="N32" s="64"/>
      <c r="O32" s="64"/>
      <c r="P32" s="64"/>
      <c r="Q32" s="64"/>
      <c r="R32" s="64"/>
      <c r="S32" s="64"/>
      <c r="T32" s="64"/>
      <c r="U32" s="64"/>
      <c r="V32" s="64"/>
      <c r="W32" s="64"/>
      <c r="X32" s="64"/>
      <c r="Y32" s="64"/>
      <c r="Z32" s="64"/>
      <c r="AA32" s="64"/>
      <c r="AB32" s="64"/>
      <c r="AC32" s="64"/>
      <c r="AD32" s="64"/>
      <c r="AE32" s="64"/>
      <c r="AF32" s="64"/>
    </row>
    <row r="33" spans="1:32" ht="15" customHeight="1">
      <c r="A33" s="69" t="s">
        <v>487</v>
      </c>
      <c r="B33" s="69" t="s">
        <v>488</v>
      </c>
      <c r="C33" s="108">
        <f>Input!$D$30</f>
        <v>220</v>
      </c>
      <c r="D33" s="64"/>
      <c r="E33" s="64"/>
      <c r="F33" s="64"/>
      <c r="G33" s="64"/>
      <c r="H33" s="64"/>
      <c r="I33" s="64"/>
      <c r="J33" s="64"/>
      <c r="K33" s="64"/>
      <c r="L33" s="64"/>
      <c r="M33" s="64"/>
      <c r="N33" s="64"/>
      <c r="O33" s="64"/>
      <c r="P33" s="64"/>
      <c r="Q33" s="64"/>
      <c r="R33" s="64"/>
      <c r="S33" s="64"/>
      <c r="T33" s="64"/>
      <c r="U33" s="64"/>
      <c r="V33" s="64"/>
      <c r="W33" s="64"/>
      <c r="X33" s="64"/>
      <c r="Y33" s="64"/>
      <c r="Z33" s="64"/>
      <c r="AA33" s="64"/>
      <c r="AB33" s="64"/>
      <c r="AC33" s="64"/>
      <c r="AD33" s="64"/>
      <c r="AE33" s="64"/>
      <c r="AF33" s="64"/>
    </row>
    <row r="34" spans="1:32" ht="15" customHeight="1">
      <c r="A34" s="107" t="s">
        <v>489</v>
      </c>
      <c r="B34" s="107" t="s">
        <v>490</v>
      </c>
      <c r="C34" s="109">
        <f>Input!$D$31*Input!$D$32</f>
        <v>315</v>
      </c>
      <c r="D34" s="64"/>
      <c r="E34" s="64"/>
      <c r="F34" s="64"/>
      <c r="G34" s="64"/>
      <c r="H34" s="64"/>
      <c r="I34" s="64"/>
      <c r="J34" s="64"/>
      <c r="K34" s="64"/>
      <c r="L34" s="64"/>
      <c r="M34" s="64"/>
      <c r="N34" s="64"/>
      <c r="O34" s="64"/>
      <c r="P34" s="64"/>
      <c r="Q34" s="64"/>
      <c r="R34" s="64"/>
      <c r="S34" s="64"/>
      <c r="T34" s="64"/>
      <c r="U34" s="64"/>
      <c r="V34" s="64"/>
      <c r="W34" s="64"/>
      <c r="X34" s="64"/>
      <c r="Y34" s="64"/>
      <c r="Z34" s="64"/>
      <c r="AA34" s="64"/>
      <c r="AB34" s="64"/>
      <c r="AC34" s="64"/>
      <c r="AD34" s="64"/>
      <c r="AE34" s="64"/>
      <c r="AF34" s="64"/>
    </row>
    <row r="35" spans="1:32" ht="15" customHeight="1">
      <c r="A35" s="69"/>
      <c r="B35" s="69"/>
      <c r="C35" s="64"/>
      <c r="D35" s="64"/>
      <c r="E35" s="64"/>
      <c r="F35" s="64"/>
      <c r="G35" s="64"/>
      <c r="H35" s="64"/>
      <c r="I35" s="64"/>
      <c r="J35" s="64"/>
      <c r="K35" s="64"/>
      <c r="L35" s="64"/>
      <c r="M35" s="64"/>
      <c r="N35" s="64"/>
      <c r="O35" s="64"/>
      <c r="P35" s="64"/>
      <c r="Q35" s="64"/>
      <c r="R35" s="64"/>
      <c r="S35" s="64"/>
      <c r="T35" s="64"/>
      <c r="U35" s="64"/>
      <c r="V35" s="64"/>
      <c r="W35" s="64"/>
      <c r="X35" s="64"/>
      <c r="Y35" s="64"/>
      <c r="Z35" s="64"/>
      <c r="AA35" s="64"/>
      <c r="AB35" s="64"/>
      <c r="AC35" s="64"/>
      <c r="AD35" s="64"/>
      <c r="AE35" s="64"/>
      <c r="AF35" s="64"/>
    </row>
    <row r="36" spans="1:32" ht="15" customHeight="1">
      <c r="A36" s="69"/>
      <c r="B36" s="69"/>
      <c r="C36" s="64"/>
      <c r="D36" s="64"/>
      <c r="E36" s="64"/>
      <c r="F36" s="64"/>
      <c r="G36" s="64"/>
      <c r="H36" s="64"/>
      <c r="I36" s="64"/>
      <c r="J36" s="64"/>
      <c r="K36" s="64"/>
      <c r="L36" s="64"/>
      <c r="M36" s="64"/>
      <c r="N36" s="64"/>
      <c r="O36" s="64"/>
      <c r="P36" s="64"/>
      <c r="Q36" s="64"/>
      <c r="R36" s="64"/>
      <c r="S36" s="64"/>
      <c r="T36" s="64"/>
      <c r="U36" s="64"/>
      <c r="V36" s="64"/>
      <c r="W36" s="64"/>
      <c r="X36" s="64"/>
      <c r="Y36" s="64"/>
      <c r="Z36" s="64"/>
      <c r="AA36" s="64"/>
      <c r="AB36" s="64"/>
      <c r="AC36" s="64"/>
      <c r="AD36" s="64"/>
      <c r="AE36" s="64"/>
      <c r="AF36" s="64"/>
    </row>
    <row r="37" spans="1:32" ht="15" customHeight="1">
      <c r="A37" s="69"/>
      <c r="B37" s="69"/>
      <c r="C37" s="64"/>
      <c r="D37" s="64"/>
      <c r="E37" s="64"/>
      <c r="F37" s="64"/>
      <c r="G37" s="64"/>
      <c r="H37" s="64"/>
      <c r="I37" s="64"/>
      <c r="J37" s="64"/>
      <c r="K37" s="64"/>
      <c r="L37" s="64"/>
      <c r="M37" s="64"/>
      <c r="N37" s="64"/>
      <c r="O37" s="64"/>
      <c r="P37" s="64"/>
      <c r="Q37" s="64"/>
      <c r="R37" s="64"/>
      <c r="S37" s="64"/>
      <c r="T37" s="64"/>
      <c r="U37" s="64"/>
      <c r="V37" s="64"/>
      <c r="W37" s="64"/>
      <c r="X37" s="64"/>
      <c r="Y37" s="64"/>
      <c r="Z37" s="64"/>
      <c r="AA37" s="64"/>
      <c r="AB37" s="64"/>
      <c r="AC37" s="64"/>
      <c r="AD37" s="64"/>
      <c r="AE37" s="64"/>
      <c r="AF37" s="64"/>
    </row>
    <row r="38" spans="1:32" ht="15" customHeight="1">
      <c r="A38" s="69"/>
      <c r="B38" s="69"/>
      <c r="C38" s="64"/>
      <c r="D38" s="64"/>
      <c r="E38" s="64"/>
      <c r="F38" s="64"/>
      <c r="G38" s="64"/>
      <c r="H38" s="64"/>
      <c r="I38" s="64"/>
      <c r="J38" s="64"/>
      <c r="K38" s="64"/>
      <c r="L38" s="64"/>
      <c r="M38" s="64"/>
      <c r="N38" s="64"/>
      <c r="O38" s="64"/>
      <c r="P38" s="64"/>
      <c r="Q38" s="64"/>
      <c r="R38" s="64"/>
      <c r="S38" s="64"/>
      <c r="T38" s="64"/>
      <c r="U38" s="64"/>
      <c r="V38" s="64"/>
      <c r="W38" s="64"/>
      <c r="X38" s="64"/>
      <c r="Y38" s="64"/>
      <c r="Z38" s="64"/>
      <c r="AA38" s="64"/>
      <c r="AB38" s="64"/>
      <c r="AC38" s="64"/>
      <c r="AD38" s="64"/>
      <c r="AE38" s="64"/>
      <c r="AF38" s="64"/>
    </row>
    <row r="39" spans="1:32" ht="15" customHeight="1">
      <c r="A39" s="69"/>
      <c r="B39" s="69"/>
      <c r="C39" s="64"/>
      <c r="D39" s="64"/>
      <c r="E39" s="64"/>
      <c r="F39" s="64"/>
      <c r="G39" s="64"/>
      <c r="H39" s="64"/>
      <c r="I39" s="64"/>
      <c r="J39" s="64"/>
      <c r="K39" s="64"/>
      <c r="L39" s="64"/>
      <c r="M39" s="64"/>
      <c r="N39" s="64"/>
      <c r="O39" s="64"/>
      <c r="P39" s="64"/>
      <c r="Q39" s="64"/>
      <c r="R39" s="64"/>
      <c r="S39" s="64"/>
      <c r="T39" s="64"/>
      <c r="U39" s="64"/>
      <c r="V39" s="64"/>
      <c r="W39" s="64"/>
      <c r="X39" s="64"/>
      <c r="Y39" s="64"/>
      <c r="Z39" s="64"/>
      <c r="AA39" s="64"/>
      <c r="AB39" s="64"/>
      <c r="AC39" s="64"/>
      <c r="AD39" s="64"/>
      <c r="AE39" s="64"/>
      <c r="AF39" s="64"/>
    </row>
    <row r="40" spans="1:32" ht="15" customHeight="1">
      <c r="A40" s="69"/>
      <c r="B40" s="69"/>
      <c r="C40" s="64"/>
      <c r="D40" s="64"/>
      <c r="E40" s="64"/>
      <c r="F40" s="64"/>
      <c r="G40" s="64"/>
      <c r="H40" s="64"/>
      <c r="I40" s="64"/>
      <c r="J40" s="64"/>
      <c r="K40" s="64"/>
      <c r="L40" s="64"/>
      <c r="M40" s="64"/>
      <c r="N40" s="64"/>
      <c r="O40" s="64"/>
      <c r="P40" s="64"/>
      <c r="Q40" s="64"/>
      <c r="R40" s="64"/>
      <c r="S40" s="64"/>
      <c r="T40" s="64"/>
      <c r="U40" s="64"/>
      <c r="V40" s="64"/>
      <c r="W40" s="64"/>
      <c r="X40" s="64"/>
      <c r="Y40" s="64"/>
      <c r="Z40" s="64"/>
      <c r="AA40" s="64"/>
      <c r="AB40" s="64"/>
      <c r="AC40" s="64"/>
      <c r="AD40" s="64"/>
      <c r="AE40" s="64"/>
      <c r="AF40" s="64"/>
    </row>
    <row r="41" spans="1:32">
      <c r="A41" s="40"/>
      <c r="B41" s="40"/>
      <c r="C41" s="40"/>
      <c r="D41" s="40"/>
      <c r="E41" s="40"/>
      <c r="F41" s="40"/>
      <c r="G41" s="40"/>
      <c r="H41" s="40"/>
      <c r="I41" s="40"/>
      <c r="J41" s="40"/>
      <c r="K41" s="40"/>
      <c r="L41" s="40"/>
      <c r="M41" s="40"/>
      <c r="N41" s="40"/>
      <c r="O41" s="40"/>
      <c r="P41" s="40"/>
      <c r="Q41" s="40"/>
      <c r="R41" s="40"/>
      <c r="S41" s="40"/>
      <c r="T41" s="40"/>
      <c r="U41" s="40"/>
      <c r="V41" s="40"/>
      <c r="W41" s="40"/>
      <c r="X41" s="40"/>
      <c r="Y41" s="40"/>
      <c r="Z41" s="40"/>
      <c r="AA41" s="40"/>
      <c r="AB41" s="40"/>
      <c r="AC41" s="40"/>
      <c r="AD41" s="40"/>
      <c r="AE41" s="40"/>
      <c r="AF41" s="40"/>
    </row>
    <row r="42" spans="1:32">
      <c r="A42" s="40"/>
      <c r="B42" s="40"/>
      <c r="C42" s="40"/>
      <c r="D42" s="40"/>
      <c r="E42" s="40"/>
      <c r="F42" s="40"/>
      <c r="G42" s="40"/>
      <c r="H42" s="40"/>
      <c r="I42" s="40"/>
      <c r="J42" s="40"/>
      <c r="K42" s="40"/>
      <c r="L42" s="40"/>
      <c r="M42" s="40"/>
      <c r="N42" s="40"/>
      <c r="O42" s="40"/>
      <c r="P42" s="40"/>
      <c r="Q42" s="40"/>
      <c r="R42" s="40"/>
      <c r="S42" s="40"/>
      <c r="T42" s="40"/>
      <c r="U42" s="40"/>
      <c r="V42" s="40"/>
      <c r="W42" s="40"/>
      <c r="X42" s="40"/>
      <c r="Y42" s="40"/>
      <c r="Z42" s="40"/>
      <c r="AA42" s="40"/>
      <c r="AB42" s="40"/>
      <c r="AC42" s="40"/>
      <c r="AD42" s="40"/>
      <c r="AE42" s="40"/>
      <c r="AF42" s="40"/>
    </row>
    <row r="43" spans="1:32">
      <c r="A43" s="40"/>
      <c r="B43" s="40"/>
      <c r="C43" s="40"/>
      <c r="D43" s="40"/>
      <c r="E43" s="40"/>
      <c r="F43" s="40"/>
      <c r="G43" s="40"/>
      <c r="H43" s="40"/>
      <c r="I43" s="40"/>
      <c r="J43" s="40"/>
      <c r="K43" s="40"/>
      <c r="L43" s="40"/>
      <c r="M43" s="40"/>
      <c r="N43" s="40"/>
      <c r="O43" s="40"/>
      <c r="P43" s="40"/>
      <c r="Q43" s="40"/>
      <c r="R43" s="40"/>
      <c r="S43" s="40"/>
      <c r="T43" s="40"/>
      <c r="U43" s="40"/>
      <c r="V43" s="40"/>
      <c r="W43" s="40"/>
      <c r="X43" s="40"/>
      <c r="Y43" s="40"/>
      <c r="Z43" s="40"/>
      <c r="AA43" s="40"/>
      <c r="AB43" s="40"/>
      <c r="AC43" s="40"/>
      <c r="AD43" s="40"/>
      <c r="AE43" s="40"/>
      <c r="AF43" s="40"/>
    </row>
    <row r="44" spans="1:32">
      <c r="A44" s="40"/>
      <c r="B44" s="40"/>
      <c r="C44" s="40"/>
      <c r="D44" s="40"/>
      <c r="E44" s="40"/>
      <c r="F44" s="40"/>
      <c r="G44" s="40"/>
      <c r="H44" s="40"/>
      <c r="I44" s="40"/>
      <c r="J44" s="40"/>
      <c r="K44" s="40"/>
      <c r="L44" s="40"/>
      <c r="M44" s="40"/>
      <c r="N44" s="40"/>
      <c r="O44" s="40"/>
      <c r="P44" s="40"/>
      <c r="Q44" s="40"/>
      <c r="R44" s="40"/>
      <c r="S44" s="40"/>
      <c r="T44" s="40"/>
      <c r="U44" s="40"/>
      <c r="V44" s="40"/>
      <c r="W44" s="40"/>
      <c r="X44" s="40"/>
      <c r="Y44" s="40"/>
      <c r="Z44" s="40"/>
      <c r="AA44" s="40"/>
      <c r="AB44" s="40"/>
      <c r="AC44" s="40"/>
      <c r="AD44" s="40"/>
      <c r="AE44" s="40"/>
      <c r="AF44" s="40"/>
    </row>
    <row r="45" spans="1:32">
      <c r="A45" s="40"/>
      <c r="B45" s="40"/>
      <c r="C45" s="40"/>
      <c r="D45" s="40"/>
      <c r="E45" s="40"/>
      <c r="F45" s="40"/>
      <c r="G45" s="40"/>
      <c r="H45" s="40"/>
      <c r="I45" s="40"/>
      <c r="J45" s="40"/>
      <c r="K45" s="40"/>
      <c r="L45" s="40"/>
      <c r="M45" s="40"/>
      <c r="N45" s="40"/>
      <c r="O45" s="40"/>
      <c r="P45" s="40"/>
      <c r="Q45" s="40"/>
      <c r="R45" s="40"/>
      <c r="S45" s="40"/>
      <c r="T45" s="40"/>
      <c r="U45" s="40"/>
      <c r="V45" s="40"/>
      <c r="W45" s="40"/>
      <c r="X45" s="40"/>
      <c r="Y45" s="40"/>
      <c r="Z45" s="40"/>
      <c r="AA45" s="40"/>
      <c r="AB45" s="40"/>
      <c r="AC45" s="40"/>
      <c r="AD45" s="40"/>
      <c r="AE45" s="40"/>
      <c r="AF45" s="40"/>
    </row>
    <row r="46" spans="1:32">
      <c r="A46" s="40"/>
      <c r="B46" s="40"/>
      <c r="C46" s="40"/>
      <c r="D46" s="40"/>
      <c r="E46" s="40"/>
      <c r="F46" s="40"/>
      <c r="G46" s="40"/>
      <c r="H46" s="40"/>
      <c r="I46" s="40"/>
      <c r="J46" s="40"/>
      <c r="K46" s="40"/>
      <c r="L46" s="40"/>
      <c r="M46" s="40"/>
      <c r="N46" s="40"/>
      <c r="O46" s="40"/>
      <c r="P46" s="40"/>
      <c r="Q46" s="40"/>
      <c r="R46" s="40"/>
      <c r="S46" s="40"/>
      <c r="T46" s="40"/>
      <c r="U46" s="40"/>
      <c r="V46" s="40"/>
      <c r="W46" s="40"/>
      <c r="X46" s="40"/>
      <c r="Y46" s="40"/>
      <c r="Z46" s="40"/>
      <c r="AA46" s="40"/>
      <c r="AB46" s="40"/>
      <c r="AC46" s="40"/>
      <c r="AD46" s="40"/>
      <c r="AE46" s="40"/>
      <c r="AF46" s="40"/>
    </row>
    <row r="47" spans="1:32">
      <c r="A47" s="40"/>
      <c r="B47" s="40"/>
      <c r="C47" s="40"/>
      <c r="D47" s="40"/>
      <c r="E47" s="40"/>
      <c r="F47" s="40"/>
      <c r="G47" s="40"/>
      <c r="H47" s="40"/>
      <c r="I47" s="40"/>
      <c r="J47" s="40"/>
      <c r="K47" s="40"/>
      <c r="L47" s="40"/>
      <c r="M47" s="40"/>
      <c r="N47" s="40"/>
      <c r="O47" s="40"/>
      <c r="P47" s="40"/>
      <c r="Q47" s="40"/>
      <c r="R47" s="40"/>
      <c r="S47" s="40"/>
      <c r="T47" s="40"/>
      <c r="U47" s="40"/>
      <c r="V47" s="40"/>
      <c r="W47" s="40"/>
      <c r="X47" s="40"/>
      <c r="Y47" s="40"/>
      <c r="Z47" s="40"/>
      <c r="AA47" s="40"/>
      <c r="AB47" s="40"/>
      <c r="AC47" s="40"/>
      <c r="AD47" s="40"/>
      <c r="AE47" s="40"/>
      <c r="AF47" s="40"/>
    </row>
    <row r="48" spans="1:32">
      <c r="A48" s="40"/>
      <c r="B48" s="40"/>
      <c r="C48" s="40"/>
      <c r="D48" s="40"/>
      <c r="E48" s="40"/>
      <c r="F48" s="40"/>
      <c r="G48" s="40"/>
      <c r="H48" s="40"/>
      <c r="I48" s="40"/>
      <c r="J48" s="40"/>
      <c r="K48" s="40"/>
      <c r="L48" s="40"/>
      <c r="M48" s="40"/>
      <c r="N48" s="40"/>
      <c r="O48" s="40"/>
      <c r="P48" s="40"/>
      <c r="Q48" s="40"/>
      <c r="R48" s="40"/>
      <c r="S48" s="40"/>
      <c r="T48" s="40"/>
      <c r="U48" s="40"/>
      <c r="V48" s="40"/>
      <c r="W48" s="40"/>
      <c r="X48" s="40"/>
      <c r="Y48" s="40"/>
      <c r="Z48" s="40"/>
      <c r="AA48" s="40"/>
      <c r="AB48" s="40"/>
      <c r="AC48" s="40"/>
      <c r="AD48" s="40"/>
      <c r="AE48" s="40"/>
      <c r="AF48" s="40"/>
    </row>
    <row r="49" spans="1:32">
      <c r="A49" s="40"/>
      <c r="B49" s="40"/>
      <c r="C49" s="40"/>
      <c r="D49" s="40"/>
      <c r="E49" s="40"/>
      <c r="F49" s="40"/>
      <c r="G49" s="40"/>
      <c r="H49" s="40"/>
      <c r="I49" s="40"/>
      <c r="J49" s="40"/>
      <c r="K49" s="40"/>
      <c r="L49" s="40"/>
      <c r="M49" s="40"/>
      <c r="N49" s="40"/>
      <c r="O49" s="40"/>
      <c r="P49" s="40"/>
      <c r="Q49" s="40"/>
      <c r="R49" s="40"/>
      <c r="S49" s="40"/>
      <c r="T49" s="40"/>
      <c r="U49" s="40"/>
      <c r="V49" s="40"/>
      <c r="W49" s="40"/>
      <c r="X49" s="40"/>
      <c r="Y49" s="40"/>
      <c r="Z49" s="40"/>
      <c r="AA49" s="40"/>
      <c r="AB49" s="40"/>
      <c r="AC49" s="40"/>
      <c r="AD49" s="40"/>
      <c r="AE49" s="40"/>
      <c r="AF49" s="40"/>
    </row>
    <row r="50" spans="1:32">
      <c r="A50" s="40"/>
      <c r="B50" s="40"/>
      <c r="C50" s="40"/>
      <c r="D50" s="40"/>
      <c r="E50" s="40"/>
      <c r="F50" s="40"/>
      <c r="G50" s="40"/>
      <c r="H50" s="40"/>
      <c r="I50" s="40"/>
      <c r="J50" s="40"/>
      <c r="K50" s="40"/>
      <c r="L50" s="40"/>
      <c r="M50" s="40"/>
      <c r="N50" s="40"/>
      <c r="O50" s="40"/>
      <c r="P50" s="40"/>
      <c r="Q50" s="40"/>
      <c r="R50" s="40"/>
      <c r="S50" s="40"/>
      <c r="T50" s="40"/>
      <c r="U50" s="40"/>
      <c r="V50" s="40"/>
      <c r="W50" s="40"/>
      <c r="X50" s="40"/>
      <c r="Y50" s="40"/>
      <c r="Z50" s="40"/>
      <c r="AA50" s="40"/>
      <c r="AB50" s="40"/>
      <c r="AC50" s="40"/>
      <c r="AD50" s="40"/>
      <c r="AE50" s="40"/>
      <c r="AF50" s="40"/>
    </row>
    <row r="51" spans="1:32">
      <c r="A51" s="40"/>
      <c r="B51" s="40"/>
      <c r="C51" s="40"/>
      <c r="D51" s="40"/>
      <c r="E51" s="40"/>
      <c r="F51" s="40"/>
      <c r="G51" s="40"/>
      <c r="H51" s="40"/>
      <c r="I51" s="40"/>
      <c r="J51" s="40"/>
      <c r="K51" s="40"/>
      <c r="L51" s="40"/>
      <c r="M51" s="40"/>
      <c r="N51" s="40"/>
      <c r="O51" s="40"/>
      <c r="P51" s="40"/>
      <c r="Q51" s="40"/>
      <c r="R51" s="40"/>
      <c r="S51" s="40"/>
      <c r="T51" s="40"/>
      <c r="U51" s="40"/>
      <c r="V51" s="40"/>
      <c r="W51" s="40"/>
      <c r="X51" s="40"/>
      <c r="Y51" s="40"/>
      <c r="Z51" s="40"/>
      <c r="AA51" s="40"/>
      <c r="AB51" s="40"/>
      <c r="AC51" s="40"/>
      <c r="AD51" s="40"/>
      <c r="AE51" s="40"/>
      <c r="AF51" s="40"/>
    </row>
    <row r="52" spans="1:32">
      <c r="A52" s="40"/>
      <c r="B52" s="40"/>
      <c r="C52" s="40"/>
      <c r="D52" s="40"/>
      <c r="E52" s="40"/>
      <c r="F52" s="40"/>
      <c r="G52" s="40"/>
      <c r="H52" s="40"/>
      <c r="I52" s="40"/>
      <c r="J52" s="40"/>
      <c r="K52" s="40"/>
      <c r="L52" s="40"/>
      <c r="M52" s="40"/>
      <c r="N52" s="40"/>
      <c r="O52" s="40"/>
      <c r="P52" s="40"/>
      <c r="Q52" s="40"/>
      <c r="R52" s="40"/>
      <c r="S52" s="40"/>
      <c r="T52" s="40"/>
      <c r="U52" s="40"/>
      <c r="V52" s="40"/>
      <c r="W52" s="40"/>
      <c r="X52" s="40"/>
      <c r="Y52" s="40"/>
      <c r="Z52" s="40"/>
      <c r="AA52" s="40"/>
      <c r="AB52" s="40"/>
      <c r="AC52" s="40"/>
      <c r="AD52" s="40"/>
      <c r="AE52" s="40"/>
      <c r="AF52" s="40"/>
    </row>
    <row r="53" spans="1:32">
      <c r="A53" s="40"/>
      <c r="B53" s="40"/>
      <c r="C53" s="40"/>
      <c r="D53" s="40"/>
      <c r="E53" s="40"/>
      <c r="F53" s="40"/>
      <c r="G53" s="40"/>
      <c r="H53" s="40"/>
      <c r="I53" s="40"/>
      <c r="J53" s="40"/>
      <c r="K53" s="40"/>
      <c r="L53" s="40"/>
      <c r="M53" s="40"/>
      <c r="N53" s="40"/>
      <c r="O53" s="40"/>
      <c r="P53" s="40"/>
      <c r="Q53" s="40"/>
      <c r="R53" s="40"/>
      <c r="S53" s="40"/>
      <c r="T53" s="40"/>
      <c r="U53" s="40"/>
      <c r="V53" s="40"/>
      <c r="W53" s="40"/>
      <c r="X53" s="40"/>
      <c r="Y53" s="40"/>
      <c r="Z53" s="40"/>
      <c r="AA53" s="40"/>
      <c r="AB53" s="40"/>
      <c r="AC53" s="40"/>
      <c r="AD53" s="40"/>
      <c r="AE53" s="40"/>
      <c r="AF53" s="40"/>
    </row>
    <row r="54" spans="1:32">
      <c r="A54" s="40"/>
      <c r="B54" s="40"/>
      <c r="C54" s="40"/>
      <c r="D54" s="40"/>
      <c r="E54" s="40"/>
      <c r="F54" s="40"/>
      <c r="G54" s="40"/>
      <c r="H54" s="40"/>
      <c r="I54" s="40"/>
      <c r="J54" s="40"/>
      <c r="K54" s="40"/>
      <c r="L54" s="40"/>
      <c r="M54" s="40"/>
      <c r="N54" s="40"/>
      <c r="O54" s="40"/>
      <c r="P54" s="40"/>
      <c r="Q54" s="40"/>
      <c r="R54" s="40"/>
      <c r="S54" s="40"/>
      <c r="T54" s="40"/>
      <c r="U54" s="40"/>
      <c r="V54" s="40"/>
      <c r="W54" s="40"/>
      <c r="X54" s="40"/>
      <c r="Y54" s="40"/>
      <c r="Z54" s="40"/>
      <c r="AA54" s="40"/>
      <c r="AB54" s="40"/>
      <c r="AC54" s="40"/>
      <c r="AD54" s="40"/>
      <c r="AE54" s="40"/>
      <c r="AF54" s="40"/>
    </row>
    <row r="55" spans="1:32">
      <c r="A55" s="40"/>
      <c r="B55" s="40"/>
      <c r="C55" s="40"/>
      <c r="D55" s="40"/>
      <c r="E55" s="40"/>
      <c r="F55" s="40"/>
      <c r="G55" s="40"/>
      <c r="H55" s="40"/>
      <c r="I55" s="40"/>
      <c r="J55" s="40"/>
      <c r="K55" s="40"/>
      <c r="L55" s="40"/>
      <c r="M55" s="40"/>
      <c r="N55" s="40"/>
      <c r="O55" s="40"/>
      <c r="P55" s="40"/>
      <c r="Q55" s="40"/>
      <c r="R55" s="40"/>
      <c r="S55" s="40"/>
      <c r="T55" s="40"/>
      <c r="U55" s="40"/>
      <c r="V55" s="40"/>
      <c r="W55" s="40"/>
      <c r="X55" s="40"/>
      <c r="Y55" s="40"/>
      <c r="Z55" s="40"/>
      <c r="AA55" s="40"/>
      <c r="AB55" s="40"/>
      <c r="AC55" s="40"/>
      <c r="AD55" s="40"/>
      <c r="AE55" s="40"/>
      <c r="AF55" s="40"/>
    </row>
    <row r="56" spans="1:32">
      <c r="A56" s="40"/>
      <c r="B56" s="40"/>
      <c r="C56" s="40"/>
      <c r="D56" s="40"/>
      <c r="E56" s="40"/>
      <c r="F56" s="40"/>
      <c r="G56" s="40"/>
      <c r="H56" s="40"/>
      <c r="I56" s="40"/>
      <c r="J56" s="40"/>
      <c r="K56" s="40"/>
      <c r="L56" s="40"/>
      <c r="M56" s="40"/>
      <c r="N56" s="40"/>
      <c r="O56" s="40"/>
      <c r="P56" s="40"/>
      <c r="Q56" s="40"/>
      <c r="R56" s="40"/>
      <c r="S56" s="40"/>
      <c r="T56" s="40"/>
      <c r="U56" s="40"/>
      <c r="V56" s="40"/>
      <c r="W56" s="40"/>
      <c r="X56" s="40"/>
      <c r="Y56" s="40"/>
      <c r="Z56" s="40"/>
      <c r="AA56" s="40"/>
      <c r="AB56" s="40"/>
      <c r="AC56" s="40"/>
      <c r="AD56" s="40"/>
      <c r="AE56" s="40"/>
      <c r="AF56" s="40"/>
    </row>
    <row r="57" spans="1:32">
      <c r="A57" s="40"/>
      <c r="B57" s="40"/>
      <c r="C57" s="40"/>
      <c r="D57" s="40"/>
      <c r="E57" s="40"/>
      <c r="F57" s="40"/>
      <c r="G57" s="40"/>
      <c r="H57" s="40"/>
      <c r="I57" s="40"/>
      <c r="J57" s="40"/>
      <c r="K57" s="40"/>
      <c r="L57" s="40"/>
      <c r="M57" s="40"/>
      <c r="N57" s="40"/>
      <c r="O57" s="40"/>
      <c r="P57" s="40"/>
      <c r="Q57" s="40"/>
      <c r="R57" s="40"/>
      <c r="S57" s="40"/>
      <c r="T57" s="40"/>
      <c r="U57" s="40"/>
      <c r="V57" s="40"/>
      <c r="W57" s="40"/>
      <c r="X57" s="40"/>
      <c r="Y57" s="40"/>
      <c r="Z57" s="40"/>
      <c r="AA57" s="40"/>
      <c r="AB57" s="40"/>
      <c r="AC57" s="40"/>
      <c r="AD57" s="40"/>
      <c r="AE57" s="40"/>
      <c r="AF57" s="40"/>
    </row>
    <row r="58" spans="1:32">
      <c r="A58" s="40"/>
      <c r="B58" s="40"/>
      <c r="C58" s="40"/>
      <c r="D58" s="40"/>
      <c r="E58" s="40"/>
      <c r="F58" s="40"/>
      <c r="G58" s="40"/>
      <c r="H58" s="40"/>
      <c r="I58" s="40"/>
      <c r="J58" s="40"/>
      <c r="K58" s="40"/>
      <c r="L58" s="40"/>
      <c r="M58" s="40"/>
      <c r="N58" s="40"/>
      <c r="O58" s="40"/>
      <c r="P58" s="40"/>
      <c r="Q58" s="40"/>
      <c r="R58" s="40"/>
      <c r="S58" s="40"/>
      <c r="T58" s="40"/>
      <c r="U58" s="40"/>
      <c r="V58" s="40"/>
      <c r="W58" s="40"/>
      <c r="X58" s="40"/>
      <c r="Y58" s="40"/>
      <c r="Z58" s="40"/>
      <c r="AA58" s="40"/>
      <c r="AB58" s="40"/>
      <c r="AC58" s="40"/>
      <c r="AD58" s="40"/>
      <c r="AE58" s="40"/>
      <c r="AF58" s="40"/>
    </row>
    <row r="59" spans="1:32">
      <c r="A59" s="40"/>
      <c r="B59" s="40"/>
      <c r="C59" s="40"/>
      <c r="D59" s="40"/>
      <c r="E59" s="40"/>
      <c r="F59" s="40"/>
      <c r="G59" s="40"/>
      <c r="H59" s="40"/>
      <c r="I59" s="40"/>
      <c r="J59" s="40"/>
      <c r="K59" s="40"/>
      <c r="L59" s="40"/>
      <c r="M59" s="40"/>
      <c r="N59" s="40"/>
      <c r="O59" s="40"/>
      <c r="P59" s="40"/>
      <c r="Q59" s="40"/>
      <c r="R59" s="40"/>
      <c r="S59" s="40"/>
      <c r="T59" s="40"/>
      <c r="U59" s="40"/>
      <c r="V59" s="40"/>
      <c r="W59" s="40"/>
      <c r="X59" s="40"/>
      <c r="Y59" s="40"/>
      <c r="Z59" s="40"/>
      <c r="AA59" s="40"/>
      <c r="AB59" s="40"/>
      <c r="AC59" s="40"/>
      <c r="AD59" s="40"/>
      <c r="AE59" s="40"/>
      <c r="AF59" s="40"/>
    </row>
    <row r="60" spans="1:32">
      <c r="A60" s="40"/>
      <c r="B60" s="40"/>
      <c r="C60" s="40"/>
      <c r="D60" s="40"/>
      <c r="E60" s="40"/>
      <c r="F60" s="40"/>
      <c r="G60" s="40"/>
      <c r="H60" s="40"/>
      <c r="I60" s="40"/>
      <c r="J60" s="40"/>
      <c r="K60" s="40"/>
      <c r="L60" s="40"/>
      <c r="M60" s="40"/>
      <c r="N60" s="40"/>
      <c r="O60" s="40"/>
      <c r="P60" s="40"/>
      <c r="Q60" s="40"/>
      <c r="R60" s="40"/>
      <c r="S60" s="40"/>
      <c r="T60" s="40"/>
      <c r="U60" s="40"/>
      <c r="V60" s="40"/>
      <c r="W60" s="40"/>
      <c r="X60" s="40"/>
      <c r="Y60" s="40"/>
      <c r="Z60" s="40"/>
      <c r="AA60" s="40"/>
      <c r="AB60" s="40"/>
      <c r="AC60" s="40"/>
      <c r="AD60" s="40"/>
      <c r="AE60" s="40"/>
      <c r="AF60" s="40"/>
    </row>
    <row r="61" spans="1:32">
      <c r="A61" s="40"/>
      <c r="B61" s="40"/>
      <c r="C61" s="40"/>
      <c r="D61" s="40"/>
      <c r="E61" s="40"/>
      <c r="F61" s="40"/>
      <c r="G61" s="40"/>
      <c r="H61" s="40"/>
      <c r="I61" s="40"/>
      <c r="J61" s="40"/>
      <c r="K61" s="40"/>
      <c r="L61" s="40"/>
      <c r="M61" s="40"/>
      <c r="N61" s="40"/>
      <c r="O61" s="40"/>
      <c r="P61" s="40"/>
      <c r="Q61" s="40"/>
      <c r="R61" s="40"/>
      <c r="S61" s="40"/>
      <c r="T61" s="40"/>
      <c r="U61" s="40"/>
      <c r="V61" s="40"/>
      <c r="W61" s="40"/>
      <c r="X61" s="40"/>
      <c r="Y61" s="40"/>
      <c r="Z61" s="40"/>
      <c r="AA61" s="40"/>
      <c r="AB61" s="40"/>
      <c r="AC61" s="40"/>
      <c r="AD61" s="40"/>
      <c r="AE61" s="40"/>
      <c r="AF61" s="40"/>
    </row>
    <row r="62" spans="1:32">
      <c r="A62" s="40"/>
      <c r="B62" s="40"/>
      <c r="C62" s="40"/>
      <c r="D62" s="40"/>
      <c r="E62" s="40"/>
      <c r="F62" s="40"/>
      <c r="G62" s="40"/>
      <c r="H62" s="40"/>
      <c r="I62" s="40"/>
      <c r="J62" s="40"/>
      <c r="K62" s="40"/>
      <c r="L62" s="40"/>
      <c r="M62" s="40"/>
      <c r="N62" s="40"/>
      <c r="O62" s="40"/>
      <c r="P62" s="40"/>
      <c r="Q62" s="40"/>
      <c r="R62" s="40"/>
      <c r="S62" s="40"/>
      <c r="T62" s="40"/>
      <c r="U62" s="40"/>
      <c r="V62" s="40"/>
      <c r="W62" s="40"/>
      <c r="X62" s="40"/>
      <c r="Y62" s="40"/>
      <c r="Z62" s="40"/>
      <c r="AA62" s="40"/>
      <c r="AB62" s="40"/>
      <c r="AC62" s="40"/>
      <c r="AD62" s="40"/>
      <c r="AE62" s="40"/>
      <c r="AF62" s="40"/>
    </row>
    <row r="63" spans="1:32">
      <c r="A63" s="40"/>
      <c r="B63" s="40"/>
      <c r="C63" s="40"/>
      <c r="D63" s="40"/>
      <c r="E63" s="40"/>
      <c r="F63" s="40"/>
      <c r="G63" s="40"/>
      <c r="H63" s="40"/>
      <c r="I63" s="40"/>
      <c r="J63" s="40"/>
      <c r="K63" s="40"/>
      <c r="L63" s="40"/>
      <c r="M63" s="40"/>
      <c r="N63" s="40"/>
      <c r="O63" s="40"/>
      <c r="P63" s="40"/>
      <c r="Q63" s="40"/>
      <c r="R63" s="40"/>
      <c r="S63" s="40"/>
      <c r="T63" s="40"/>
      <c r="U63" s="40"/>
      <c r="V63" s="40"/>
      <c r="W63" s="40"/>
      <c r="X63" s="40"/>
      <c r="Y63" s="40"/>
      <c r="Z63" s="40"/>
      <c r="AA63" s="40"/>
      <c r="AB63" s="40"/>
      <c r="AC63" s="40"/>
      <c r="AD63" s="40"/>
      <c r="AE63" s="40"/>
      <c r="AF63" s="40"/>
    </row>
    <row r="64" spans="1:32">
      <c r="A64" s="40"/>
      <c r="B64" s="40"/>
      <c r="C64" s="40"/>
      <c r="D64" s="40"/>
      <c r="E64" s="40"/>
      <c r="F64" s="40"/>
      <c r="G64" s="40"/>
      <c r="H64" s="40"/>
      <c r="I64" s="40"/>
      <c r="J64" s="40"/>
      <c r="K64" s="40"/>
      <c r="L64" s="40"/>
      <c r="M64" s="40"/>
      <c r="N64" s="40"/>
      <c r="O64" s="40"/>
      <c r="P64" s="40"/>
      <c r="Q64" s="40"/>
      <c r="R64" s="40"/>
      <c r="S64" s="40"/>
      <c r="T64" s="40"/>
      <c r="U64" s="40"/>
      <c r="V64" s="40"/>
      <c r="W64" s="40"/>
      <c r="X64" s="40"/>
      <c r="Y64" s="40"/>
      <c r="Z64" s="40"/>
      <c r="AA64" s="40"/>
      <c r="AB64" s="40"/>
      <c r="AC64" s="40"/>
      <c r="AD64" s="40"/>
      <c r="AE64" s="40"/>
      <c r="AF64" s="40"/>
    </row>
    <row r="65" spans="1:32">
      <c r="A65" s="40"/>
      <c r="B65" s="40"/>
      <c r="C65" s="40"/>
      <c r="D65" s="40"/>
      <c r="E65" s="40"/>
      <c r="F65" s="40"/>
      <c r="G65" s="40"/>
      <c r="H65" s="40"/>
      <c r="I65" s="40"/>
      <c r="J65" s="40"/>
      <c r="K65" s="40"/>
      <c r="L65" s="40"/>
      <c r="M65" s="40"/>
      <c r="N65" s="40"/>
      <c r="O65" s="40"/>
      <c r="P65" s="40"/>
      <c r="Q65" s="40"/>
      <c r="R65" s="40"/>
      <c r="S65" s="40"/>
      <c r="T65" s="40"/>
      <c r="U65" s="40"/>
      <c r="V65" s="40"/>
      <c r="W65" s="40"/>
      <c r="X65" s="40"/>
      <c r="Y65" s="40"/>
      <c r="Z65" s="40"/>
      <c r="AA65" s="40"/>
      <c r="AB65" s="40"/>
      <c r="AC65" s="40"/>
      <c r="AD65" s="40"/>
      <c r="AE65" s="40"/>
      <c r="AF65" s="40"/>
    </row>
    <row r="66" spans="1:32">
      <c r="A66" s="40"/>
      <c r="B66" s="40"/>
      <c r="C66" s="40"/>
      <c r="D66" s="40"/>
      <c r="E66" s="40"/>
      <c r="F66" s="40"/>
      <c r="G66" s="40"/>
      <c r="H66" s="40"/>
      <c r="I66" s="40"/>
      <c r="J66" s="40"/>
      <c r="K66" s="40"/>
      <c r="L66" s="40"/>
      <c r="M66" s="40"/>
      <c r="N66" s="40"/>
      <c r="O66" s="40"/>
      <c r="P66" s="40"/>
      <c r="Q66" s="40"/>
      <c r="R66" s="40"/>
      <c r="S66" s="40"/>
      <c r="T66" s="40"/>
      <c r="U66" s="40"/>
      <c r="V66" s="40"/>
      <c r="W66" s="40"/>
      <c r="X66" s="40"/>
      <c r="Y66" s="40"/>
      <c r="Z66" s="40"/>
      <c r="AA66" s="40"/>
      <c r="AB66" s="40"/>
      <c r="AC66" s="40"/>
      <c r="AD66" s="40"/>
      <c r="AE66" s="40"/>
      <c r="AF66" s="40"/>
    </row>
    <row r="67" spans="1:32">
      <c r="A67" s="40"/>
      <c r="B67" s="40"/>
      <c r="C67" s="40"/>
      <c r="D67" s="40"/>
      <c r="E67" s="40"/>
      <c r="F67" s="40"/>
      <c r="G67" s="40"/>
      <c r="H67" s="40"/>
      <c r="I67" s="40"/>
      <c r="J67" s="40"/>
      <c r="K67" s="40"/>
      <c r="L67" s="40"/>
      <c r="M67" s="40"/>
      <c r="N67" s="40"/>
      <c r="O67" s="40"/>
      <c r="P67" s="40"/>
      <c r="Q67" s="40"/>
      <c r="R67" s="40"/>
      <c r="S67" s="40"/>
      <c r="T67" s="40"/>
      <c r="U67" s="40"/>
      <c r="V67" s="40"/>
      <c r="W67" s="40"/>
      <c r="X67" s="40"/>
      <c r="Y67" s="40"/>
      <c r="Z67" s="40"/>
      <c r="AA67" s="40"/>
      <c r="AB67" s="40"/>
      <c r="AC67" s="40"/>
      <c r="AD67" s="40"/>
      <c r="AE67" s="40"/>
      <c r="AF67" s="40"/>
    </row>
    <row r="68" spans="1:32">
      <c r="A68" s="40"/>
      <c r="B68" s="40"/>
      <c r="C68" s="40"/>
      <c r="D68" s="40"/>
      <c r="E68" s="40"/>
      <c r="F68" s="40"/>
      <c r="G68" s="40"/>
      <c r="H68" s="40"/>
      <c r="I68" s="40"/>
      <c r="J68" s="40"/>
      <c r="K68" s="40"/>
      <c r="L68" s="40"/>
      <c r="M68" s="40"/>
      <c r="N68" s="40"/>
      <c r="O68" s="40"/>
      <c r="P68" s="40"/>
      <c r="Q68" s="40"/>
      <c r="R68" s="40"/>
      <c r="S68" s="40"/>
      <c r="T68" s="40"/>
      <c r="U68" s="40"/>
      <c r="V68" s="40"/>
      <c r="W68" s="40"/>
      <c r="X68" s="40"/>
      <c r="Y68" s="40"/>
      <c r="Z68" s="40"/>
      <c r="AA68" s="40"/>
      <c r="AB68" s="40"/>
      <c r="AC68" s="40"/>
      <c r="AD68" s="40"/>
      <c r="AE68" s="40"/>
      <c r="AF68" s="40"/>
    </row>
    <row r="69" spans="1:32">
      <c r="A69" s="40"/>
      <c r="B69" s="40"/>
      <c r="C69" s="40"/>
      <c r="D69" s="40"/>
      <c r="E69" s="40"/>
      <c r="F69" s="40"/>
      <c r="G69" s="40"/>
      <c r="H69" s="40"/>
      <c r="I69" s="40"/>
      <c r="J69" s="40"/>
      <c r="K69" s="40"/>
      <c r="L69" s="40"/>
      <c r="M69" s="40"/>
      <c r="N69" s="40"/>
      <c r="O69" s="40"/>
      <c r="P69" s="40"/>
      <c r="Q69" s="40"/>
      <c r="R69" s="40"/>
      <c r="S69" s="40"/>
      <c r="T69" s="40"/>
      <c r="U69" s="40"/>
      <c r="V69" s="40"/>
      <c r="W69" s="40"/>
      <c r="X69" s="40"/>
      <c r="Y69" s="40"/>
      <c r="Z69" s="40"/>
      <c r="AA69" s="40"/>
      <c r="AB69" s="40"/>
      <c r="AC69" s="40"/>
      <c r="AD69" s="40"/>
      <c r="AE69" s="40"/>
      <c r="AF69" s="40"/>
    </row>
    <row r="70" spans="1:32">
      <c r="A70" s="40"/>
      <c r="B70" s="40"/>
      <c r="C70" s="40"/>
      <c r="D70" s="40"/>
      <c r="E70" s="40"/>
      <c r="F70" s="40"/>
      <c r="G70" s="40"/>
      <c r="H70" s="40"/>
      <c r="I70" s="40"/>
      <c r="J70" s="40"/>
      <c r="K70" s="40"/>
      <c r="L70" s="40"/>
      <c r="M70" s="40"/>
      <c r="N70" s="40"/>
      <c r="O70" s="40"/>
      <c r="P70" s="40"/>
      <c r="Q70" s="40"/>
      <c r="R70" s="40"/>
      <c r="S70" s="40"/>
      <c r="T70" s="40"/>
      <c r="U70" s="40"/>
      <c r="V70" s="40"/>
      <c r="W70" s="40"/>
      <c r="X70" s="40"/>
      <c r="Y70" s="40"/>
      <c r="Z70" s="40"/>
      <c r="AA70" s="40"/>
      <c r="AB70" s="40"/>
      <c r="AC70" s="40"/>
      <c r="AD70" s="40"/>
      <c r="AE70" s="40"/>
      <c r="AF70" s="40"/>
    </row>
    <row r="71" spans="1:32">
      <c r="A71" s="40"/>
      <c r="B71" s="40"/>
      <c r="C71" s="40"/>
      <c r="D71" s="40"/>
      <c r="E71" s="40"/>
      <c r="F71" s="40"/>
      <c r="G71" s="40"/>
      <c r="H71" s="40"/>
      <c r="I71" s="40"/>
      <c r="J71" s="40"/>
      <c r="K71" s="40"/>
      <c r="L71" s="40"/>
      <c r="M71" s="40"/>
      <c r="N71" s="40"/>
      <c r="O71" s="40"/>
      <c r="P71" s="40"/>
      <c r="Q71" s="40"/>
      <c r="R71" s="40"/>
      <c r="S71" s="40"/>
      <c r="T71" s="40"/>
      <c r="U71" s="40"/>
      <c r="V71" s="40"/>
      <c r="W71" s="40"/>
      <c r="X71" s="40"/>
      <c r="Y71" s="40"/>
      <c r="Z71" s="40"/>
      <c r="AA71" s="40"/>
      <c r="AB71" s="40"/>
      <c r="AC71" s="40"/>
      <c r="AD71" s="40"/>
      <c r="AE71" s="40"/>
      <c r="AF71" s="40"/>
    </row>
    <row r="72" spans="1:32">
      <c r="A72" s="40"/>
      <c r="B72" s="40"/>
      <c r="C72" s="40"/>
      <c r="D72" s="40"/>
      <c r="E72" s="40"/>
      <c r="F72" s="40"/>
      <c r="G72" s="40"/>
      <c r="H72" s="40"/>
      <c r="I72" s="40"/>
      <c r="J72" s="40"/>
      <c r="K72" s="40"/>
      <c r="L72" s="40"/>
      <c r="M72" s="40"/>
      <c r="N72" s="40"/>
      <c r="O72" s="40"/>
      <c r="P72" s="40"/>
      <c r="Q72" s="40"/>
      <c r="R72" s="40"/>
      <c r="S72" s="40"/>
      <c r="T72" s="40"/>
      <c r="U72" s="40"/>
      <c r="V72" s="40"/>
      <c r="W72" s="40"/>
      <c r="X72" s="40"/>
      <c r="Y72" s="40"/>
      <c r="Z72" s="40"/>
      <c r="AA72" s="40"/>
      <c r="AB72" s="40"/>
      <c r="AC72" s="40"/>
      <c r="AD72" s="40"/>
      <c r="AE72" s="40"/>
      <c r="AF72" s="40"/>
    </row>
    <row r="73" spans="1:32">
      <c r="A73" s="40"/>
      <c r="B73" s="40"/>
      <c r="C73" s="40"/>
      <c r="D73" s="40"/>
      <c r="E73" s="40"/>
      <c r="F73" s="40"/>
      <c r="G73" s="40"/>
      <c r="H73" s="40"/>
      <c r="I73" s="40"/>
      <c r="J73" s="40"/>
      <c r="K73" s="40"/>
      <c r="L73" s="40"/>
      <c r="M73" s="40"/>
      <c r="N73" s="40"/>
      <c r="O73" s="40"/>
      <c r="P73" s="40"/>
      <c r="Q73" s="40"/>
      <c r="R73" s="40"/>
      <c r="S73" s="40"/>
      <c r="T73" s="40"/>
      <c r="U73" s="40"/>
      <c r="V73" s="40"/>
      <c r="W73" s="40"/>
      <c r="X73" s="40"/>
      <c r="Y73" s="40"/>
      <c r="Z73" s="40"/>
      <c r="AA73" s="40"/>
      <c r="AB73" s="40"/>
      <c r="AC73" s="40"/>
      <c r="AD73" s="40"/>
      <c r="AE73" s="40"/>
      <c r="AF73" s="40"/>
    </row>
    <row r="74" spans="1:32">
      <c r="A74" s="40"/>
      <c r="B74" s="40"/>
      <c r="C74" s="40"/>
      <c r="D74" s="40"/>
      <c r="E74" s="40"/>
      <c r="F74" s="40"/>
      <c r="G74" s="40"/>
      <c r="H74" s="40"/>
      <c r="I74" s="40"/>
      <c r="J74" s="40"/>
      <c r="K74" s="40"/>
      <c r="L74" s="40"/>
      <c r="M74" s="40"/>
      <c r="N74" s="40"/>
      <c r="O74" s="40"/>
      <c r="P74" s="40"/>
      <c r="Q74" s="40"/>
      <c r="R74" s="40"/>
      <c r="S74" s="40"/>
      <c r="T74" s="40"/>
      <c r="U74" s="40"/>
      <c r="V74" s="40"/>
      <c r="W74" s="40"/>
      <c r="X74" s="40"/>
      <c r="Y74" s="40"/>
      <c r="Z74" s="40"/>
      <c r="AA74" s="40"/>
      <c r="AB74" s="40"/>
      <c r="AC74" s="40"/>
      <c r="AD74" s="40"/>
      <c r="AE74" s="40"/>
      <c r="AF74" s="40"/>
    </row>
    <row r="75" spans="1:32">
      <c r="A75" s="40"/>
      <c r="B75" s="40"/>
      <c r="C75" s="40"/>
      <c r="D75" s="40"/>
      <c r="E75" s="40"/>
      <c r="F75" s="40"/>
      <c r="G75" s="40"/>
      <c r="H75" s="40"/>
      <c r="I75" s="40"/>
      <c r="J75" s="40"/>
      <c r="K75" s="40"/>
      <c r="L75" s="40"/>
      <c r="M75" s="40"/>
      <c r="N75" s="40"/>
      <c r="O75" s="40"/>
      <c r="P75" s="40"/>
      <c r="Q75" s="40"/>
      <c r="R75" s="40"/>
      <c r="S75" s="40"/>
      <c r="T75" s="40"/>
      <c r="U75" s="40"/>
      <c r="V75" s="40"/>
      <c r="W75" s="40"/>
      <c r="X75" s="40"/>
      <c r="Y75" s="40"/>
      <c r="Z75" s="40"/>
      <c r="AA75" s="40"/>
      <c r="AB75" s="40"/>
      <c r="AC75" s="40"/>
      <c r="AD75" s="40"/>
      <c r="AE75" s="40"/>
      <c r="AF75" s="40"/>
    </row>
    <row r="76" spans="1:32">
      <c r="A76" s="40"/>
      <c r="B76" s="40"/>
      <c r="C76" s="40"/>
      <c r="D76" s="40"/>
      <c r="E76" s="40"/>
      <c r="F76" s="40"/>
      <c r="G76" s="40"/>
      <c r="H76" s="40"/>
      <c r="I76" s="40"/>
      <c r="J76" s="40"/>
      <c r="K76" s="40"/>
      <c r="L76" s="40"/>
      <c r="M76" s="40"/>
      <c r="N76" s="40"/>
      <c r="O76" s="40"/>
      <c r="P76" s="40"/>
      <c r="Q76" s="40"/>
      <c r="R76" s="40"/>
      <c r="S76" s="40"/>
      <c r="T76" s="40"/>
      <c r="U76" s="40"/>
      <c r="V76" s="40"/>
      <c r="W76" s="40"/>
      <c r="X76" s="40"/>
      <c r="Y76" s="40"/>
      <c r="Z76" s="40"/>
      <c r="AA76" s="40"/>
      <c r="AB76" s="40"/>
      <c r="AC76" s="40"/>
      <c r="AD76" s="40"/>
      <c r="AE76" s="40"/>
      <c r="AF76" s="40"/>
    </row>
    <row r="77" spans="1:32">
      <c r="A77" s="40"/>
      <c r="B77" s="40"/>
      <c r="C77" s="40"/>
      <c r="D77" s="40"/>
      <c r="E77" s="40"/>
      <c r="F77" s="40"/>
      <c r="G77" s="40"/>
      <c r="H77" s="40"/>
      <c r="I77" s="40"/>
      <c r="J77" s="40"/>
      <c r="K77" s="40"/>
      <c r="L77" s="40"/>
      <c r="M77" s="40"/>
      <c r="N77" s="40"/>
      <c r="O77" s="40"/>
      <c r="P77" s="40"/>
      <c r="Q77" s="40"/>
      <c r="R77" s="40"/>
      <c r="S77" s="40"/>
      <c r="T77" s="40"/>
      <c r="U77" s="40"/>
      <c r="V77" s="40"/>
      <c r="W77" s="40"/>
      <c r="X77" s="40"/>
      <c r="Y77" s="40"/>
      <c r="Z77" s="40"/>
      <c r="AA77" s="40"/>
      <c r="AB77" s="40"/>
      <c r="AC77" s="40"/>
      <c r="AD77" s="40"/>
      <c r="AE77" s="40"/>
      <c r="AF77" s="40"/>
    </row>
    <row r="78" spans="1:32">
      <c r="A78" s="40"/>
      <c r="B78" s="40"/>
      <c r="C78" s="40"/>
      <c r="D78" s="40"/>
      <c r="E78" s="40"/>
      <c r="F78" s="40"/>
      <c r="G78" s="40"/>
      <c r="H78" s="40"/>
      <c r="I78" s="40"/>
      <c r="J78" s="40"/>
      <c r="K78" s="40"/>
      <c r="L78" s="40"/>
      <c r="M78" s="40"/>
      <c r="N78" s="40"/>
      <c r="O78" s="40"/>
      <c r="P78" s="40"/>
      <c r="Q78" s="40"/>
      <c r="R78" s="40"/>
      <c r="S78" s="40"/>
      <c r="T78" s="40"/>
      <c r="U78" s="40"/>
      <c r="V78" s="40"/>
      <c r="W78" s="40"/>
      <c r="X78" s="40"/>
      <c r="Y78" s="40"/>
      <c r="Z78" s="40"/>
      <c r="AA78" s="40"/>
      <c r="AB78" s="40"/>
      <c r="AC78" s="40"/>
      <c r="AD78" s="40"/>
      <c r="AE78" s="40"/>
      <c r="AF78" s="40"/>
    </row>
    <row r="79" spans="1:32">
      <c r="A79" s="40"/>
      <c r="B79" s="40"/>
      <c r="C79" s="40"/>
      <c r="D79" s="40"/>
      <c r="E79" s="40"/>
      <c r="F79" s="40"/>
      <c r="G79" s="40"/>
      <c r="H79" s="40"/>
      <c r="I79" s="40"/>
      <c r="J79" s="40"/>
      <c r="K79" s="40"/>
      <c r="L79" s="40"/>
      <c r="M79" s="40"/>
      <c r="N79" s="40"/>
      <c r="O79" s="40"/>
      <c r="P79" s="40"/>
      <c r="Q79" s="40"/>
      <c r="R79" s="40"/>
      <c r="S79" s="40"/>
      <c r="T79" s="40"/>
      <c r="U79" s="40"/>
      <c r="V79" s="40"/>
      <c r="W79" s="40"/>
      <c r="X79" s="40"/>
      <c r="Y79" s="40"/>
      <c r="Z79" s="40"/>
      <c r="AA79" s="40"/>
      <c r="AB79" s="40"/>
      <c r="AC79" s="40"/>
      <c r="AD79" s="40"/>
      <c r="AE79" s="40"/>
      <c r="AF79" s="40"/>
    </row>
    <row r="80" spans="1:32">
      <c r="A80" s="40"/>
      <c r="B80" s="40"/>
      <c r="C80" s="40"/>
      <c r="D80" s="40"/>
      <c r="E80" s="40"/>
      <c r="F80" s="40"/>
      <c r="G80" s="40"/>
      <c r="H80" s="40"/>
      <c r="I80" s="40"/>
      <c r="J80" s="40"/>
      <c r="K80" s="40"/>
      <c r="L80" s="40"/>
      <c r="M80" s="40"/>
      <c r="N80" s="40"/>
      <c r="O80" s="40"/>
      <c r="P80" s="40"/>
      <c r="Q80" s="40"/>
      <c r="R80" s="40"/>
      <c r="S80" s="40"/>
      <c r="T80" s="40"/>
      <c r="U80" s="40"/>
      <c r="V80" s="40"/>
      <c r="W80" s="40"/>
      <c r="X80" s="40"/>
      <c r="Y80" s="40"/>
      <c r="Z80" s="40"/>
      <c r="AA80" s="40"/>
      <c r="AB80" s="40"/>
      <c r="AC80" s="40"/>
      <c r="AD80" s="40"/>
      <c r="AE80" s="40"/>
      <c r="AF80" s="40"/>
    </row>
  </sheetData>
  <mergeCells count="5">
    <mergeCell ref="A1:AF1"/>
    <mergeCell ref="A2:AF2"/>
    <mergeCell ref="A3:AF3"/>
    <mergeCell ref="A11:AF11"/>
    <mergeCell ref="A26:AF26"/>
  </mergeCells>
  <conditionalFormatting sqref="C31">
    <cfRule type="containsText" dxfId="3" priority="1" operator="containsText" text="OK"/>
    <cfRule type="containsText" dxfId="2" priority="2" operator="containsText" text="KIỂM TRA"/>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F80"/>
  <sheetViews>
    <sheetView showGridLines="0" workbookViewId="0"/>
  </sheetViews>
  <sheetFormatPr defaultRowHeight="14"/>
  <cols>
    <col min="1" max="1" width="10" customWidth="1"/>
    <col min="2" max="2" width="34" customWidth="1"/>
    <col min="3" max="32" width="12" customWidth="1"/>
  </cols>
  <sheetData>
    <row r="1" spans="1:32" ht="15" customHeight="1">
      <c r="A1" s="135" t="s">
        <v>491</v>
      </c>
      <c r="B1" s="135"/>
      <c r="C1" s="136"/>
      <c r="D1" s="136"/>
      <c r="E1" s="136"/>
      <c r="F1" s="136"/>
      <c r="G1" s="136"/>
      <c r="H1" s="136"/>
      <c r="I1" s="136"/>
      <c r="J1" s="136"/>
      <c r="K1" s="136"/>
      <c r="L1" s="136"/>
      <c r="M1" s="136"/>
      <c r="N1" s="136"/>
      <c r="O1" s="136"/>
      <c r="P1" s="136"/>
      <c r="Q1" s="136"/>
      <c r="R1" s="136"/>
      <c r="S1" s="136"/>
      <c r="T1" s="136"/>
      <c r="U1" s="136"/>
      <c r="V1" s="136"/>
      <c r="W1" s="136"/>
      <c r="X1" s="136"/>
      <c r="Y1" s="136"/>
      <c r="Z1" s="136"/>
      <c r="AA1" s="136"/>
      <c r="AB1" s="136"/>
      <c r="AC1" s="136"/>
      <c r="AD1" s="136"/>
      <c r="AE1" s="136"/>
      <c r="AF1" s="136"/>
    </row>
    <row r="2" spans="1:32" ht="15" customHeight="1">
      <c r="A2" s="137" t="s">
        <v>492</v>
      </c>
      <c r="B2" s="137"/>
      <c r="C2" s="137"/>
      <c r="D2" s="137"/>
      <c r="E2" s="137"/>
      <c r="F2" s="137"/>
      <c r="G2" s="137"/>
      <c r="H2" s="137"/>
      <c r="I2" s="137"/>
      <c r="J2" s="137"/>
      <c r="K2" s="137"/>
      <c r="L2" s="137"/>
      <c r="M2" s="137"/>
      <c r="N2" s="137"/>
      <c r="O2" s="137"/>
      <c r="P2" s="137"/>
      <c r="Q2" s="137"/>
      <c r="R2" s="137"/>
      <c r="S2" s="137"/>
      <c r="T2" s="137"/>
      <c r="U2" s="137"/>
      <c r="V2" s="137"/>
      <c r="W2" s="137"/>
      <c r="X2" s="137"/>
      <c r="Y2" s="137"/>
      <c r="Z2" s="137"/>
      <c r="AA2" s="137"/>
      <c r="AB2" s="137"/>
      <c r="AC2" s="137"/>
      <c r="AD2" s="137"/>
      <c r="AE2" s="137"/>
      <c r="AF2" s="137"/>
    </row>
    <row r="3" spans="1:32" ht="15" customHeight="1">
      <c r="A3" s="138" t="s">
        <v>467</v>
      </c>
      <c r="B3" s="138"/>
      <c r="C3" s="139"/>
      <c r="D3" s="139"/>
      <c r="E3" s="139"/>
      <c r="F3" s="139"/>
      <c r="G3" s="139"/>
      <c r="H3" s="139"/>
      <c r="I3" s="139"/>
      <c r="J3" s="139"/>
      <c r="K3" s="139"/>
      <c r="L3" s="139"/>
      <c r="M3" s="139"/>
      <c r="N3" s="139"/>
      <c r="O3" s="139"/>
      <c r="P3" s="139"/>
      <c r="Q3" s="139"/>
      <c r="R3" s="139"/>
      <c r="S3" s="139"/>
      <c r="T3" s="139"/>
      <c r="U3" s="139"/>
      <c r="V3" s="139"/>
      <c r="W3" s="139"/>
      <c r="X3" s="139"/>
      <c r="Y3" s="139"/>
      <c r="Z3" s="139"/>
      <c r="AA3" s="139"/>
      <c r="AB3" s="139"/>
      <c r="AC3" s="139"/>
      <c r="AD3" s="139"/>
      <c r="AE3" s="139"/>
      <c r="AF3" s="139"/>
    </row>
    <row r="4" spans="1:32" ht="15" customHeight="1">
      <c r="A4" s="69"/>
      <c r="B4" s="69"/>
      <c r="C4" s="64"/>
      <c r="D4" s="64"/>
      <c r="E4" s="64"/>
      <c r="F4" s="64"/>
      <c r="G4" s="64"/>
      <c r="H4" s="64"/>
      <c r="I4" s="64"/>
      <c r="J4" s="64"/>
      <c r="K4" s="64"/>
      <c r="L4" s="64"/>
      <c r="M4" s="64"/>
      <c r="N4" s="64"/>
      <c r="O4" s="64"/>
      <c r="P4" s="64"/>
      <c r="Q4" s="64"/>
      <c r="R4" s="64"/>
      <c r="S4" s="64"/>
      <c r="T4" s="64"/>
      <c r="U4" s="64"/>
      <c r="V4" s="64"/>
      <c r="W4" s="64"/>
      <c r="X4" s="64"/>
      <c r="Y4" s="64"/>
      <c r="Z4" s="64"/>
      <c r="AA4" s="64"/>
      <c r="AB4" s="64"/>
      <c r="AC4" s="64"/>
      <c r="AD4" s="64"/>
      <c r="AE4" s="64"/>
      <c r="AF4" s="64"/>
    </row>
    <row r="5" spans="1:32" ht="15" customHeight="1">
      <c r="A5" s="69"/>
      <c r="B5" s="69"/>
      <c r="C5" s="64"/>
      <c r="D5" s="64"/>
      <c r="E5" s="64"/>
      <c r="F5" s="64"/>
      <c r="G5" s="64"/>
      <c r="H5" s="64"/>
      <c r="I5" s="64"/>
      <c r="J5" s="64"/>
      <c r="K5" s="64"/>
      <c r="L5" s="64"/>
      <c r="M5" s="64"/>
      <c r="N5" s="64"/>
      <c r="O5" s="64"/>
      <c r="P5" s="64"/>
      <c r="Q5" s="64"/>
      <c r="R5" s="64"/>
      <c r="S5" s="64"/>
      <c r="T5" s="64"/>
      <c r="U5" s="64"/>
      <c r="V5" s="64"/>
      <c r="W5" s="64"/>
      <c r="X5" s="64"/>
      <c r="Y5" s="64"/>
      <c r="Z5" s="64"/>
      <c r="AA5" s="64"/>
      <c r="AB5" s="64"/>
      <c r="AC5" s="64"/>
      <c r="AD5" s="64"/>
      <c r="AE5" s="64"/>
      <c r="AF5" s="64"/>
    </row>
    <row r="6" spans="1:32" ht="15" customHeight="1">
      <c r="A6" s="70"/>
      <c r="B6" s="70" t="s">
        <v>161</v>
      </c>
      <c r="C6" s="41">
        <f>CAPEX!C6</f>
        <v>2026</v>
      </c>
      <c r="D6" s="41">
        <f>CAPEX!D6</f>
        <v>2027</v>
      </c>
      <c r="E6" s="41">
        <f>CAPEX!E6</f>
        <v>2028</v>
      </c>
      <c r="F6" s="41">
        <f>CAPEX!F6</f>
        <v>2029</v>
      </c>
      <c r="G6" s="41">
        <f>CAPEX!G6</f>
        <v>2030</v>
      </c>
      <c r="H6" s="41">
        <f>CAPEX!H6</f>
        <v>2031</v>
      </c>
      <c r="I6" s="41">
        <f>CAPEX!I6</f>
        <v>2032</v>
      </c>
      <c r="J6" s="41">
        <f>CAPEX!J6</f>
        <v>2033</v>
      </c>
      <c r="K6" s="41">
        <f>CAPEX!K6</f>
        <v>2034</v>
      </c>
      <c r="L6" s="41">
        <f>CAPEX!L6</f>
        <v>2035</v>
      </c>
      <c r="M6" s="41">
        <f>CAPEX!M6</f>
        <v>2036</v>
      </c>
      <c r="N6" s="41">
        <f>CAPEX!N6</f>
        <v>2037</v>
      </c>
      <c r="O6" s="41">
        <f>CAPEX!O6</f>
        <v>2038</v>
      </c>
      <c r="P6" s="41">
        <f>CAPEX!P6</f>
        <v>2039</v>
      </c>
      <c r="Q6" s="41">
        <f>CAPEX!Q6</f>
        <v>2040</v>
      </c>
      <c r="R6" s="41">
        <f>CAPEX!R6</f>
        <v>2041</v>
      </c>
      <c r="S6" s="41">
        <f>CAPEX!S6</f>
        <v>2042</v>
      </c>
      <c r="T6" s="41">
        <f>CAPEX!T6</f>
        <v>2043</v>
      </c>
      <c r="U6" s="41">
        <f>CAPEX!U6</f>
        <v>2044</v>
      </c>
      <c r="V6" s="41">
        <f>CAPEX!V6</f>
        <v>2045</v>
      </c>
      <c r="W6" s="41">
        <f>CAPEX!W6</f>
        <v>2046</v>
      </c>
      <c r="X6" s="41">
        <f>CAPEX!X6</f>
        <v>2047</v>
      </c>
      <c r="Y6" s="41">
        <f>CAPEX!Y6</f>
        <v>2048</v>
      </c>
      <c r="Z6" s="41">
        <f>CAPEX!Z6</f>
        <v>2049</v>
      </c>
      <c r="AA6" s="41">
        <f>CAPEX!AA6</f>
        <v>2050</v>
      </c>
      <c r="AB6" s="41">
        <f>CAPEX!AB6</f>
        <v>2051</v>
      </c>
      <c r="AC6" s="41">
        <f>CAPEX!AC6</f>
        <v>2052</v>
      </c>
      <c r="AD6" s="41">
        <f>CAPEX!AD6</f>
        <v>2053</v>
      </c>
      <c r="AE6" s="41">
        <f>CAPEX!AE6</f>
        <v>2054</v>
      </c>
      <c r="AF6" s="41">
        <f>CAPEX!AF6</f>
        <v>2055</v>
      </c>
    </row>
    <row r="7" spans="1:32" ht="15" customHeight="1">
      <c r="A7" s="69"/>
      <c r="B7" s="69" t="s">
        <v>468</v>
      </c>
      <c r="C7" s="65">
        <f>CAPEX!C7</f>
        <v>0</v>
      </c>
      <c r="D7" s="65">
        <f>CAPEX!D7</f>
        <v>1</v>
      </c>
      <c r="E7" s="65">
        <f>CAPEX!E7</f>
        <v>2</v>
      </c>
      <c r="F7" s="65">
        <f>CAPEX!F7</f>
        <v>3</v>
      </c>
      <c r="G7" s="65">
        <f>CAPEX!G7</f>
        <v>4</v>
      </c>
      <c r="H7" s="65">
        <f>CAPEX!H7</f>
        <v>5</v>
      </c>
      <c r="I7" s="65">
        <f>CAPEX!I7</f>
        <v>6</v>
      </c>
      <c r="J7" s="65">
        <f>CAPEX!J7</f>
        <v>7</v>
      </c>
      <c r="K7" s="65">
        <f>CAPEX!K7</f>
        <v>8</v>
      </c>
      <c r="L7" s="65">
        <f>CAPEX!L7</f>
        <v>9</v>
      </c>
      <c r="M7" s="65">
        <f>CAPEX!M7</f>
        <v>10</v>
      </c>
      <c r="N7" s="65">
        <f>CAPEX!N7</f>
        <v>11</v>
      </c>
      <c r="O7" s="65">
        <f>CAPEX!O7</f>
        <v>12</v>
      </c>
      <c r="P7" s="65">
        <f>CAPEX!P7</f>
        <v>13</v>
      </c>
      <c r="Q7" s="65">
        <f>CAPEX!Q7</f>
        <v>14</v>
      </c>
      <c r="R7" s="65">
        <f>CAPEX!R7</f>
        <v>15</v>
      </c>
      <c r="S7" s="65">
        <f>CAPEX!S7</f>
        <v>16</v>
      </c>
      <c r="T7" s="65">
        <f>CAPEX!T7</f>
        <v>17</v>
      </c>
      <c r="U7" s="65">
        <f>CAPEX!U7</f>
        <v>18</v>
      </c>
      <c r="V7" s="65">
        <f>CAPEX!V7</f>
        <v>19</v>
      </c>
      <c r="W7" s="65">
        <f>CAPEX!W7</f>
        <v>20</v>
      </c>
      <c r="X7" s="65">
        <f>CAPEX!X7</f>
        <v>21</v>
      </c>
      <c r="Y7" s="65">
        <f>CAPEX!Y7</f>
        <v>22</v>
      </c>
      <c r="Z7" s="65">
        <f>CAPEX!Z7</f>
        <v>23</v>
      </c>
      <c r="AA7" s="65">
        <f>CAPEX!AA7</f>
        <v>24</v>
      </c>
      <c r="AB7" s="65">
        <f>CAPEX!AB7</f>
        <v>25</v>
      </c>
      <c r="AC7" s="65">
        <f>CAPEX!AC7</f>
        <v>26</v>
      </c>
      <c r="AD7" s="65">
        <f>CAPEX!AD7</f>
        <v>27</v>
      </c>
      <c r="AE7" s="65">
        <f>CAPEX!AE7</f>
        <v>28</v>
      </c>
      <c r="AF7" s="65">
        <f>CAPEX!AF7</f>
        <v>29</v>
      </c>
    </row>
    <row r="8" spans="1:32" ht="15" customHeight="1">
      <c r="A8" s="69"/>
      <c r="B8" s="69" t="s">
        <v>470</v>
      </c>
      <c r="C8" s="65">
        <f>CAPEX!C9</f>
        <v>0</v>
      </c>
      <c r="D8" s="65">
        <f>CAPEX!D9</f>
        <v>0</v>
      </c>
      <c r="E8" s="65">
        <f>CAPEX!E9</f>
        <v>1</v>
      </c>
      <c r="F8" s="65">
        <f>CAPEX!F9</f>
        <v>2</v>
      </c>
      <c r="G8" s="65">
        <f>CAPEX!G9</f>
        <v>3</v>
      </c>
      <c r="H8" s="65">
        <f>CAPEX!H9</f>
        <v>4</v>
      </c>
      <c r="I8" s="65">
        <f>CAPEX!I9</f>
        <v>5</v>
      </c>
      <c r="J8" s="65">
        <f>CAPEX!J9</f>
        <v>6</v>
      </c>
      <c r="K8" s="65">
        <f>CAPEX!K9</f>
        <v>7</v>
      </c>
      <c r="L8" s="65">
        <f>CAPEX!L9</f>
        <v>8</v>
      </c>
      <c r="M8" s="65">
        <f>CAPEX!M9</f>
        <v>9</v>
      </c>
      <c r="N8" s="65">
        <f>CAPEX!N9</f>
        <v>10</v>
      </c>
      <c r="O8" s="65">
        <f>CAPEX!O9</f>
        <v>11</v>
      </c>
      <c r="P8" s="65">
        <f>CAPEX!P9</f>
        <v>12</v>
      </c>
      <c r="Q8" s="65">
        <f>CAPEX!Q9</f>
        <v>13</v>
      </c>
      <c r="R8" s="65">
        <f>CAPEX!R9</f>
        <v>14</v>
      </c>
      <c r="S8" s="65">
        <f>CAPEX!S9</f>
        <v>15</v>
      </c>
      <c r="T8" s="65">
        <f>CAPEX!T9</f>
        <v>16</v>
      </c>
      <c r="U8" s="65">
        <f>CAPEX!U9</f>
        <v>17</v>
      </c>
      <c r="V8" s="65">
        <f>CAPEX!V9</f>
        <v>18</v>
      </c>
      <c r="W8" s="65">
        <f>CAPEX!W9</f>
        <v>19</v>
      </c>
      <c r="X8" s="65">
        <f>CAPEX!X9</f>
        <v>20</v>
      </c>
      <c r="Y8" s="65">
        <f>CAPEX!Y9</f>
        <v>0</v>
      </c>
      <c r="Z8" s="65">
        <f>CAPEX!Z9</f>
        <v>0</v>
      </c>
      <c r="AA8" s="65">
        <f>CAPEX!AA9</f>
        <v>0</v>
      </c>
      <c r="AB8" s="65">
        <f>CAPEX!AB9</f>
        <v>0</v>
      </c>
      <c r="AC8" s="65">
        <f>CAPEX!AC9</f>
        <v>0</v>
      </c>
      <c r="AD8" s="65">
        <f>CAPEX!AD9</f>
        <v>0</v>
      </c>
      <c r="AE8" s="65">
        <f>CAPEX!AE9</f>
        <v>0</v>
      </c>
      <c r="AF8" s="65">
        <f>CAPEX!AF9</f>
        <v>0</v>
      </c>
    </row>
    <row r="9" spans="1:32" ht="15" customHeight="1">
      <c r="A9" s="69"/>
      <c r="B9" s="69"/>
      <c r="C9" s="64"/>
      <c r="D9" s="64"/>
      <c r="E9" s="64"/>
      <c r="F9" s="64"/>
      <c r="G9" s="64"/>
      <c r="H9" s="64"/>
      <c r="I9" s="64"/>
      <c r="J9" s="64"/>
      <c r="K9" s="64"/>
      <c r="L9" s="64"/>
      <c r="M9" s="64"/>
      <c r="N9" s="64"/>
      <c r="O9" s="64"/>
      <c r="P9" s="64"/>
      <c r="Q9" s="64"/>
      <c r="R9" s="64"/>
      <c r="S9" s="64"/>
      <c r="T9" s="64"/>
      <c r="U9" s="64"/>
      <c r="V9" s="64"/>
      <c r="W9" s="64"/>
      <c r="X9" s="64"/>
      <c r="Y9" s="64"/>
      <c r="Z9" s="64"/>
      <c r="AA9" s="64"/>
      <c r="AB9" s="64"/>
      <c r="AC9" s="64"/>
      <c r="AD9" s="64"/>
      <c r="AE9" s="64"/>
      <c r="AF9" s="64"/>
    </row>
    <row r="10" spans="1:32" ht="15" customHeight="1">
      <c r="A10" s="140" t="s">
        <v>493</v>
      </c>
      <c r="B10" s="140"/>
      <c r="C10" s="141"/>
      <c r="D10" s="141"/>
      <c r="E10" s="141"/>
      <c r="F10" s="141"/>
      <c r="G10" s="141"/>
      <c r="H10" s="141"/>
      <c r="I10" s="141"/>
      <c r="J10" s="141"/>
      <c r="K10" s="141"/>
      <c r="L10" s="141"/>
      <c r="M10" s="141"/>
      <c r="N10" s="141"/>
      <c r="O10" s="141"/>
      <c r="P10" s="141"/>
      <c r="Q10" s="141"/>
      <c r="R10" s="141"/>
      <c r="S10" s="141"/>
      <c r="T10" s="141"/>
      <c r="U10" s="141"/>
      <c r="V10" s="141"/>
      <c r="W10" s="141"/>
      <c r="X10" s="141"/>
      <c r="Y10" s="141"/>
      <c r="Z10" s="141"/>
      <c r="AA10" s="141"/>
      <c r="AB10" s="141"/>
      <c r="AC10" s="141"/>
      <c r="AD10" s="141"/>
      <c r="AE10" s="141"/>
      <c r="AF10" s="141"/>
    </row>
    <row r="11" spans="1:32" ht="15" customHeight="1">
      <c r="A11" s="71" t="s">
        <v>293</v>
      </c>
      <c r="B11" s="72" t="s">
        <v>494</v>
      </c>
      <c r="C11" s="45">
        <f>IF(C$8&gt;0,Input!$D$46*(1-Input!$D$47)^(C$8-1),0)</f>
        <v>0</v>
      </c>
      <c r="D11" s="45">
        <f>IF(D$8&gt;0,Input!$D$46*(1-Input!$D$47)^(D$8-1),0)</f>
        <v>0</v>
      </c>
      <c r="E11" s="45">
        <f>IF(E$8&gt;0,Input!$D$46*(1-Input!$D$47)^(E$8-1),0)</f>
        <v>551880</v>
      </c>
      <c r="F11" s="45">
        <f>IF(F$8&gt;0,Input!$D$46*(1-Input!$D$47)^(F$8-1),0)</f>
        <v>550776.24</v>
      </c>
      <c r="G11" s="45">
        <f>IF(G$8&gt;0,Input!$D$46*(1-Input!$D$47)^(G$8-1),0)</f>
        <v>549674.68752000004</v>
      </c>
      <c r="H11" s="45">
        <f>IF(H$8&gt;0,Input!$D$46*(1-Input!$D$47)^(H$8-1),0)</f>
        <v>548575.33814496</v>
      </c>
      <c r="I11" s="45">
        <f>IF(I$8&gt;0,Input!$D$46*(1-Input!$D$47)^(I$8-1),0)</f>
        <v>547478.18746867008</v>
      </c>
      <c r="J11" s="45">
        <f>IF(J$8&gt;0,Input!$D$46*(1-Input!$D$47)^(J$8-1),0)</f>
        <v>546383.23109373276</v>
      </c>
      <c r="K11" s="45">
        <f>IF(K$8&gt;0,Input!$D$46*(1-Input!$D$47)^(K$8-1),0)</f>
        <v>545290.46463154524</v>
      </c>
      <c r="L11" s="45">
        <f>IF(L$8&gt;0,Input!$D$46*(1-Input!$D$47)^(L$8-1),0)</f>
        <v>544199.88370228221</v>
      </c>
      <c r="M11" s="45">
        <f>IF(M$8&gt;0,Input!$D$46*(1-Input!$D$47)^(M$8-1),0)</f>
        <v>543111.48393487767</v>
      </c>
      <c r="N11" s="45">
        <f>IF(N$8&gt;0,Input!$D$46*(1-Input!$D$47)^(N$8-1),0)</f>
        <v>542025.26096700784</v>
      </c>
      <c r="O11" s="45">
        <f>IF(O$8&gt;0,Input!$D$46*(1-Input!$D$47)^(O$8-1),0)</f>
        <v>540941.2104450739</v>
      </c>
      <c r="P11" s="45">
        <f>IF(P$8&gt;0,Input!$D$46*(1-Input!$D$47)^(P$8-1),0)</f>
        <v>539859.32802418375</v>
      </c>
      <c r="Q11" s="45">
        <f>IF(Q$8&gt;0,Input!$D$46*(1-Input!$D$47)^(Q$8-1),0)</f>
        <v>538779.60936813545</v>
      </c>
      <c r="R11" s="45">
        <f>IF(R$8&gt;0,Input!$D$46*(1-Input!$D$47)^(R$8-1),0)</f>
        <v>537702.05014939909</v>
      </c>
      <c r="S11" s="45">
        <f>IF(S$8&gt;0,Input!$D$46*(1-Input!$D$47)^(S$8-1),0)</f>
        <v>536626.64604910032</v>
      </c>
      <c r="T11" s="45">
        <f>IF(T$8&gt;0,Input!$D$46*(1-Input!$D$47)^(T$8-1),0)</f>
        <v>535553.39275700215</v>
      </c>
      <c r="U11" s="45">
        <f>IF(U$8&gt;0,Input!$D$46*(1-Input!$D$47)^(U$8-1),0)</f>
        <v>534482.28597148811</v>
      </c>
      <c r="V11" s="45">
        <f>IF(V$8&gt;0,Input!$D$46*(1-Input!$D$47)^(V$8-1),0)</f>
        <v>533413.32139954518</v>
      </c>
      <c r="W11" s="45">
        <f>IF(W$8&gt;0,Input!$D$46*(1-Input!$D$47)^(W$8-1),0)</f>
        <v>532346.49475674599</v>
      </c>
      <c r="X11" s="45">
        <f>IF(X$8&gt;0,Input!$D$46*(1-Input!$D$47)^(X$8-1),0)</f>
        <v>531281.8017672326</v>
      </c>
      <c r="Y11" s="45">
        <f>IF(Y$8&gt;0,Input!$D$46*(1-Input!$D$47)^(Y$8-1),0)</f>
        <v>0</v>
      </c>
      <c r="Z11" s="45">
        <f>IF(Z$8&gt;0,Input!$D$46*(1-Input!$D$47)^(Z$8-1),0)</f>
        <v>0</v>
      </c>
      <c r="AA11" s="45">
        <f>IF(AA$8&gt;0,Input!$D$46*(1-Input!$D$47)^(AA$8-1),0)</f>
        <v>0</v>
      </c>
      <c r="AB11" s="45">
        <f>IF(AB$8&gt;0,Input!$D$46*(1-Input!$D$47)^(AB$8-1),0)</f>
        <v>0</v>
      </c>
      <c r="AC11" s="45">
        <f>IF(AC$8&gt;0,Input!$D$46*(1-Input!$D$47)^(AC$8-1),0)</f>
        <v>0</v>
      </c>
      <c r="AD11" s="45">
        <f>IF(AD$8&gt;0,Input!$D$46*(1-Input!$D$47)^(AD$8-1),0)</f>
        <v>0</v>
      </c>
      <c r="AE11" s="45">
        <f>IF(AE$8&gt;0,Input!$D$46*(1-Input!$D$47)^(AE$8-1),0)</f>
        <v>0</v>
      </c>
      <c r="AF11" s="45">
        <f>IF(AF$8&gt;0,Input!$D$46*(1-Input!$D$47)^(AF$8-1),0)</f>
        <v>0</v>
      </c>
    </row>
    <row r="12" spans="1:32" ht="15" customHeight="1">
      <c r="A12" s="71" t="s">
        <v>297</v>
      </c>
      <c r="B12" s="71" t="s">
        <v>495</v>
      </c>
      <c r="C12" s="42">
        <f>IF(C$8&gt;0,(1-Input!$D$47)^(C$8-1),0)</f>
        <v>0</v>
      </c>
      <c r="D12" s="42">
        <f>IF(D$8&gt;0,(1-Input!$D$47)^(D$8-1),0)</f>
        <v>0</v>
      </c>
      <c r="E12" s="42">
        <f>IF(E$8&gt;0,(1-Input!$D$47)^(E$8-1),0)</f>
        <v>1</v>
      </c>
      <c r="F12" s="42">
        <f>IF(F$8&gt;0,(1-Input!$D$47)^(F$8-1),0)</f>
        <v>0.998</v>
      </c>
      <c r="G12" s="42">
        <f>IF(G$8&gt;0,(1-Input!$D$47)^(G$8-1),0)</f>
        <v>0.996004</v>
      </c>
      <c r="H12" s="42">
        <f>IF(H$8&gt;0,(1-Input!$D$47)^(H$8-1),0)</f>
        <v>0.99401199200000001</v>
      </c>
      <c r="I12" s="42">
        <f>IF(I$8&gt;0,(1-Input!$D$47)^(I$8-1),0)</f>
        <v>0.99202396801600001</v>
      </c>
      <c r="J12" s="42">
        <f>IF(J$8&gt;0,(1-Input!$D$47)^(J$8-1),0)</f>
        <v>0.99003992007996799</v>
      </c>
      <c r="K12" s="42">
        <f>IF(K$8&gt;0,(1-Input!$D$47)^(K$8-1),0)</f>
        <v>0.98805984023980808</v>
      </c>
      <c r="L12" s="42">
        <f>IF(L$8&gt;0,(1-Input!$D$47)^(L$8-1),0)</f>
        <v>0.98608372055932847</v>
      </c>
      <c r="M12" s="42">
        <f>IF(M$8&gt;0,(1-Input!$D$47)^(M$8-1),0)</f>
        <v>0.98411155311820986</v>
      </c>
      <c r="N12" s="42">
        <f>IF(N$8&gt;0,(1-Input!$D$47)^(N$8-1),0)</f>
        <v>0.9821433300119734</v>
      </c>
      <c r="O12" s="42">
        <f>IF(O$8&gt;0,(1-Input!$D$47)^(O$8-1),0)</f>
        <v>0.9801790433519495</v>
      </c>
      <c r="P12" s="42">
        <f>IF(P$8&gt;0,(1-Input!$D$47)^(P$8-1),0)</f>
        <v>0.97821868526524558</v>
      </c>
      <c r="Q12" s="42">
        <f>IF(Q$8&gt;0,(1-Input!$D$47)^(Q$8-1),0)</f>
        <v>0.97626224789471516</v>
      </c>
      <c r="R12" s="42">
        <f>IF(R$8&gt;0,(1-Input!$D$47)^(R$8-1),0)</f>
        <v>0.97430972339892563</v>
      </c>
      <c r="S12" s="42">
        <f>IF(S$8&gt;0,(1-Input!$D$47)^(S$8-1),0)</f>
        <v>0.97236110395212783</v>
      </c>
      <c r="T12" s="42">
        <f>IF(T$8&gt;0,(1-Input!$D$47)^(T$8-1),0)</f>
        <v>0.97041638174422362</v>
      </c>
      <c r="U12" s="42">
        <f>IF(U$8&gt;0,(1-Input!$D$47)^(U$8-1),0)</f>
        <v>0.96847554898073518</v>
      </c>
      <c r="V12" s="42">
        <f>IF(V$8&gt;0,(1-Input!$D$47)^(V$8-1),0)</f>
        <v>0.96653859788277374</v>
      </c>
      <c r="W12" s="42">
        <f>IF(W$8&gt;0,(1-Input!$D$47)^(W$8-1),0)</f>
        <v>0.96460552068700811</v>
      </c>
      <c r="X12" s="42">
        <f>IF(X$8&gt;0,(1-Input!$D$47)^(X$8-1),0)</f>
        <v>0.96267630964563411</v>
      </c>
      <c r="Y12" s="42">
        <f>IF(Y$8&gt;0,(1-Input!$D$47)^(Y$8-1),0)</f>
        <v>0</v>
      </c>
      <c r="Z12" s="42">
        <f>IF(Z$8&gt;0,(1-Input!$D$47)^(Z$8-1),0)</f>
        <v>0</v>
      </c>
      <c r="AA12" s="42">
        <f>IF(AA$8&gt;0,(1-Input!$D$47)^(AA$8-1),0)</f>
        <v>0</v>
      </c>
      <c r="AB12" s="42">
        <f>IF(AB$8&gt;0,(1-Input!$D$47)^(AB$8-1),0)</f>
        <v>0</v>
      </c>
      <c r="AC12" s="42">
        <f>IF(AC$8&gt;0,(1-Input!$D$47)^(AC$8-1),0)</f>
        <v>0</v>
      </c>
      <c r="AD12" s="42">
        <f>IF(AD$8&gt;0,(1-Input!$D$47)^(AD$8-1),0)</f>
        <v>0</v>
      </c>
      <c r="AE12" s="42">
        <f>IF(AE$8&gt;0,(1-Input!$D$47)^(AE$8-1),0)</f>
        <v>0</v>
      </c>
      <c r="AF12" s="42">
        <f>IF(AF$8&gt;0,(1-Input!$D$47)^(AF$8-1),0)</f>
        <v>0</v>
      </c>
    </row>
    <row r="13" spans="1:32" ht="15" customHeight="1">
      <c r="A13" s="71" t="s">
        <v>301</v>
      </c>
      <c r="B13" s="72" t="s">
        <v>496</v>
      </c>
      <c r="C13" s="43">
        <f>IF(C$8&gt;0,Input!$D$48*(1+Input!$D$49)^(C$8-1),0)</f>
        <v>0</v>
      </c>
      <c r="D13" s="43">
        <f>IF(D$8&gt;0,Input!$D$48*(1+Input!$D$49)^(D$8-1),0)</f>
        <v>0</v>
      </c>
      <c r="E13" s="43">
        <f>IF(E$8&gt;0,Input!$D$48*(1+Input!$D$49)^(E$8-1),0)</f>
        <v>1807.4</v>
      </c>
      <c r="F13" s="43">
        <f>IF(F$8&gt;0,Input!$D$48*(1+Input!$D$49)^(F$8-1),0)</f>
        <v>1807.4</v>
      </c>
      <c r="G13" s="43">
        <f>IF(G$8&gt;0,Input!$D$48*(1+Input!$D$49)^(G$8-1),0)</f>
        <v>1807.4</v>
      </c>
      <c r="H13" s="43">
        <f>IF(H$8&gt;0,Input!$D$48*(1+Input!$D$49)^(H$8-1),0)</f>
        <v>1807.4</v>
      </c>
      <c r="I13" s="43">
        <f>IF(I$8&gt;0,Input!$D$48*(1+Input!$D$49)^(I$8-1),0)</f>
        <v>1807.4</v>
      </c>
      <c r="J13" s="43">
        <f>IF(J$8&gt;0,Input!$D$48*(1+Input!$D$49)^(J$8-1),0)</f>
        <v>1807.4</v>
      </c>
      <c r="K13" s="43">
        <f>IF(K$8&gt;0,Input!$D$48*(1+Input!$D$49)^(K$8-1),0)</f>
        <v>1807.4</v>
      </c>
      <c r="L13" s="43">
        <f>IF(L$8&gt;0,Input!$D$48*(1+Input!$D$49)^(L$8-1),0)</f>
        <v>1807.4</v>
      </c>
      <c r="M13" s="43">
        <f>IF(M$8&gt;0,Input!$D$48*(1+Input!$D$49)^(M$8-1),0)</f>
        <v>1807.4</v>
      </c>
      <c r="N13" s="43">
        <f>IF(N$8&gt;0,Input!$D$48*(1+Input!$D$49)^(N$8-1),0)</f>
        <v>1807.4</v>
      </c>
      <c r="O13" s="43">
        <f>IF(O$8&gt;0,Input!$D$48*(1+Input!$D$49)^(O$8-1),0)</f>
        <v>1807.4</v>
      </c>
      <c r="P13" s="43">
        <f>IF(P$8&gt;0,Input!$D$48*(1+Input!$D$49)^(P$8-1),0)</f>
        <v>1807.4</v>
      </c>
      <c r="Q13" s="43">
        <f>IF(Q$8&gt;0,Input!$D$48*(1+Input!$D$49)^(Q$8-1),0)</f>
        <v>1807.4</v>
      </c>
      <c r="R13" s="43">
        <f>IF(R$8&gt;0,Input!$D$48*(1+Input!$D$49)^(R$8-1),0)</f>
        <v>1807.4</v>
      </c>
      <c r="S13" s="43">
        <f>IF(S$8&gt;0,Input!$D$48*(1+Input!$D$49)^(S$8-1),0)</f>
        <v>1807.4</v>
      </c>
      <c r="T13" s="43">
        <f>IF(T$8&gt;0,Input!$D$48*(1+Input!$D$49)^(T$8-1),0)</f>
        <v>1807.4</v>
      </c>
      <c r="U13" s="43">
        <f>IF(U$8&gt;0,Input!$D$48*(1+Input!$D$49)^(U$8-1),0)</f>
        <v>1807.4</v>
      </c>
      <c r="V13" s="43">
        <f>IF(V$8&gt;0,Input!$D$48*(1+Input!$D$49)^(V$8-1),0)</f>
        <v>1807.4</v>
      </c>
      <c r="W13" s="43">
        <f>IF(W$8&gt;0,Input!$D$48*(1+Input!$D$49)^(W$8-1),0)</f>
        <v>1807.4</v>
      </c>
      <c r="X13" s="43">
        <f>IF(X$8&gt;0,Input!$D$48*(1+Input!$D$49)^(X$8-1),0)</f>
        <v>1807.4</v>
      </c>
      <c r="Y13" s="43">
        <f>IF(Y$8&gt;0,Input!$D$48*(1+Input!$D$49)^(Y$8-1),0)</f>
        <v>0</v>
      </c>
      <c r="Z13" s="43">
        <f>IF(Z$8&gt;0,Input!$D$48*(1+Input!$D$49)^(Z$8-1),0)</f>
        <v>0</v>
      </c>
      <c r="AA13" s="43">
        <f>IF(AA$8&gt;0,Input!$D$48*(1+Input!$D$49)^(AA$8-1),0)</f>
        <v>0</v>
      </c>
      <c r="AB13" s="43">
        <f>IF(AB$8&gt;0,Input!$D$48*(1+Input!$D$49)^(AB$8-1),0)</f>
        <v>0</v>
      </c>
      <c r="AC13" s="43">
        <f>IF(AC$8&gt;0,Input!$D$48*(1+Input!$D$49)^(AC$8-1),0)</f>
        <v>0</v>
      </c>
      <c r="AD13" s="43">
        <f>IF(AD$8&gt;0,Input!$D$48*(1+Input!$D$49)^(AD$8-1),0)</f>
        <v>0</v>
      </c>
      <c r="AE13" s="43">
        <f>IF(AE$8&gt;0,Input!$D$48*(1+Input!$D$49)^(AE$8-1),0)</f>
        <v>0</v>
      </c>
      <c r="AF13" s="43">
        <f>IF(AF$8&gt;0,Input!$D$48*(1+Input!$D$49)^(AF$8-1),0)</f>
        <v>0</v>
      </c>
    </row>
    <row r="14" spans="1:32" ht="15" customHeight="1">
      <c r="A14" s="71" t="s">
        <v>304</v>
      </c>
      <c r="B14" s="71" t="s">
        <v>497</v>
      </c>
      <c r="C14" s="44">
        <f t="shared" ref="C14:AF14" si="0">C11*1000*C13/1000000000</f>
        <v>0</v>
      </c>
      <c r="D14" s="44">
        <f t="shared" si="0"/>
        <v>0</v>
      </c>
      <c r="E14" s="44">
        <f t="shared" si="0"/>
        <v>997.46791199999996</v>
      </c>
      <c r="F14" s="44">
        <f t="shared" si="0"/>
        <v>995.47297617599997</v>
      </c>
      <c r="G14" s="44">
        <f t="shared" si="0"/>
        <v>993.48203022364805</v>
      </c>
      <c r="H14" s="44">
        <f t="shared" si="0"/>
        <v>991.49506616320082</v>
      </c>
      <c r="I14" s="44">
        <f t="shared" si="0"/>
        <v>989.51207603087437</v>
      </c>
      <c r="J14" s="44">
        <f t="shared" si="0"/>
        <v>987.53305187881244</v>
      </c>
      <c r="K14" s="44">
        <f t="shared" si="0"/>
        <v>985.55798577505482</v>
      </c>
      <c r="L14" s="44">
        <f t="shared" si="0"/>
        <v>983.5868698035049</v>
      </c>
      <c r="M14" s="44">
        <f t="shared" si="0"/>
        <v>981.61969606389778</v>
      </c>
      <c r="N14" s="44">
        <f t="shared" si="0"/>
        <v>979.65645667177012</v>
      </c>
      <c r="O14" s="44">
        <f t="shared" si="0"/>
        <v>977.69714375842648</v>
      </c>
      <c r="P14" s="44">
        <f t="shared" si="0"/>
        <v>975.74174947090978</v>
      </c>
      <c r="Q14" s="44">
        <f t="shared" si="0"/>
        <v>973.79026597196798</v>
      </c>
      <c r="R14" s="44">
        <f t="shared" si="0"/>
        <v>971.84268544002396</v>
      </c>
      <c r="S14" s="44">
        <f t="shared" si="0"/>
        <v>969.89900006914399</v>
      </c>
      <c r="T14" s="44">
        <f t="shared" si="0"/>
        <v>967.95920206900576</v>
      </c>
      <c r="U14" s="44">
        <f t="shared" si="0"/>
        <v>966.02328366486768</v>
      </c>
      <c r="V14" s="44">
        <f t="shared" si="0"/>
        <v>964.09123709753806</v>
      </c>
      <c r="W14" s="44">
        <f t="shared" si="0"/>
        <v>962.16305462334276</v>
      </c>
      <c r="X14" s="44">
        <f t="shared" si="0"/>
        <v>960.23872851409624</v>
      </c>
      <c r="Y14" s="44">
        <f t="shared" si="0"/>
        <v>0</v>
      </c>
      <c r="Z14" s="44">
        <f t="shared" si="0"/>
        <v>0</v>
      </c>
      <c r="AA14" s="44">
        <f t="shared" si="0"/>
        <v>0</v>
      </c>
      <c r="AB14" s="44">
        <f t="shared" si="0"/>
        <v>0</v>
      </c>
      <c r="AC14" s="44">
        <f t="shared" si="0"/>
        <v>0</v>
      </c>
      <c r="AD14" s="44">
        <f t="shared" si="0"/>
        <v>0</v>
      </c>
      <c r="AE14" s="44">
        <f t="shared" si="0"/>
        <v>0</v>
      </c>
      <c r="AF14" s="44">
        <f t="shared" si="0"/>
        <v>0</v>
      </c>
    </row>
    <row r="15" spans="1:32" ht="15" customHeight="1">
      <c r="A15" s="71" t="s">
        <v>309</v>
      </c>
      <c r="B15" s="71" t="s">
        <v>498</v>
      </c>
      <c r="C15" s="44">
        <f>IF(C$8&gt;0,Input!$D$51*(1+Input!$D$49)^(C$8-1),0)</f>
        <v>0</v>
      </c>
      <c r="D15" s="44">
        <f>IF(D$8&gt;0,Input!$D$51*(1+Input!$D$49)^(D$8-1),0)</f>
        <v>0</v>
      </c>
      <c r="E15" s="44">
        <f>IF(E$8&gt;0,Input!$D$51*(1+Input!$D$49)^(E$8-1),0)</f>
        <v>0</v>
      </c>
      <c r="F15" s="44">
        <f>IF(F$8&gt;0,Input!$D$51*(1+Input!$D$49)^(F$8-1),0)</f>
        <v>0</v>
      </c>
      <c r="G15" s="44">
        <f>IF(G$8&gt;0,Input!$D$51*(1+Input!$D$49)^(G$8-1),0)</f>
        <v>0</v>
      </c>
      <c r="H15" s="44">
        <f>IF(H$8&gt;0,Input!$D$51*(1+Input!$D$49)^(H$8-1),0)</f>
        <v>0</v>
      </c>
      <c r="I15" s="44">
        <f>IF(I$8&gt;0,Input!$D$51*(1+Input!$D$49)^(I$8-1),0)</f>
        <v>0</v>
      </c>
      <c r="J15" s="44">
        <f>IF(J$8&gt;0,Input!$D$51*(1+Input!$D$49)^(J$8-1),0)</f>
        <v>0</v>
      </c>
      <c r="K15" s="44">
        <f>IF(K$8&gt;0,Input!$D$51*(1+Input!$D$49)^(K$8-1),0)</f>
        <v>0</v>
      </c>
      <c r="L15" s="44">
        <f>IF(L$8&gt;0,Input!$D$51*(1+Input!$D$49)^(L$8-1),0)</f>
        <v>0</v>
      </c>
      <c r="M15" s="44">
        <f>IF(M$8&gt;0,Input!$D$51*(1+Input!$D$49)^(M$8-1),0)</f>
        <v>0</v>
      </c>
      <c r="N15" s="44">
        <f>IF(N$8&gt;0,Input!$D$51*(1+Input!$D$49)^(N$8-1),0)</f>
        <v>0</v>
      </c>
      <c r="O15" s="44">
        <f>IF(O$8&gt;0,Input!$D$51*(1+Input!$D$49)^(O$8-1),0)</f>
        <v>0</v>
      </c>
      <c r="P15" s="44">
        <f>IF(P$8&gt;0,Input!$D$51*(1+Input!$D$49)^(P$8-1),0)</f>
        <v>0</v>
      </c>
      <c r="Q15" s="44">
        <f>IF(Q$8&gt;0,Input!$D$51*(1+Input!$D$49)^(Q$8-1),0)</f>
        <v>0</v>
      </c>
      <c r="R15" s="44">
        <f>IF(R$8&gt;0,Input!$D$51*(1+Input!$D$49)^(R$8-1),0)</f>
        <v>0</v>
      </c>
      <c r="S15" s="44">
        <f>IF(S$8&gt;0,Input!$D$51*(1+Input!$D$49)^(S$8-1),0)</f>
        <v>0</v>
      </c>
      <c r="T15" s="44">
        <f>IF(T$8&gt;0,Input!$D$51*(1+Input!$D$49)^(T$8-1),0)</f>
        <v>0</v>
      </c>
      <c r="U15" s="44">
        <f>IF(U$8&gt;0,Input!$D$51*(1+Input!$D$49)^(U$8-1),0)</f>
        <v>0</v>
      </c>
      <c r="V15" s="44">
        <f>IF(V$8&gt;0,Input!$D$51*(1+Input!$D$49)^(V$8-1),0)</f>
        <v>0</v>
      </c>
      <c r="W15" s="44">
        <f>IF(W$8&gt;0,Input!$D$51*(1+Input!$D$49)^(W$8-1),0)</f>
        <v>0</v>
      </c>
      <c r="X15" s="44">
        <f>IF(X$8&gt;0,Input!$D$51*(1+Input!$D$49)^(X$8-1),0)</f>
        <v>0</v>
      </c>
      <c r="Y15" s="44">
        <f>IF(Y$8&gt;0,Input!$D$51*(1+Input!$D$49)^(Y$8-1),0)</f>
        <v>0</v>
      </c>
      <c r="Z15" s="44">
        <f>IF(Z$8&gt;0,Input!$D$51*(1+Input!$D$49)^(Z$8-1),0)</f>
        <v>0</v>
      </c>
      <c r="AA15" s="44">
        <f>IF(AA$8&gt;0,Input!$D$51*(1+Input!$D$49)^(AA$8-1),0)</f>
        <v>0</v>
      </c>
      <c r="AB15" s="44">
        <f>IF(AB$8&gt;0,Input!$D$51*(1+Input!$D$49)^(AB$8-1),0)</f>
        <v>0</v>
      </c>
      <c r="AC15" s="44">
        <f>IF(AC$8&gt;0,Input!$D$51*(1+Input!$D$49)^(AC$8-1),0)</f>
        <v>0</v>
      </c>
      <c r="AD15" s="44">
        <f>IF(AD$8&gt;0,Input!$D$51*(1+Input!$D$49)^(AD$8-1),0)</f>
        <v>0</v>
      </c>
      <c r="AE15" s="44">
        <f>IF(AE$8&gt;0,Input!$D$51*(1+Input!$D$49)^(AE$8-1),0)</f>
        <v>0</v>
      </c>
      <c r="AF15" s="44">
        <f>IF(AF$8&gt;0,Input!$D$51*(1+Input!$D$49)^(AF$8-1),0)</f>
        <v>0</v>
      </c>
    </row>
    <row r="16" spans="1:32" ht="15" customHeight="1">
      <c r="A16" s="71" t="s">
        <v>314</v>
      </c>
      <c r="B16" s="72" t="s">
        <v>499</v>
      </c>
      <c r="C16" s="43">
        <f t="shared" ref="C16:AF16" si="1">SUM(C14:C15)</f>
        <v>0</v>
      </c>
      <c r="D16" s="43">
        <f t="shared" si="1"/>
        <v>0</v>
      </c>
      <c r="E16" s="43">
        <f t="shared" si="1"/>
        <v>997.46791199999996</v>
      </c>
      <c r="F16" s="43">
        <f t="shared" si="1"/>
        <v>995.47297617599997</v>
      </c>
      <c r="G16" s="43">
        <f t="shared" si="1"/>
        <v>993.48203022364805</v>
      </c>
      <c r="H16" s="43">
        <f t="shared" si="1"/>
        <v>991.49506616320082</v>
      </c>
      <c r="I16" s="43">
        <f t="shared" si="1"/>
        <v>989.51207603087437</v>
      </c>
      <c r="J16" s="43">
        <f t="shared" si="1"/>
        <v>987.53305187881244</v>
      </c>
      <c r="K16" s="43">
        <f t="shared" si="1"/>
        <v>985.55798577505482</v>
      </c>
      <c r="L16" s="43">
        <f t="shared" si="1"/>
        <v>983.5868698035049</v>
      </c>
      <c r="M16" s="43">
        <f t="shared" si="1"/>
        <v>981.61969606389778</v>
      </c>
      <c r="N16" s="43">
        <f t="shared" si="1"/>
        <v>979.65645667177012</v>
      </c>
      <c r="O16" s="43">
        <f t="shared" si="1"/>
        <v>977.69714375842648</v>
      </c>
      <c r="P16" s="43">
        <f t="shared" si="1"/>
        <v>975.74174947090978</v>
      </c>
      <c r="Q16" s="43">
        <f t="shared" si="1"/>
        <v>973.79026597196798</v>
      </c>
      <c r="R16" s="43">
        <f t="shared" si="1"/>
        <v>971.84268544002396</v>
      </c>
      <c r="S16" s="43">
        <f t="shared" si="1"/>
        <v>969.89900006914399</v>
      </c>
      <c r="T16" s="43">
        <f t="shared" si="1"/>
        <v>967.95920206900576</v>
      </c>
      <c r="U16" s="43">
        <f t="shared" si="1"/>
        <v>966.02328366486768</v>
      </c>
      <c r="V16" s="43">
        <f t="shared" si="1"/>
        <v>964.09123709753806</v>
      </c>
      <c r="W16" s="43">
        <f t="shared" si="1"/>
        <v>962.16305462334276</v>
      </c>
      <c r="X16" s="43">
        <f t="shared" si="1"/>
        <v>960.23872851409624</v>
      </c>
      <c r="Y16" s="43">
        <f t="shared" si="1"/>
        <v>0</v>
      </c>
      <c r="Z16" s="43">
        <f t="shared" si="1"/>
        <v>0</v>
      </c>
      <c r="AA16" s="43">
        <f t="shared" si="1"/>
        <v>0</v>
      </c>
      <c r="AB16" s="43">
        <f t="shared" si="1"/>
        <v>0</v>
      </c>
      <c r="AC16" s="43">
        <f t="shared" si="1"/>
        <v>0</v>
      </c>
      <c r="AD16" s="43">
        <f t="shared" si="1"/>
        <v>0</v>
      </c>
      <c r="AE16" s="43">
        <f t="shared" si="1"/>
        <v>0</v>
      </c>
      <c r="AF16" s="43">
        <f t="shared" si="1"/>
        <v>0</v>
      </c>
    </row>
    <row r="17" spans="1:32" ht="15" customHeight="1">
      <c r="A17" s="69"/>
      <c r="B17" s="69"/>
      <c r="C17" s="64"/>
      <c r="D17" s="64"/>
      <c r="E17" s="64"/>
      <c r="F17" s="64"/>
      <c r="G17" s="64"/>
      <c r="H17" s="64"/>
      <c r="I17" s="64"/>
      <c r="J17" s="64"/>
      <c r="K17" s="64"/>
      <c r="L17" s="64"/>
      <c r="M17" s="64"/>
      <c r="N17" s="64"/>
      <c r="O17" s="64"/>
      <c r="P17" s="64"/>
      <c r="Q17" s="64"/>
      <c r="R17" s="64"/>
      <c r="S17" s="64"/>
      <c r="T17" s="64"/>
      <c r="U17" s="64"/>
      <c r="V17" s="64"/>
      <c r="W17" s="64"/>
      <c r="X17" s="64"/>
      <c r="Y17" s="64"/>
      <c r="Z17" s="64"/>
      <c r="AA17" s="64"/>
      <c r="AB17" s="64"/>
      <c r="AC17" s="64"/>
      <c r="AD17" s="64"/>
      <c r="AE17" s="64"/>
      <c r="AF17" s="64"/>
    </row>
    <row r="18" spans="1:32" ht="15" customHeight="1">
      <c r="A18" s="140" t="s">
        <v>500</v>
      </c>
      <c r="B18" s="140"/>
      <c r="C18" s="141"/>
      <c r="D18" s="141"/>
      <c r="E18" s="141"/>
      <c r="F18" s="141"/>
      <c r="G18" s="141"/>
      <c r="H18" s="141"/>
      <c r="I18" s="141"/>
      <c r="J18" s="141"/>
      <c r="K18" s="141"/>
      <c r="L18" s="141"/>
      <c r="M18" s="141"/>
      <c r="N18" s="141"/>
      <c r="O18" s="141"/>
      <c r="P18" s="141"/>
      <c r="Q18" s="141"/>
      <c r="R18" s="141"/>
      <c r="S18" s="141"/>
      <c r="T18" s="141"/>
      <c r="U18" s="141"/>
      <c r="V18" s="141"/>
      <c r="W18" s="141"/>
      <c r="X18" s="141"/>
      <c r="Y18" s="141"/>
      <c r="Z18" s="141"/>
      <c r="AA18" s="141"/>
      <c r="AB18" s="141"/>
      <c r="AC18" s="141"/>
      <c r="AD18" s="141"/>
      <c r="AE18" s="141"/>
      <c r="AF18" s="141"/>
    </row>
    <row r="19" spans="1:32" ht="15" customHeight="1">
      <c r="A19" s="71" t="s">
        <v>332</v>
      </c>
      <c r="B19" s="71" t="s">
        <v>501</v>
      </c>
      <c r="C19" s="44">
        <f>IF(C$8&gt;0,Input!$D$21*Input!$D$53*(1+Input!$D$54)^(C$8-1),0)</f>
        <v>0</v>
      </c>
      <c r="D19" s="44">
        <f>IF(D$8&gt;0,Input!$D$21*Input!$D$53*(1+Input!$D$54)^(D$8-1),0)</f>
        <v>0</v>
      </c>
      <c r="E19" s="44">
        <f>IF(E$8&gt;0,Input!$D$21*Input!$D$53*(1+Input!$D$54)^(E$8-1),0)</f>
        <v>122.3</v>
      </c>
      <c r="F19" s="44">
        <f>IF(F$8&gt;0,Input!$D$21*Input!$D$53*(1+Input!$D$54)^(F$8-1),0)</f>
        <v>124.746</v>
      </c>
      <c r="G19" s="44">
        <f>IF(G$8&gt;0,Input!$D$21*Input!$D$53*(1+Input!$D$54)^(G$8-1),0)</f>
        <v>127.24092</v>
      </c>
      <c r="H19" s="44">
        <f>IF(H$8&gt;0,Input!$D$21*Input!$D$53*(1+Input!$D$54)^(H$8-1),0)</f>
        <v>129.78573839999999</v>
      </c>
      <c r="I19" s="44">
        <f>IF(I$8&gt;0,Input!$D$21*Input!$D$53*(1+Input!$D$54)^(I$8-1),0)</f>
        <v>132.38145316800001</v>
      </c>
      <c r="J19" s="44">
        <f>IF(J$8&gt;0,Input!$D$21*Input!$D$53*(1+Input!$D$54)^(J$8-1),0)</f>
        <v>135.02908223136001</v>
      </c>
      <c r="K19" s="44">
        <f>IF(K$8&gt;0,Input!$D$21*Input!$D$53*(1+Input!$D$54)^(K$8-1),0)</f>
        <v>137.7296638759872</v>
      </c>
      <c r="L19" s="44">
        <f>IF(L$8&gt;0,Input!$D$21*Input!$D$53*(1+Input!$D$54)^(L$8-1),0)</f>
        <v>140.48425715350692</v>
      </c>
      <c r="M19" s="44">
        <f>IF(M$8&gt;0,Input!$D$21*Input!$D$53*(1+Input!$D$54)^(M$8-1),0)</f>
        <v>143.29394229657706</v>
      </c>
      <c r="N19" s="44">
        <f>IF(N$8&gt;0,Input!$D$21*Input!$D$53*(1+Input!$D$54)^(N$8-1),0)</f>
        <v>146.1598211425086</v>
      </c>
      <c r="O19" s="44">
        <f>IF(O$8&gt;0,Input!$D$21*Input!$D$53*(1+Input!$D$54)^(O$8-1),0)</f>
        <v>149.0830175653588</v>
      </c>
      <c r="P19" s="44">
        <f>IF(P$8&gt;0,Input!$D$21*Input!$D$53*(1+Input!$D$54)^(P$8-1),0)</f>
        <v>152.06467791666594</v>
      </c>
      <c r="Q19" s="44">
        <f>IF(Q$8&gt;0,Input!$D$21*Input!$D$53*(1+Input!$D$54)^(Q$8-1),0)</f>
        <v>155.10597147499928</v>
      </c>
      <c r="R19" s="44">
        <f>IF(R$8&gt;0,Input!$D$21*Input!$D$53*(1+Input!$D$54)^(R$8-1),0)</f>
        <v>158.20809090449927</v>
      </c>
      <c r="S19" s="44">
        <f>IF(S$8&gt;0,Input!$D$21*Input!$D$53*(1+Input!$D$54)^(S$8-1),0)</f>
        <v>161.37225272258925</v>
      </c>
      <c r="T19" s="44">
        <f>IF(T$8&gt;0,Input!$D$21*Input!$D$53*(1+Input!$D$54)^(T$8-1),0)</f>
        <v>164.599697777041</v>
      </c>
      <c r="U19" s="44">
        <f>IF(U$8&gt;0,Input!$D$21*Input!$D$53*(1+Input!$D$54)^(U$8-1),0)</f>
        <v>167.89169173258185</v>
      </c>
      <c r="V19" s="44">
        <f>IF(V$8&gt;0,Input!$D$21*Input!$D$53*(1+Input!$D$54)^(V$8-1),0)</f>
        <v>171.24952556723349</v>
      </c>
      <c r="W19" s="44">
        <f>IF(W$8&gt;0,Input!$D$21*Input!$D$53*(1+Input!$D$54)^(W$8-1),0)</f>
        <v>174.67451607857814</v>
      </c>
      <c r="X19" s="44">
        <f>IF(X$8&gt;0,Input!$D$21*Input!$D$53*(1+Input!$D$54)^(X$8-1),0)</f>
        <v>178.16800640014969</v>
      </c>
      <c r="Y19" s="44">
        <f>IF(Y$8&gt;0,Input!$D$21*Input!$D$53*(1+Input!$D$54)^(Y$8-1),0)</f>
        <v>0</v>
      </c>
      <c r="Z19" s="44">
        <f>IF(Z$8&gt;0,Input!$D$21*Input!$D$53*(1+Input!$D$54)^(Z$8-1),0)</f>
        <v>0</v>
      </c>
      <c r="AA19" s="44">
        <f>IF(AA$8&gt;0,Input!$D$21*Input!$D$53*(1+Input!$D$54)^(AA$8-1),0)</f>
        <v>0</v>
      </c>
      <c r="AB19" s="44">
        <f>IF(AB$8&gt;0,Input!$D$21*Input!$D$53*(1+Input!$D$54)^(AB$8-1),0)</f>
        <v>0</v>
      </c>
      <c r="AC19" s="44">
        <f>IF(AC$8&gt;0,Input!$D$21*Input!$D$53*(1+Input!$D$54)^(AC$8-1),0)</f>
        <v>0</v>
      </c>
      <c r="AD19" s="44">
        <f>IF(AD$8&gt;0,Input!$D$21*Input!$D$53*(1+Input!$D$54)^(AD$8-1),0)</f>
        <v>0</v>
      </c>
      <c r="AE19" s="44">
        <f>IF(AE$8&gt;0,Input!$D$21*Input!$D$53*(1+Input!$D$54)^(AE$8-1),0)</f>
        <v>0</v>
      </c>
      <c r="AF19" s="44">
        <f>IF(AF$8&gt;0,Input!$D$21*Input!$D$53*(1+Input!$D$54)^(AF$8-1),0)</f>
        <v>0</v>
      </c>
    </row>
    <row r="20" spans="1:32" ht="15" customHeight="1">
      <c r="A20" s="71" t="s">
        <v>336</v>
      </c>
      <c r="B20" s="72" t="s">
        <v>47</v>
      </c>
      <c r="C20" s="43">
        <f t="shared" ref="C20:AF20" si="2">C16-C19</f>
        <v>0</v>
      </c>
      <c r="D20" s="43">
        <f t="shared" si="2"/>
        <v>0</v>
      </c>
      <c r="E20" s="43">
        <f t="shared" si="2"/>
        <v>875.167912</v>
      </c>
      <c r="F20" s="43">
        <f t="shared" si="2"/>
        <v>870.72697617599999</v>
      </c>
      <c r="G20" s="43">
        <f t="shared" si="2"/>
        <v>866.24111022364809</v>
      </c>
      <c r="H20" s="43">
        <f t="shared" si="2"/>
        <v>861.7093277632008</v>
      </c>
      <c r="I20" s="43">
        <f t="shared" si="2"/>
        <v>857.13062286287436</v>
      </c>
      <c r="J20" s="43">
        <f t="shared" si="2"/>
        <v>852.50396964745244</v>
      </c>
      <c r="K20" s="43">
        <f t="shared" si="2"/>
        <v>847.82832189906765</v>
      </c>
      <c r="L20" s="43">
        <f t="shared" si="2"/>
        <v>843.10261264999804</v>
      </c>
      <c r="M20" s="43">
        <f t="shared" si="2"/>
        <v>838.32575376732075</v>
      </c>
      <c r="N20" s="43">
        <f t="shared" si="2"/>
        <v>833.49663552926154</v>
      </c>
      <c r="O20" s="43">
        <f t="shared" si="2"/>
        <v>828.6141261930677</v>
      </c>
      <c r="P20" s="43">
        <f t="shared" si="2"/>
        <v>823.67707155424387</v>
      </c>
      <c r="Q20" s="43">
        <f t="shared" si="2"/>
        <v>818.68429449696873</v>
      </c>
      <c r="R20" s="43">
        <f t="shared" si="2"/>
        <v>813.63459453552468</v>
      </c>
      <c r="S20" s="43">
        <f t="shared" si="2"/>
        <v>808.52674734655477</v>
      </c>
      <c r="T20" s="43">
        <f t="shared" si="2"/>
        <v>803.35950429196475</v>
      </c>
      <c r="U20" s="43">
        <f t="shared" si="2"/>
        <v>798.1315919322858</v>
      </c>
      <c r="V20" s="43">
        <f t="shared" si="2"/>
        <v>792.84171153030456</v>
      </c>
      <c r="W20" s="43">
        <f t="shared" si="2"/>
        <v>787.48853854476465</v>
      </c>
      <c r="X20" s="43">
        <f t="shared" si="2"/>
        <v>782.07072211394654</v>
      </c>
      <c r="Y20" s="43">
        <f t="shared" si="2"/>
        <v>0</v>
      </c>
      <c r="Z20" s="43">
        <f t="shared" si="2"/>
        <v>0</v>
      </c>
      <c r="AA20" s="43">
        <f t="shared" si="2"/>
        <v>0</v>
      </c>
      <c r="AB20" s="43">
        <f t="shared" si="2"/>
        <v>0</v>
      </c>
      <c r="AC20" s="43">
        <f t="shared" si="2"/>
        <v>0</v>
      </c>
      <c r="AD20" s="43">
        <f t="shared" si="2"/>
        <v>0</v>
      </c>
      <c r="AE20" s="43">
        <f t="shared" si="2"/>
        <v>0</v>
      </c>
      <c r="AF20" s="43">
        <f t="shared" si="2"/>
        <v>0</v>
      </c>
    </row>
    <row r="21" spans="1:32" ht="15" customHeight="1">
      <c r="A21" s="71" t="s">
        <v>340</v>
      </c>
      <c r="B21" s="72" t="s">
        <v>502</v>
      </c>
      <c r="C21" s="46">
        <f t="shared" ref="C21:AF21" si="3">IF(C16=0,0,C20/C16)</f>
        <v>0</v>
      </c>
      <c r="D21" s="46">
        <f t="shared" si="3"/>
        <v>0</v>
      </c>
      <c r="E21" s="46">
        <f t="shared" si="3"/>
        <v>0.87738953952435517</v>
      </c>
      <c r="F21" s="46">
        <f t="shared" si="3"/>
        <v>0.87468670372228685</v>
      </c>
      <c r="G21" s="46">
        <f t="shared" si="3"/>
        <v>0.8719242863694715</v>
      </c>
      <c r="H21" s="46">
        <f t="shared" si="3"/>
        <v>0.86910097404495079</v>
      </c>
      <c r="I21" s="46">
        <f t="shared" si="3"/>
        <v>0.86621542437459909</v>
      </c>
      <c r="J21" s="46">
        <f t="shared" si="3"/>
        <v>0.86326626539287676</v>
      </c>
      <c r="K21" s="46">
        <f t="shared" si="3"/>
        <v>0.86025209489051535</v>
      </c>
      <c r="L21" s="46">
        <f t="shared" si="3"/>
        <v>0.85717147974782137</v>
      </c>
      <c r="M21" s="46">
        <f t="shared" si="3"/>
        <v>0.85402295525328431</v>
      </c>
      <c r="N21" s="46">
        <f t="shared" si="3"/>
        <v>0.85080502440716432</v>
      </c>
      <c r="O21" s="46">
        <f t="shared" si="3"/>
        <v>0.84751615720972706</v>
      </c>
      <c r="P21" s="46">
        <f t="shared" si="3"/>
        <v>0.84415478993378923</v>
      </c>
      <c r="Q21" s="46">
        <f t="shared" si="3"/>
        <v>0.84071932438122743</v>
      </c>
      <c r="R21" s="46">
        <f t="shared" si="3"/>
        <v>0.83720812712309822</v>
      </c>
      <c r="S21" s="46">
        <f t="shared" si="3"/>
        <v>0.83361952872300615</v>
      </c>
      <c r="T21" s="46">
        <f t="shared" si="3"/>
        <v>0.82995182294335301</v>
      </c>
      <c r="U21" s="46">
        <f t="shared" si="3"/>
        <v>0.82620326593408822</v>
      </c>
      <c r="V21" s="46">
        <f t="shared" si="3"/>
        <v>0.82237207540357715</v>
      </c>
      <c r="W21" s="46">
        <f t="shared" si="3"/>
        <v>0.81845642977119115</v>
      </c>
      <c r="X21" s="46">
        <f t="shared" si="3"/>
        <v>0.8144544673012174</v>
      </c>
      <c r="Y21" s="46">
        <f t="shared" si="3"/>
        <v>0</v>
      </c>
      <c r="Z21" s="46">
        <f t="shared" si="3"/>
        <v>0</v>
      </c>
      <c r="AA21" s="46">
        <f t="shared" si="3"/>
        <v>0</v>
      </c>
      <c r="AB21" s="46">
        <f t="shared" si="3"/>
        <v>0</v>
      </c>
      <c r="AC21" s="46">
        <f t="shared" si="3"/>
        <v>0</v>
      </c>
      <c r="AD21" s="46">
        <f t="shared" si="3"/>
        <v>0</v>
      </c>
      <c r="AE21" s="46">
        <f t="shared" si="3"/>
        <v>0</v>
      </c>
      <c r="AF21" s="46">
        <f t="shared" si="3"/>
        <v>0</v>
      </c>
    </row>
    <row r="22" spans="1:32" ht="15" customHeight="1">
      <c r="A22" s="69"/>
      <c r="B22" s="69"/>
      <c r="C22" s="64"/>
      <c r="D22" s="64"/>
      <c r="E22" s="64"/>
      <c r="F22" s="64"/>
      <c r="G22" s="64"/>
      <c r="H22" s="64"/>
      <c r="I22" s="64"/>
      <c r="J22" s="64"/>
      <c r="K22" s="64"/>
      <c r="L22" s="64"/>
      <c r="M22" s="64"/>
      <c r="N22" s="64"/>
      <c r="O22" s="64"/>
      <c r="P22" s="64"/>
      <c r="Q22" s="64"/>
      <c r="R22" s="64"/>
      <c r="S22" s="64"/>
      <c r="T22" s="64"/>
      <c r="U22" s="64"/>
      <c r="V22" s="64"/>
      <c r="W22" s="64"/>
      <c r="X22" s="64"/>
      <c r="Y22" s="64"/>
      <c r="Z22" s="64"/>
      <c r="AA22" s="64"/>
      <c r="AB22" s="64"/>
      <c r="AC22" s="64"/>
      <c r="AD22" s="64"/>
      <c r="AE22" s="64"/>
      <c r="AF22" s="64"/>
    </row>
    <row r="23" spans="1:32" ht="15" customHeight="1">
      <c r="A23" s="140" t="s">
        <v>503</v>
      </c>
      <c r="B23" s="140"/>
      <c r="C23" s="141"/>
      <c r="D23" s="141"/>
      <c r="E23" s="141"/>
      <c r="F23" s="141"/>
      <c r="G23" s="141"/>
      <c r="H23" s="141"/>
      <c r="I23" s="141"/>
      <c r="J23" s="141"/>
      <c r="K23" s="141"/>
      <c r="L23" s="141"/>
      <c r="M23" s="141"/>
      <c r="N23" s="141"/>
      <c r="O23" s="141"/>
      <c r="P23" s="141"/>
      <c r="Q23" s="141"/>
      <c r="R23" s="141"/>
      <c r="S23" s="141"/>
      <c r="T23" s="141"/>
      <c r="U23" s="141"/>
      <c r="V23" s="141"/>
      <c r="W23" s="141"/>
      <c r="X23" s="141"/>
      <c r="Y23" s="141"/>
      <c r="Z23" s="141"/>
      <c r="AA23" s="141"/>
      <c r="AB23" s="141"/>
      <c r="AC23" s="141"/>
      <c r="AD23" s="141"/>
      <c r="AE23" s="141"/>
      <c r="AF23" s="141"/>
    </row>
    <row r="24" spans="1:32" ht="15" customHeight="1">
      <c r="A24" s="69" t="s">
        <v>504</v>
      </c>
      <c r="B24" s="69" t="s">
        <v>505</v>
      </c>
      <c r="C24" s="73">
        <f>SUM(C11:AF11)</f>
        <v>10830380.91815098</v>
      </c>
      <c r="D24" s="64"/>
      <c r="E24" s="64"/>
      <c r="F24" s="64"/>
      <c r="G24" s="64"/>
      <c r="H24" s="64"/>
      <c r="I24" s="64"/>
      <c r="J24" s="64"/>
      <c r="K24" s="64"/>
      <c r="L24" s="64"/>
      <c r="M24" s="64"/>
      <c r="N24" s="64"/>
      <c r="O24" s="64"/>
      <c r="P24" s="64"/>
      <c r="Q24" s="64"/>
      <c r="R24" s="64"/>
      <c r="S24" s="64"/>
      <c r="T24" s="64"/>
      <c r="U24" s="64"/>
      <c r="V24" s="64"/>
      <c r="W24" s="64"/>
      <c r="X24" s="64"/>
      <c r="Y24" s="64"/>
      <c r="Z24" s="64"/>
      <c r="AA24" s="64"/>
      <c r="AB24" s="64"/>
      <c r="AC24" s="64"/>
      <c r="AD24" s="64"/>
      <c r="AE24" s="64"/>
      <c r="AF24" s="64"/>
    </row>
    <row r="25" spans="1:32" ht="15" customHeight="1">
      <c r="A25" s="69" t="s">
        <v>506</v>
      </c>
      <c r="B25" s="69" t="s">
        <v>507</v>
      </c>
      <c r="C25" s="67">
        <f>SUM(C16:AF16)</f>
        <v>19574.830471466088</v>
      </c>
      <c r="D25" s="64"/>
      <c r="E25" s="64"/>
      <c r="F25" s="64"/>
      <c r="G25" s="64"/>
      <c r="H25" s="64"/>
      <c r="I25" s="64"/>
      <c r="J25" s="64"/>
      <c r="K25" s="64"/>
      <c r="L25" s="64"/>
      <c r="M25" s="64"/>
      <c r="N25" s="64"/>
      <c r="O25" s="64"/>
      <c r="P25" s="64"/>
      <c r="Q25" s="64"/>
      <c r="R25" s="64"/>
      <c r="S25" s="64"/>
      <c r="T25" s="64"/>
      <c r="U25" s="64"/>
      <c r="V25" s="64"/>
      <c r="W25" s="64"/>
      <c r="X25" s="64"/>
      <c r="Y25" s="64"/>
      <c r="Z25" s="64"/>
      <c r="AA25" s="64"/>
      <c r="AB25" s="64"/>
      <c r="AC25" s="64"/>
      <c r="AD25" s="64"/>
      <c r="AE25" s="64"/>
      <c r="AF25" s="64"/>
    </row>
    <row r="26" spans="1:32" ht="15" customHeight="1">
      <c r="A26" s="69" t="s">
        <v>508</v>
      </c>
      <c r="B26" s="69" t="s">
        <v>509</v>
      </c>
      <c r="C26" s="67">
        <f>SUM(C19:AF19)</f>
        <v>2971.5683264076365</v>
      </c>
      <c r="D26" s="64"/>
      <c r="E26" s="64"/>
      <c r="F26" s="64"/>
      <c r="G26" s="64"/>
      <c r="H26" s="64"/>
      <c r="I26" s="64"/>
      <c r="J26" s="64"/>
      <c r="K26" s="64"/>
      <c r="L26" s="64"/>
      <c r="M26" s="64"/>
      <c r="N26" s="64"/>
      <c r="O26" s="64"/>
      <c r="P26" s="64"/>
      <c r="Q26" s="64"/>
      <c r="R26" s="64"/>
      <c r="S26" s="64"/>
      <c r="T26" s="64"/>
      <c r="U26" s="64"/>
      <c r="V26" s="64"/>
      <c r="W26" s="64"/>
      <c r="X26" s="64"/>
      <c r="Y26" s="64"/>
      <c r="Z26" s="64"/>
      <c r="AA26" s="64"/>
      <c r="AB26" s="64"/>
      <c r="AC26" s="64"/>
      <c r="AD26" s="64"/>
      <c r="AE26" s="64"/>
      <c r="AF26" s="64"/>
    </row>
    <row r="27" spans="1:32" ht="15" customHeight="1">
      <c r="A27" s="69" t="s">
        <v>510</v>
      </c>
      <c r="B27" s="69" t="s">
        <v>511</v>
      </c>
      <c r="C27" s="67">
        <f>SUM(C20:AF20)</f>
        <v>16603.262145058452</v>
      </c>
      <c r="D27" s="64"/>
      <c r="E27" s="64"/>
      <c r="F27" s="64"/>
      <c r="G27" s="64"/>
      <c r="H27" s="64"/>
      <c r="I27" s="64"/>
      <c r="J27" s="64"/>
      <c r="K27" s="64"/>
      <c r="L27" s="64"/>
      <c r="M27" s="64"/>
      <c r="N27" s="64"/>
      <c r="O27" s="64"/>
      <c r="P27" s="64"/>
      <c r="Q27" s="64"/>
      <c r="R27" s="64"/>
      <c r="S27" s="64"/>
      <c r="T27" s="64"/>
      <c r="U27" s="64"/>
      <c r="V27" s="64"/>
      <c r="W27" s="64"/>
      <c r="X27" s="64"/>
      <c r="Y27" s="64"/>
      <c r="Z27" s="64"/>
      <c r="AA27" s="64"/>
      <c r="AB27" s="64"/>
      <c r="AC27" s="64"/>
      <c r="AD27" s="64"/>
      <c r="AE27" s="64"/>
      <c r="AF27" s="64"/>
    </row>
    <row r="28" spans="1:32" ht="15" customHeight="1">
      <c r="A28" s="69"/>
      <c r="B28" s="69"/>
      <c r="C28" s="64"/>
      <c r="D28" s="64"/>
      <c r="E28" s="64"/>
      <c r="F28" s="64"/>
      <c r="G28" s="64"/>
      <c r="H28" s="64"/>
      <c r="I28" s="64"/>
      <c r="J28" s="64"/>
      <c r="K28" s="64"/>
      <c r="L28" s="64"/>
      <c r="M28" s="64"/>
      <c r="N28" s="64"/>
      <c r="O28" s="64"/>
      <c r="P28" s="64"/>
      <c r="Q28" s="64"/>
      <c r="R28" s="64"/>
      <c r="S28" s="64"/>
      <c r="T28" s="64"/>
      <c r="U28" s="64"/>
      <c r="V28" s="64"/>
      <c r="W28" s="64"/>
      <c r="X28" s="64"/>
      <c r="Y28" s="64"/>
      <c r="Z28" s="64"/>
      <c r="AA28" s="64"/>
      <c r="AB28" s="64"/>
      <c r="AC28" s="64"/>
      <c r="AD28" s="64"/>
      <c r="AE28" s="64"/>
      <c r="AF28" s="64"/>
    </row>
    <row r="29" spans="1:32" ht="15" customHeight="1">
      <c r="A29" s="69"/>
      <c r="B29" s="69"/>
      <c r="C29" s="64"/>
      <c r="D29" s="64"/>
      <c r="E29" s="64"/>
      <c r="F29" s="64"/>
      <c r="G29" s="64"/>
      <c r="H29" s="64"/>
      <c r="I29" s="64"/>
      <c r="J29" s="64"/>
      <c r="K29" s="64"/>
      <c r="L29" s="64"/>
      <c r="M29" s="64"/>
      <c r="N29" s="64"/>
      <c r="O29" s="64"/>
      <c r="P29" s="64"/>
      <c r="Q29" s="64"/>
      <c r="R29" s="64"/>
      <c r="S29" s="64"/>
      <c r="T29" s="64"/>
      <c r="U29" s="64"/>
      <c r="V29" s="64"/>
      <c r="W29" s="64"/>
      <c r="X29" s="64"/>
      <c r="Y29" s="64"/>
      <c r="Z29" s="64"/>
      <c r="AA29" s="64"/>
      <c r="AB29" s="64"/>
      <c r="AC29" s="64"/>
      <c r="AD29" s="64"/>
      <c r="AE29" s="64"/>
      <c r="AF29" s="64"/>
    </row>
    <row r="30" spans="1:32" ht="15" customHeight="1">
      <c r="A30" s="69"/>
      <c r="B30" s="69"/>
      <c r="C30" s="64"/>
      <c r="D30" s="64"/>
      <c r="E30" s="64"/>
      <c r="F30" s="64"/>
      <c r="G30" s="64"/>
      <c r="H30" s="64"/>
      <c r="I30" s="64"/>
      <c r="J30" s="64"/>
      <c r="K30" s="64"/>
      <c r="L30" s="64"/>
      <c r="M30" s="64"/>
      <c r="N30" s="64"/>
      <c r="O30" s="64"/>
      <c r="P30" s="64"/>
      <c r="Q30" s="64"/>
      <c r="R30" s="64"/>
      <c r="S30" s="64"/>
      <c r="T30" s="64"/>
      <c r="U30" s="64"/>
      <c r="V30" s="64"/>
      <c r="W30" s="64"/>
      <c r="X30" s="64"/>
      <c r="Y30" s="64"/>
      <c r="Z30" s="64"/>
      <c r="AA30" s="64"/>
      <c r="AB30" s="64"/>
      <c r="AC30" s="64"/>
      <c r="AD30" s="64"/>
      <c r="AE30" s="64"/>
      <c r="AF30" s="64"/>
    </row>
    <row r="31" spans="1:32" ht="15" customHeight="1">
      <c r="A31" s="69"/>
      <c r="B31" s="69"/>
      <c r="C31" s="64"/>
      <c r="D31" s="64"/>
      <c r="E31" s="64"/>
      <c r="F31" s="64"/>
      <c r="G31" s="64"/>
      <c r="H31" s="64"/>
      <c r="I31" s="64"/>
      <c r="J31" s="64"/>
      <c r="K31" s="64"/>
      <c r="L31" s="64"/>
      <c r="M31" s="64"/>
      <c r="N31" s="64"/>
      <c r="O31" s="64"/>
      <c r="P31" s="64"/>
      <c r="Q31" s="64"/>
      <c r="R31" s="64"/>
      <c r="S31" s="64"/>
      <c r="T31" s="64"/>
      <c r="U31" s="64"/>
      <c r="V31" s="64"/>
      <c r="W31" s="64"/>
      <c r="X31" s="64"/>
      <c r="Y31" s="64"/>
      <c r="Z31" s="64"/>
      <c r="AA31" s="64"/>
      <c r="AB31" s="64"/>
      <c r="AC31" s="64"/>
      <c r="AD31" s="64"/>
      <c r="AE31" s="64"/>
      <c r="AF31" s="64"/>
    </row>
    <row r="32" spans="1:32" ht="15" customHeight="1">
      <c r="A32" s="69"/>
      <c r="B32" s="69"/>
      <c r="C32" s="64"/>
      <c r="D32" s="64"/>
      <c r="E32" s="64"/>
      <c r="F32" s="64"/>
      <c r="G32" s="64"/>
      <c r="H32" s="64"/>
      <c r="I32" s="64"/>
      <c r="J32" s="64"/>
      <c r="K32" s="64"/>
      <c r="L32" s="64"/>
      <c r="M32" s="64"/>
      <c r="N32" s="64"/>
      <c r="O32" s="64"/>
      <c r="P32" s="64"/>
      <c r="Q32" s="64"/>
      <c r="R32" s="64"/>
      <c r="S32" s="64"/>
      <c r="T32" s="64"/>
      <c r="U32" s="64"/>
      <c r="V32" s="64"/>
      <c r="W32" s="64"/>
      <c r="X32" s="64"/>
      <c r="Y32" s="64"/>
      <c r="Z32" s="64"/>
      <c r="AA32" s="64"/>
      <c r="AB32" s="64"/>
      <c r="AC32" s="64"/>
      <c r="AD32" s="64"/>
      <c r="AE32" s="64"/>
      <c r="AF32" s="64"/>
    </row>
    <row r="33" spans="1:32" ht="15" customHeight="1">
      <c r="A33" s="69"/>
      <c r="B33" s="69"/>
      <c r="C33" s="64"/>
      <c r="D33" s="64"/>
      <c r="E33" s="64"/>
      <c r="F33" s="64"/>
      <c r="G33" s="64"/>
      <c r="H33" s="64"/>
      <c r="I33" s="64"/>
      <c r="J33" s="64"/>
      <c r="K33" s="64"/>
      <c r="L33" s="64"/>
      <c r="M33" s="64"/>
      <c r="N33" s="64"/>
      <c r="O33" s="64"/>
      <c r="P33" s="64"/>
      <c r="Q33" s="64"/>
      <c r="R33" s="64"/>
      <c r="S33" s="64"/>
      <c r="T33" s="64"/>
      <c r="U33" s="64"/>
      <c r="V33" s="64"/>
      <c r="W33" s="64"/>
      <c r="X33" s="64"/>
      <c r="Y33" s="64"/>
      <c r="Z33" s="64"/>
      <c r="AA33" s="64"/>
      <c r="AB33" s="64"/>
      <c r="AC33" s="64"/>
      <c r="AD33" s="64"/>
      <c r="AE33" s="64"/>
      <c r="AF33" s="64"/>
    </row>
    <row r="34" spans="1:32" ht="15" customHeight="1">
      <c r="A34" s="69"/>
      <c r="B34" s="69"/>
      <c r="C34" s="64"/>
      <c r="D34" s="64"/>
      <c r="E34" s="64"/>
      <c r="F34" s="64"/>
      <c r="G34" s="64"/>
      <c r="H34" s="64"/>
      <c r="I34" s="64"/>
      <c r="J34" s="64"/>
      <c r="K34" s="64"/>
      <c r="L34" s="64"/>
      <c r="M34" s="64"/>
      <c r="N34" s="64"/>
      <c r="O34" s="64"/>
      <c r="P34" s="64"/>
      <c r="Q34" s="64"/>
      <c r="R34" s="64"/>
      <c r="S34" s="64"/>
      <c r="T34" s="64"/>
      <c r="U34" s="64"/>
      <c r="V34" s="64"/>
      <c r="W34" s="64"/>
      <c r="X34" s="64"/>
      <c r="Y34" s="64"/>
      <c r="Z34" s="64"/>
      <c r="AA34" s="64"/>
      <c r="AB34" s="64"/>
      <c r="AC34" s="64"/>
      <c r="AD34" s="64"/>
      <c r="AE34" s="64"/>
      <c r="AF34" s="64"/>
    </row>
    <row r="35" spans="1:32" ht="15" customHeight="1">
      <c r="A35" s="69"/>
      <c r="B35" s="69"/>
      <c r="C35" s="64"/>
      <c r="D35" s="64"/>
      <c r="E35" s="64"/>
      <c r="F35" s="64"/>
      <c r="G35" s="64"/>
      <c r="H35" s="64"/>
      <c r="I35" s="64"/>
      <c r="J35" s="64"/>
      <c r="K35" s="64"/>
      <c r="L35" s="64"/>
      <c r="M35" s="64"/>
      <c r="N35" s="64"/>
      <c r="O35" s="64"/>
      <c r="P35" s="64"/>
      <c r="Q35" s="64"/>
      <c r="R35" s="64"/>
      <c r="S35" s="64"/>
      <c r="T35" s="64"/>
      <c r="U35" s="64"/>
      <c r="V35" s="64"/>
      <c r="W35" s="64"/>
      <c r="X35" s="64"/>
      <c r="Y35" s="64"/>
      <c r="Z35" s="64"/>
      <c r="AA35" s="64"/>
      <c r="AB35" s="64"/>
      <c r="AC35" s="64"/>
      <c r="AD35" s="64"/>
      <c r="AE35" s="64"/>
      <c r="AF35" s="64"/>
    </row>
    <row r="36" spans="1:32" ht="15" customHeight="1">
      <c r="A36" s="69"/>
      <c r="B36" s="69"/>
      <c r="C36" s="64"/>
      <c r="D36" s="64"/>
      <c r="E36" s="64"/>
      <c r="F36" s="64"/>
      <c r="G36" s="64"/>
      <c r="H36" s="64"/>
      <c r="I36" s="64"/>
      <c r="J36" s="64"/>
      <c r="K36" s="64"/>
      <c r="L36" s="64"/>
      <c r="M36" s="64"/>
      <c r="N36" s="64"/>
      <c r="O36" s="64"/>
      <c r="P36" s="64"/>
      <c r="Q36" s="64"/>
      <c r="R36" s="64"/>
      <c r="S36" s="64"/>
      <c r="T36" s="64"/>
      <c r="U36" s="64"/>
      <c r="V36" s="64"/>
      <c r="W36" s="64"/>
      <c r="X36" s="64"/>
      <c r="Y36" s="64"/>
      <c r="Z36" s="64"/>
      <c r="AA36" s="64"/>
      <c r="AB36" s="64"/>
      <c r="AC36" s="64"/>
      <c r="AD36" s="64"/>
      <c r="AE36" s="64"/>
      <c r="AF36" s="64"/>
    </row>
    <row r="37" spans="1:32" ht="15" customHeight="1">
      <c r="A37" s="69"/>
      <c r="B37" s="69"/>
      <c r="C37" s="64"/>
      <c r="D37" s="64"/>
      <c r="E37" s="64"/>
      <c r="F37" s="64"/>
      <c r="G37" s="64"/>
      <c r="H37" s="64"/>
      <c r="I37" s="64"/>
      <c r="J37" s="64"/>
      <c r="K37" s="64"/>
      <c r="L37" s="64"/>
      <c r="M37" s="64"/>
      <c r="N37" s="64"/>
      <c r="O37" s="64"/>
      <c r="P37" s="64"/>
      <c r="Q37" s="64"/>
      <c r="R37" s="64"/>
      <c r="S37" s="64"/>
      <c r="T37" s="64"/>
      <c r="U37" s="64"/>
      <c r="V37" s="64"/>
      <c r="W37" s="64"/>
      <c r="X37" s="64"/>
      <c r="Y37" s="64"/>
      <c r="Z37" s="64"/>
      <c r="AA37" s="64"/>
      <c r="AB37" s="64"/>
      <c r="AC37" s="64"/>
      <c r="AD37" s="64"/>
      <c r="AE37" s="64"/>
      <c r="AF37" s="64"/>
    </row>
    <row r="38" spans="1:32" ht="15" customHeight="1">
      <c r="A38" s="69"/>
      <c r="B38" s="69"/>
      <c r="C38" s="64"/>
      <c r="D38" s="64"/>
      <c r="E38" s="64"/>
      <c r="F38" s="64"/>
      <c r="G38" s="64"/>
      <c r="H38" s="64"/>
      <c r="I38" s="64"/>
      <c r="J38" s="64"/>
      <c r="K38" s="64"/>
      <c r="L38" s="64"/>
      <c r="M38" s="64"/>
      <c r="N38" s="64"/>
      <c r="O38" s="64"/>
      <c r="P38" s="64"/>
      <c r="Q38" s="64"/>
      <c r="R38" s="64"/>
      <c r="S38" s="64"/>
      <c r="T38" s="64"/>
      <c r="U38" s="64"/>
      <c r="V38" s="64"/>
      <c r="W38" s="64"/>
      <c r="X38" s="64"/>
      <c r="Y38" s="64"/>
      <c r="Z38" s="64"/>
      <c r="AA38" s="64"/>
      <c r="AB38" s="64"/>
      <c r="AC38" s="64"/>
      <c r="AD38" s="64"/>
      <c r="AE38" s="64"/>
      <c r="AF38" s="64"/>
    </row>
    <row r="39" spans="1:32" ht="15" customHeight="1">
      <c r="A39" s="69"/>
      <c r="B39" s="69"/>
      <c r="C39" s="64"/>
      <c r="D39" s="64"/>
      <c r="E39" s="64"/>
      <c r="F39" s="64"/>
      <c r="G39" s="64"/>
      <c r="H39" s="64"/>
      <c r="I39" s="64"/>
      <c r="J39" s="64"/>
      <c r="K39" s="64"/>
      <c r="L39" s="64"/>
      <c r="M39" s="64"/>
      <c r="N39" s="64"/>
      <c r="O39" s="64"/>
      <c r="P39" s="64"/>
      <c r="Q39" s="64"/>
      <c r="R39" s="64"/>
      <c r="S39" s="64"/>
      <c r="T39" s="64"/>
      <c r="U39" s="64"/>
      <c r="V39" s="64"/>
      <c r="W39" s="64"/>
      <c r="X39" s="64"/>
      <c r="Y39" s="64"/>
      <c r="Z39" s="64"/>
      <c r="AA39" s="64"/>
      <c r="AB39" s="64"/>
      <c r="AC39" s="64"/>
      <c r="AD39" s="64"/>
      <c r="AE39" s="64"/>
      <c r="AF39" s="64"/>
    </row>
    <row r="40" spans="1:32" ht="15" customHeight="1">
      <c r="A40" s="69"/>
      <c r="B40" s="69"/>
      <c r="C40" s="64"/>
      <c r="D40" s="64"/>
      <c r="E40" s="64"/>
      <c r="F40" s="64"/>
      <c r="G40" s="64"/>
      <c r="H40" s="64"/>
      <c r="I40" s="64"/>
      <c r="J40" s="64"/>
      <c r="K40" s="64"/>
      <c r="L40" s="64"/>
      <c r="M40" s="64"/>
      <c r="N40" s="64"/>
      <c r="O40" s="64"/>
      <c r="P40" s="64"/>
      <c r="Q40" s="64"/>
      <c r="R40" s="64"/>
      <c r="S40" s="64"/>
      <c r="T40" s="64"/>
      <c r="U40" s="64"/>
      <c r="V40" s="64"/>
      <c r="W40" s="64"/>
      <c r="X40" s="64"/>
      <c r="Y40" s="64"/>
      <c r="Z40" s="64"/>
      <c r="AA40" s="64"/>
      <c r="AB40" s="64"/>
      <c r="AC40" s="64"/>
      <c r="AD40" s="64"/>
      <c r="AE40" s="64"/>
      <c r="AF40" s="64"/>
    </row>
    <row r="41" spans="1:32">
      <c r="A41" s="40"/>
      <c r="B41" s="40"/>
      <c r="C41" s="40"/>
      <c r="D41" s="40"/>
      <c r="E41" s="40"/>
      <c r="F41" s="40"/>
      <c r="G41" s="40"/>
      <c r="H41" s="40"/>
      <c r="I41" s="40"/>
      <c r="J41" s="40"/>
      <c r="K41" s="40"/>
      <c r="L41" s="40"/>
      <c r="M41" s="40"/>
      <c r="N41" s="40"/>
      <c r="O41" s="40"/>
      <c r="P41" s="40"/>
      <c r="Q41" s="40"/>
      <c r="R41" s="40"/>
      <c r="S41" s="40"/>
      <c r="T41" s="40"/>
      <c r="U41" s="40"/>
      <c r="V41" s="40"/>
      <c r="W41" s="40"/>
      <c r="X41" s="40"/>
      <c r="Y41" s="40"/>
      <c r="Z41" s="40"/>
      <c r="AA41" s="40"/>
      <c r="AB41" s="40"/>
      <c r="AC41" s="40"/>
      <c r="AD41" s="40"/>
      <c r="AE41" s="40"/>
      <c r="AF41" s="40"/>
    </row>
    <row r="42" spans="1:32">
      <c r="A42" s="40"/>
      <c r="B42" s="40"/>
      <c r="C42" s="40"/>
      <c r="D42" s="40"/>
      <c r="E42" s="40"/>
      <c r="F42" s="40"/>
      <c r="G42" s="40"/>
      <c r="H42" s="40"/>
      <c r="I42" s="40"/>
      <c r="J42" s="40"/>
      <c r="K42" s="40"/>
      <c r="L42" s="40"/>
      <c r="M42" s="40"/>
      <c r="N42" s="40"/>
      <c r="O42" s="40"/>
      <c r="P42" s="40"/>
      <c r="Q42" s="40"/>
      <c r="R42" s="40"/>
      <c r="S42" s="40"/>
      <c r="T42" s="40"/>
      <c r="U42" s="40"/>
      <c r="V42" s="40"/>
      <c r="W42" s="40"/>
      <c r="X42" s="40"/>
      <c r="Y42" s="40"/>
      <c r="Z42" s="40"/>
      <c r="AA42" s="40"/>
      <c r="AB42" s="40"/>
      <c r="AC42" s="40"/>
      <c r="AD42" s="40"/>
      <c r="AE42" s="40"/>
      <c r="AF42" s="40"/>
    </row>
    <row r="43" spans="1:32">
      <c r="A43" s="40"/>
      <c r="B43" s="40"/>
      <c r="C43" s="40"/>
      <c r="D43" s="40"/>
      <c r="E43" s="40"/>
      <c r="F43" s="40"/>
      <c r="G43" s="40"/>
      <c r="H43" s="40"/>
      <c r="I43" s="40"/>
      <c r="J43" s="40"/>
      <c r="K43" s="40"/>
      <c r="L43" s="40"/>
      <c r="M43" s="40"/>
      <c r="N43" s="40"/>
      <c r="O43" s="40"/>
      <c r="P43" s="40"/>
      <c r="Q43" s="40"/>
      <c r="R43" s="40"/>
      <c r="S43" s="40"/>
      <c r="T43" s="40"/>
      <c r="U43" s="40"/>
      <c r="V43" s="40"/>
      <c r="W43" s="40"/>
      <c r="X43" s="40"/>
      <c r="Y43" s="40"/>
      <c r="Z43" s="40"/>
      <c r="AA43" s="40"/>
      <c r="AB43" s="40"/>
      <c r="AC43" s="40"/>
      <c r="AD43" s="40"/>
      <c r="AE43" s="40"/>
      <c r="AF43" s="40"/>
    </row>
    <row r="44" spans="1:32">
      <c r="A44" s="40"/>
      <c r="B44" s="40"/>
      <c r="C44" s="40"/>
      <c r="D44" s="40"/>
      <c r="E44" s="40"/>
      <c r="F44" s="40"/>
      <c r="G44" s="40"/>
      <c r="H44" s="40"/>
      <c r="I44" s="40"/>
      <c r="J44" s="40"/>
      <c r="K44" s="40"/>
      <c r="L44" s="40"/>
      <c r="M44" s="40"/>
      <c r="N44" s="40"/>
      <c r="O44" s="40"/>
      <c r="P44" s="40"/>
      <c r="Q44" s="40"/>
      <c r="R44" s="40"/>
      <c r="S44" s="40"/>
      <c r="T44" s="40"/>
      <c r="U44" s="40"/>
      <c r="V44" s="40"/>
      <c r="W44" s="40"/>
      <c r="X44" s="40"/>
      <c r="Y44" s="40"/>
      <c r="Z44" s="40"/>
      <c r="AA44" s="40"/>
      <c r="AB44" s="40"/>
      <c r="AC44" s="40"/>
      <c r="AD44" s="40"/>
      <c r="AE44" s="40"/>
      <c r="AF44" s="40"/>
    </row>
    <row r="45" spans="1:32">
      <c r="A45" s="40"/>
      <c r="B45" s="40"/>
      <c r="C45" s="40"/>
      <c r="D45" s="40"/>
      <c r="E45" s="40"/>
      <c r="F45" s="40"/>
      <c r="G45" s="40"/>
      <c r="H45" s="40"/>
      <c r="I45" s="40"/>
      <c r="J45" s="40"/>
      <c r="K45" s="40"/>
      <c r="L45" s="40"/>
      <c r="M45" s="40"/>
      <c r="N45" s="40"/>
      <c r="O45" s="40"/>
      <c r="P45" s="40"/>
      <c r="Q45" s="40"/>
      <c r="R45" s="40"/>
      <c r="S45" s="40"/>
      <c r="T45" s="40"/>
      <c r="U45" s="40"/>
      <c r="V45" s="40"/>
      <c r="W45" s="40"/>
      <c r="X45" s="40"/>
      <c r="Y45" s="40"/>
      <c r="Z45" s="40"/>
      <c r="AA45" s="40"/>
      <c r="AB45" s="40"/>
      <c r="AC45" s="40"/>
      <c r="AD45" s="40"/>
      <c r="AE45" s="40"/>
      <c r="AF45" s="40"/>
    </row>
    <row r="46" spans="1:32">
      <c r="A46" s="40"/>
      <c r="B46" s="40"/>
      <c r="C46" s="40"/>
      <c r="D46" s="40"/>
      <c r="E46" s="40"/>
      <c r="F46" s="40"/>
      <c r="G46" s="40"/>
      <c r="H46" s="40"/>
      <c r="I46" s="40"/>
      <c r="J46" s="40"/>
      <c r="K46" s="40"/>
      <c r="L46" s="40"/>
      <c r="M46" s="40"/>
      <c r="N46" s="40"/>
      <c r="O46" s="40"/>
      <c r="P46" s="40"/>
      <c r="Q46" s="40"/>
      <c r="R46" s="40"/>
      <c r="S46" s="40"/>
      <c r="T46" s="40"/>
      <c r="U46" s="40"/>
      <c r="V46" s="40"/>
      <c r="W46" s="40"/>
      <c r="X46" s="40"/>
      <c r="Y46" s="40"/>
      <c r="Z46" s="40"/>
      <c r="AA46" s="40"/>
      <c r="AB46" s="40"/>
      <c r="AC46" s="40"/>
      <c r="AD46" s="40"/>
      <c r="AE46" s="40"/>
      <c r="AF46" s="40"/>
    </row>
    <row r="47" spans="1:32">
      <c r="A47" s="40"/>
      <c r="B47" s="40"/>
      <c r="C47" s="40"/>
      <c r="D47" s="40"/>
      <c r="E47" s="40"/>
      <c r="F47" s="40"/>
      <c r="G47" s="40"/>
      <c r="H47" s="40"/>
      <c r="I47" s="40"/>
      <c r="J47" s="40"/>
      <c r="K47" s="40"/>
      <c r="L47" s="40"/>
      <c r="M47" s="40"/>
      <c r="N47" s="40"/>
      <c r="O47" s="40"/>
      <c r="P47" s="40"/>
      <c r="Q47" s="40"/>
      <c r="R47" s="40"/>
      <c r="S47" s="40"/>
      <c r="T47" s="40"/>
      <c r="U47" s="40"/>
      <c r="V47" s="40"/>
      <c r="W47" s="40"/>
      <c r="X47" s="40"/>
      <c r="Y47" s="40"/>
      <c r="Z47" s="40"/>
      <c r="AA47" s="40"/>
      <c r="AB47" s="40"/>
      <c r="AC47" s="40"/>
      <c r="AD47" s="40"/>
      <c r="AE47" s="40"/>
      <c r="AF47" s="40"/>
    </row>
    <row r="48" spans="1:32">
      <c r="A48" s="40"/>
      <c r="B48" s="40"/>
      <c r="C48" s="40"/>
      <c r="D48" s="40"/>
      <c r="E48" s="40"/>
      <c r="F48" s="40"/>
      <c r="G48" s="40"/>
      <c r="H48" s="40"/>
      <c r="I48" s="40"/>
      <c r="J48" s="40"/>
      <c r="K48" s="40"/>
      <c r="L48" s="40"/>
      <c r="M48" s="40"/>
      <c r="N48" s="40"/>
      <c r="O48" s="40"/>
      <c r="P48" s="40"/>
      <c r="Q48" s="40"/>
      <c r="R48" s="40"/>
      <c r="S48" s="40"/>
      <c r="T48" s="40"/>
      <c r="U48" s="40"/>
      <c r="V48" s="40"/>
      <c r="W48" s="40"/>
      <c r="X48" s="40"/>
      <c r="Y48" s="40"/>
      <c r="Z48" s="40"/>
      <c r="AA48" s="40"/>
      <c r="AB48" s="40"/>
      <c r="AC48" s="40"/>
      <c r="AD48" s="40"/>
      <c r="AE48" s="40"/>
      <c r="AF48" s="40"/>
    </row>
    <row r="49" spans="1:32">
      <c r="A49" s="40"/>
      <c r="B49" s="40"/>
      <c r="C49" s="40"/>
      <c r="D49" s="40"/>
      <c r="E49" s="40"/>
      <c r="F49" s="40"/>
      <c r="G49" s="40"/>
      <c r="H49" s="40"/>
      <c r="I49" s="40"/>
      <c r="J49" s="40"/>
      <c r="K49" s="40"/>
      <c r="L49" s="40"/>
      <c r="M49" s="40"/>
      <c r="N49" s="40"/>
      <c r="O49" s="40"/>
      <c r="P49" s="40"/>
      <c r="Q49" s="40"/>
      <c r="R49" s="40"/>
      <c r="S49" s="40"/>
      <c r="T49" s="40"/>
      <c r="U49" s="40"/>
      <c r="V49" s="40"/>
      <c r="W49" s="40"/>
      <c r="X49" s="40"/>
      <c r="Y49" s="40"/>
      <c r="Z49" s="40"/>
      <c r="AA49" s="40"/>
      <c r="AB49" s="40"/>
      <c r="AC49" s="40"/>
      <c r="AD49" s="40"/>
      <c r="AE49" s="40"/>
      <c r="AF49" s="40"/>
    </row>
    <row r="50" spans="1:32">
      <c r="A50" s="40"/>
      <c r="B50" s="40"/>
      <c r="C50" s="40"/>
      <c r="D50" s="40"/>
      <c r="E50" s="40"/>
      <c r="F50" s="40"/>
      <c r="G50" s="40"/>
      <c r="H50" s="40"/>
      <c r="I50" s="40"/>
      <c r="J50" s="40"/>
      <c r="K50" s="40"/>
      <c r="L50" s="40"/>
      <c r="M50" s="40"/>
      <c r="N50" s="40"/>
      <c r="O50" s="40"/>
      <c r="P50" s="40"/>
      <c r="Q50" s="40"/>
      <c r="R50" s="40"/>
      <c r="S50" s="40"/>
      <c r="T50" s="40"/>
      <c r="U50" s="40"/>
      <c r="V50" s="40"/>
      <c r="W50" s="40"/>
      <c r="X50" s="40"/>
      <c r="Y50" s="40"/>
      <c r="Z50" s="40"/>
      <c r="AA50" s="40"/>
      <c r="AB50" s="40"/>
      <c r="AC50" s="40"/>
      <c r="AD50" s="40"/>
      <c r="AE50" s="40"/>
      <c r="AF50" s="40"/>
    </row>
    <row r="51" spans="1:32">
      <c r="A51" s="40"/>
      <c r="B51" s="40"/>
      <c r="C51" s="40"/>
      <c r="D51" s="40"/>
      <c r="E51" s="40"/>
      <c r="F51" s="40"/>
      <c r="G51" s="40"/>
      <c r="H51" s="40"/>
      <c r="I51" s="40"/>
      <c r="J51" s="40"/>
      <c r="K51" s="40"/>
      <c r="L51" s="40"/>
      <c r="M51" s="40"/>
      <c r="N51" s="40"/>
      <c r="O51" s="40"/>
      <c r="P51" s="40"/>
      <c r="Q51" s="40"/>
      <c r="R51" s="40"/>
      <c r="S51" s="40"/>
      <c r="T51" s="40"/>
      <c r="U51" s="40"/>
      <c r="V51" s="40"/>
      <c r="W51" s="40"/>
      <c r="X51" s="40"/>
      <c r="Y51" s="40"/>
      <c r="Z51" s="40"/>
      <c r="AA51" s="40"/>
      <c r="AB51" s="40"/>
      <c r="AC51" s="40"/>
      <c r="AD51" s="40"/>
      <c r="AE51" s="40"/>
      <c r="AF51" s="40"/>
    </row>
    <row r="52" spans="1:32">
      <c r="A52" s="40"/>
      <c r="B52" s="40"/>
      <c r="C52" s="40"/>
      <c r="D52" s="40"/>
      <c r="E52" s="40"/>
      <c r="F52" s="40"/>
      <c r="G52" s="40"/>
      <c r="H52" s="40"/>
      <c r="I52" s="40"/>
      <c r="J52" s="40"/>
      <c r="K52" s="40"/>
      <c r="L52" s="40"/>
      <c r="M52" s="40"/>
      <c r="N52" s="40"/>
      <c r="O52" s="40"/>
      <c r="P52" s="40"/>
      <c r="Q52" s="40"/>
      <c r="R52" s="40"/>
      <c r="S52" s="40"/>
      <c r="T52" s="40"/>
      <c r="U52" s="40"/>
      <c r="V52" s="40"/>
      <c r="W52" s="40"/>
      <c r="X52" s="40"/>
      <c r="Y52" s="40"/>
      <c r="Z52" s="40"/>
      <c r="AA52" s="40"/>
      <c r="AB52" s="40"/>
      <c r="AC52" s="40"/>
      <c r="AD52" s="40"/>
      <c r="AE52" s="40"/>
      <c r="AF52" s="40"/>
    </row>
    <row r="53" spans="1:32">
      <c r="A53" s="40"/>
      <c r="B53" s="40"/>
      <c r="C53" s="40"/>
      <c r="D53" s="40"/>
      <c r="E53" s="40"/>
      <c r="F53" s="40"/>
      <c r="G53" s="40"/>
      <c r="H53" s="40"/>
      <c r="I53" s="40"/>
      <c r="J53" s="40"/>
      <c r="K53" s="40"/>
      <c r="L53" s="40"/>
      <c r="M53" s="40"/>
      <c r="N53" s="40"/>
      <c r="O53" s="40"/>
      <c r="P53" s="40"/>
      <c r="Q53" s="40"/>
      <c r="R53" s="40"/>
      <c r="S53" s="40"/>
      <c r="T53" s="40"/>
      <c r="U53" s="40"/>
      <c r="V53" s="40"/>
      <c r="W53" s="40"/>
      <c r="X53" s="40"/>
      <c r="Y53" s="40"/>
      <c r="Z53" s="40"/>
      <c r="AA53" s="40"/>
      <c r="AB53" s="40"/>
      <c r="AC53" s="40"/>
      <c r="AD53" s="40"/>
      <c r="AE53" s="40"/>
      <c r="AF53" s="40"/>
    </row>
    <row r="54" spans="1:32">
      <c r="A54" s="40"/>
      <c r="B54" s="40"/>
      <c r="C54" s="40"/>
      <c r="D54" s="40"/>
      <c r="E54" s="40"/>
      <c r="F54" s="40"/>
      <c r="G54" s="40"/>
      <c r="H54" s="40"/>
      <c r="I54" s="40"/>
      <c r="J54" s="40"/>
      <c r="K54" s="40"/>
      <c r="L54" s="40"/>
      <c r="M54" s="40"/>
      <c r="N54" s="40"/>
      <c r="O54" s="40"/>
      <c r="P54" s="40"/>
      <c r="Q54" s="40"/>
      <c r="R54" s="40"/>
      <c r="S54" s="40"/>
      <c r="T54" s="40"/>
      <c r="U54" s="40"/>
      <c r="V54" s="40"/>
      <c r="W54" s="40"/>
      <c r="X54" s="40"/>
      <c r="Y54" s="40"/>
      <c r="Z54" s="40"/>
      <c r="AA54" s="40"/>
      <c r="AB54" s="40"/>
      <c r="AC54" s="40"/>
      <c r="AD54" s="40"/>
      <c r="AE54" s="40"/>
      <c r="AF54" s="40"/>
    </row>
    <row r="55" spans="1:32">
      <c r="A55" s="40"/>
      <c r="B55" s="40"/>
      <c r="C55" s="40"/>
      <c r="D55" s="40"/>
      <c r="E55" s="40"/>
      <c r="F55" s="40"/>
      <c r="G55" s="40"/>
      <c r="H55" s="40"/>
      <c r="I55" s="40"/>
      <c r="J55" s="40"/>
      <c r="K55" s="40"/>
      <c r="L55" s="40"/>
      <c r="M55" s="40"/>
      <c r="N55" s="40"/>
      <c r="O55" s="40"/>
      <c r="P55" s="40"/>
      <c r="Q55" s="40"/>
      <c r="R55" s="40"/>
      <c r="S55" s="40"/>
      <c r="T55" s="40"/>
      <c r="U55" s="40"/>
      <c r="V55" s="40"/>
      <c r="W55" s="40"/>
      <c r="X55" s="40"/>
      <c r="Y55" s="40"/>
      <c r="Z55" s="40"/>
      <c r="AA55" s="40"/>
      <c r="AB55" s="40"/>
      <c r="AC55" s="40"/>
      <c r="AD55" s="40"/>
      <c r="AE55" s="40"/>
      <c r="AF55" s="40"/>
    </row>
    <row r="56" spans="1:32">
      <c r="A56" s="40"/>
      <c r="B56" s="40"/>
      <c r="C56" s="40"/>
      <c r="D56" s="40"/>
      <c r="E56" s="40"/>
      <c r="F56" s="40"/>
      <c r="G56" s="40"/>
      <c r="H56" s="40"/>
      <c r="I56" s="40"/>
      <c r="J56" s="40"/>
      <c r="K56" s="40"/>
      <c r="L56" s="40"/>
      <c r="M56" s="40"/>
      <c r="N56" s="40"/>
      <c r="O56" s="40"/>
      <c r="P56" s="40"/>
      <c r="Q56" s="40"/>
      <c r="R56" s="40"/>
      <c r="S56" s="40"/>
      <c r="T56" s="40"/>
      <c r="U56" s="40"/>
      <c r="V56" s="40"/>
      <c r="W56" s="40"/>
      <c r="X56" s="40"/>
      <c r="Y56" s="40"/>
      <c r="Z56" s="40"/>
      <c r="AA56" s="40"/>
      <c r="AB56" s="40"/>
      <c r="AC56" s="40"/>
      <c r="AD56" s="40"/>
      <c r="AE56" s="40"/>
      <c r="AF56" s="40"/>
    </row>
    <row r="57" spans="1:32">
      <c r="A57" s="40"/>
      <c r="B57" s="40"/>
      <c r="C57" s="40"/>
      <c r="D57" s="40"/>
      <c r="E57" s="40"/>
      <c r="F57" s="40"/>
      <c r="G57" s="40"/>
      <c r="H57" s="40"/>
      <c r="I57" s="40"/>
      <c r="J57" s="40"/>
      <c r="K57" s="40"/>
      <c r="L57" s="40"/>
      <c r="M57" s="40"/>
      <c r="N57" s="40"/>
      <c r="O57" s="40"/>
      <c r="P57" s="40"/>
      <c r="Q57" s="40"/>
      <c r="R57" s="40"/>
      <c r="S57" s="40"/>
      <c r="T57" s="40"/>
      <c r="U57" s="40"/>
      <c r="V57" s="40"/>
      <c r="W57" s="40"/>
      <c r="X57" s="40"/>
      <c r="Y57" s="40"/>
      <c r="Z57" s="40"/>
      <c r="AA57" s="40"/>
      <c r="AB57" s="40"/>
      <c r="AC57" s="40"/>
      <c r="AD57" s="40"/>
      <c r="AE57" s="40"/>
      <c r="AF57" s="40"/>
    </row>
    <row r="58" spans="1:32">
      <c r="A58" s="40"/>
      <c r="B58" s="40"/>
      <c r="C58" s="40"/>
      <c r="D58" s="40"/>
      <c r="E58" s="40"/>
      <c r="F58" s="40"/>
      <c r="G58" s="40"/>
      <c r="H58" s="40"/>
      <c r="I58" s="40"/>
      <c r="J58" s="40"/>
      <c r="K58" s="40"/>
      <c r="L58" s="40"/>
      <c r="M58" s="40"/>
      <c r="N58" s="40"/>
      <c r="O58" s="40"/>
      <c r="P58" s="40"/>
      <c r="Q58" s="40"/>
      <c r="R58" s="40"/>
      <c r="S58" s="40"/>
      <c r="T58" s="40"/>
      <c r="U58" s="40"/>
      <c r="V58" s="40"/>
      <c r="W58" s="40"/>
      <c r="X58" s="40"/>
      <c r="Y58" s="40"/>
      <c r="Z58" s="40"/>
      <c r="AA58" s="40"/>
      <c r="AB58" s="40"/>
      <c r="AC58" s="40"/>
      <c r="AD58" s="40"/>
      <c r="AE58" s="40"/>
      <c r="AF58" s="40"/>
    </row>
    <row r="59" spans="1:32">
      <c r="A59" s="40"/>
      <c r="B59" s="40"/>
      <c r="C59" s="40"/>
      <c r="D59" s="40"/>
      <c r="E59" s="40"/>
      <c r="F59" s="40"/>
      <c r="G59" s="40"/>
      <c r="H59" s="40"/>
      <c r="I59" s="40"/>
      <c r="J59" s="40"/>
      <c r="K59" s="40"/>
      <c r="L59" s="40"/>
      <c r="M59" s="40"/>
      <c r="N59" s="40"/>
      <c r="O59" s="40"/>
      <c r="P59" s="40"/>
      <c r="Q59" s="40"/>
      <c r="R59" s="40"/>
      <c r="S59" s="40"/>
      <c r="T59" s="40"/>
      <c r="U59" s="40"/>
      <c r="V59" s="40"/>
      <c r="W59" s="40"/>
      <c r="X59" s="40"/>
      <c r="Y59" s="40"/>
      <c r="Z59" s="40"/>
      <c r="AA59" s="40"/>
      <c r="AB59" s="40"/>
      <c r="AC59" s="40"/>
      <c r="AD59" s="40"/>
      <c r="AE59" s="40"/>
      <c r="AF59" s="40"/>
    </row>
    <row r="60" spans="1:32">
      <c r="A60" s="40"/>
      <c r="B60" s="40"/>
      <c r="C60" s="40"/>
      <c r="D60" s="40"/>
      <c r="E60" s="40"/>
      <c r="F60" s="40"/>
      <c r="G60" s="40"/>
      <c r="H60" s="40"/>
      <c r="I60" s="40"/>
      <c r="J60" s="40"/>
      <c r="K60" s="40"/>
      <c r="L60" s="40"/>
      <c r="M60" s="40"/>
      <c r="N60" s="40"/>
      <c r="O60" s="40"/>
      <c r="P60" s="40"/>
      <c r="Q60" s="40"/>
      <c r="R60" s="40"/>
      <c r="S60" s="40"/>
      <c r="T60" s="40"/>
      <c r="U60" s="40"/>
      <c r="V60" s="40"/>
      <c r="W60" s="40"/>
      <c r="X60" s="40"/>
      <c r="Y60" s="40"/>
      <c r="Z60" s="40"/>
      <c r="AA60" s="40"/>
      <c r="AB60" s="40"/>
      <c r="AC60" s="40"/>
      <c r="AD60" s="40"/>
      <c r="AE60" s="40"/>
      <c r="AF60" s="40"/>
    </row>
    <row r="61" spans="1:32">
      <c r="A61" s="40"/>
      <c r="B61" s="40"/>
      <c r="C61" s="40"/>
      <c r="D61" s="40"/>
      <c r="E61" s="40"/>
      <c r="F61" s="40"/>
      <c r="G61" s="40"/>
      <c r="H61" s="40"/>
      <c r="I61" s="40"/>
      <c r="J61" s="40"/>
      <c r="K61" s="40"/>
      <c r="L61" s="40"/>
      <c r="M61" s="40"/>
      <c r="N61" s="40"/>
      <c r="O61" s="40"/>
      <c r="P61" s="40"/>
      <c r="Q61" s="40"/>
      <c r="R61" s="40"/>
      <c r="S61" s="40"/>
      <c r="T61" s="40"/>
      <c r="U61" s="40"/>
      <c r="V61" s="40"/>
      <c r="W61" s="40"/>
      <c r="X61" s="40"/>
      <c r="Y61" s="40"/>
      <c r="Z61" s="40"/>
      <c r="AA61" s="40"/>
      <c r="AB61" s="40"/>
      <c r="AC61" s="40"/>
      <c r="AD61" s="40"/>
      <c r="AE61" s="40"/>
      <c r="AF61" s="40"/>
    </row>
    <row r="62" spans="1:32">
      <c r="A62" s="40"/>
      <c r="B62" s="40"/>
      <c r="C62" s="40"/>
      <c r="D62" s="40"/>
      <c r="E62" s="40"/>
      <c r="F62" s="40"/>
      <c r="G62" s="40"/>
      <c r="H62" s="40"/>
      <c r="I62" s="40"/>
      <c r="J62" s="40"/>
      <c r="K62" s="40"/>
      <c r="L62" s="40"/>
      <c r="M62" s="40"/>
      <c r="N62" s="40"/>
      <c r="O62" s="40"/>
      <c r="P62" s="40"/>
      <c r="Q62" s="40"/>
      <c r="R62" s="40"/>
      <c r="S62" s="40"/>
      <c r="T62" s="40"/>
      <c r="U62" s="40"/>
      <c r="V62" s="40"/>
      <c r="W62" s="40"/>
      <c r="X62" s="40"/>
      <c r="Y62" s="40"/>
      <c r="Z62" s="40"/>
      <c r="AA62" s="40"/>
      <c r="AB62" s="40"/>
      <c r="AC62" s="40"/>
      <c r="AD62" s="40"/>
      <c r="AE62" s="40"/>
      <c r="AF62" s="40"/>
    </row>
    <row r="63" spans="1:32">
      <c r="A63" s="40"/>
      <c r="B63" s="40"/>
      <c r="C63" s="40"/>
      <c r="D63" s="40"/>
      <c r="E63" s="40"/>
      <c r="F63" s="40"/>
      <c r="G63" s="40"/>
      <c r="H63" s="40"/>
      <c r="I63" s="40"/>
      <c r="J63" s="40"/>
      <c r="K63" s="40"/>
      <c r="L63" s="40"/>
      <c r="M63" s="40"/>
      <c r="N63" s="40"/>
      <c r="O63" s="40"/>
      <c r="P63" s="40"/>
      <c r="Q63" s="40"/>
      <c r="R63" s="40"/>
      <c r="S63" s="40"/>
      <c r="T63" s="40"/>
      <c r="U63" s="40"/>
      <c r="V63" s="40"/>
      <c r="W63" s="40"/>
      <c r="X63" s="40"/>
      <c r="Y63" s="40"/>
      <c r="Z63" s="40"/>
      <c r="AA63" s="40"/>
      <c r="AB63" s="40"/>
      <c r="AC63" s="40"/>
      <c r="AD63" s="40"/>
      <c r="AE63" s="40"/>
      <c r="AF63" s="40"/>
    </row>
    <row r="64" spans="1:32">
      <c r="A64" s="40"/>
      <c r="B64" s="40"/>
      <c r="C64" s="40"/>
      <c r="D64" s="40"/>
      <c r="E64" s="40"/>
      <c r="F64" s="40"/>
      <c r="G64" s="40"/>
      <c r="H64" s="40"/>
      <c r="I64" s="40"/>
      <c r="J64" s="40"/>
      <c r="K64" s="40"/>
      <c r="L64" s="40"/>
      <c r="M64" s="40"/>
      <c r="N64" s="40"/>
      <c r="O64" s="40"/>
      <c r="P64" s="40"/>
      <c r="Q64" s="40"/>
      <c r="R64" s="40"/>
      <c r="S64" s="40"/>
      <c r="T64" s="40"/>
      <c r="U64" s="40"/>
      <c r="V64" s="40"/>
      <c r="W64" s="40"/>
      <c r="X64" s="40"/>
      <c r="Y64" s="40"/>
      <c r="Z64" s="40"/>
      <c r="AA64" s="40"/>
      <c r="AB64" s="40"/>
      <c r="AC64" s="40"/>
      <c r="AD64" s="40"/>
      <c r="AE64" s="40"/>
      <c r="AF64" s="40"/>
    </row>
    <row r="65" spans="1:32">
      <c r="A65" s="40"/>
      <c r="B65" s="40"/>
      <c r="C65" s="40"/>
      <c r="D65" s="40"/>
      <c r="E65" s="40"/>
      <c r="F65" s="40"/>
      <c r="G65" s="40"/>
      <c r="H65" s="40"/>
      <c r="I65" s="40"/>
      <c r="J65" s="40"/>
      <c r="K65" s="40"/>
      <c r="L65" s="40"/>
      <c r="M65" s="40"/>
      <c r="N65" s="40"/>
      <c r="O65" s="40"/>
      <c r="P65" s="40"/>
      <c r="Q65" s="40"/>
      <c r="R65" s="40"/>
      <c r="S65" s="40"/>
      <c r="T65" s="40"/>
      <c r="U65" s="40"/>
      <c r="V65" s="40"/>
      <c r="W65" s="40"/>
      <c r="X65" s="40"/>
      <c r="Y65" s="40"/>
      <c r="Z65" s="40"/>
      <c r="AA65" s="40"/>
      <c r="AB65" s="40"/>
      <c r="AC65" s="40"/>
      <c r="AD65" s="40"/>
      <c r="AE65" s="40"/>
      <c r="AF65" s="40"/>
    </row>
    <row r="66" spans="1:32">
      <c r="A66" s="40"/>
      <c r="B66" s="40"/>
      <c r="C66" s="40"/>
      <c r="D66" s="40"/>
      <c r="E66" s="40"/>
      <c r="F66" s="40"/>
      <c r="G66" s="40"/>
      <c r="H66" s="40"/>
      <c r="I66" s="40"/>
      <c r="J66" s="40"/>
      <c r="K66" s="40"/>
      <c r="L66" s="40"/>
      <c r="M66" s="40"/>
      <c r="N66" s="40"/>
      <c r="O66" s="40"/>
      <c r="P66" s="40"/>
      <c r="Q66" s="40"/>
      <c r="R66" s="40"/>
      <c r="S66" s="40"/>
      <c r="T66" s="40"/>
      <c r="U66" s="40"/>
      <c r="V66" s="40"/>
      <c r="W66" s="40"/>
      <c r="X66" s="40"/>
      <c r="Y66" s="40"/>
      <c r="Z66" s="40"/>
      <c r="AA66" s="40"/>
      <c r="AB66" s="40"/>
      <c r="AC66" s="40"/>
      <c r="AD66" s="40"/>
      <c r="AE66" s="40"/>
      <c r="AF66" s="40"/>
    </row>
    <row r="67" spans="1:32">
      <c r="A67" s="40"/>
      <c r="B67" s="40"/>
      <c r="C67" s="40"/>
      <c r="D67" s="40"/>
      <c r="E67" s="40"/>
      <c r="F67" s="40"/>
      <c r="G67" s="40"/>
      <c r="H67" s="40"/>
      <c r="I67" s="40"/>
      <c r="J67" s="40"/>
      <c r="K67" s="40"/>
      <c r="L67" s="40"/>
      <c r="M67" s="40"/>
      <c r="N67" s="40"/>
      <c r="O67" s="40"/>
      <c r="P67" s="40"/>
      <c r="Q67" s="40"/>
      <c r="R67" s="40"/>
      <c r="S67" s="40"/>
      <c r="T67" s="40"/>
      <c r="U67" s="40"/>
      <c r="V67" s="40"/>
      <c r="W67" s="40"/>
      <c r="X67" s="40"/>
      <c r="Y67" s="40"/>
      <c r="Z67" s="40"/>
      <c r="AA67" s="40"/>
      <c r="AB67" s="40"/>
      <c r="AC67" s="40"/>
      <c r="AD67" s="40"/>
      <c r="AE67" s="40"/>
      <c r="AF67" s="40"/>
    </row>
    <row r="68" spans="1:32">
      <c r="A68" s="40"/>
      <c r="B68" s="40"/>
      <c r="C68" s="40"/>
      <c r="D68" s="40"/>
      <c r="E68" s="40"/>
      <c r="F68" s="40"/>
      <c r="G68" s="40"/>
      <c r="H68" s="40"/>
      <c r="I68" s="40"/>
      <c r="J68" s="40"/>
      <c r="K68" s="40"/>
      <c r="L68" s="40"/>
      <c r="M68" s="40"/>
      <c r="N68" s="40"/>
      <c r="O68" s="40"/>
      <c r="P68" s="40"/>
      <c r="Q68" s="40"/>
      <c r="R68" s="40"/>
      <c r="S68" s="40"/>
      <c r="T68" s="40"/>
      <c r="U68" s="40"/>
      <c r="V68" s="40"/>
      <c r="W68" s="40"/>
      <c r="X68" s="40"/>
      <c r="Y68" s="40"/>
      <c r="Z68" s="40"/>
      <c r="AA68" s="40"/>
      <c r="AB68" s="40"/>
      <c r="AC68" s="40"/>
      <c r="AD68" s="40"/>
      <c r="AE68" s="40"/>
      <c r="AF68" s="40"/>
    </row>
    <row r="69" spans="1:32">
      <c r="A69" s="40"/>
      <c r="B69" s="40"/>
      <c r="C69" s="40"/>
      <c r="D69" s="40"/>
      <c r="E69" s="40"/>
      <c r="F69" s="40"/>
      <c r="G69" s="40"/>
      <c r="H69" s="40"/>
      <c r="I69" s="40"/>
      <c r="J69" s="40"/>
      <c r="K69" s="40"/>
      <c r="L69" s="40"/>
      <c r="M69" s="40"/>
      <c r="N69" s="40"/>
      <c r="O69" s="40"/>
      <c r="P69" s="40"/>
      <c r="Q69" s="40"/>
      <c r="R69" s="40"/>
      <c r="S69" s="40"/>
      <c r="T69" s="40"/>
      <c r="U69" s="40"/>
      <c r="V69" s="40"/>
      <c r="W69" s="40"/>
      <c r="X69" s="40"/>
      <c r="Y69" s="40"/>
      <c r="Z69" s="40"/>
      <c r="AA69" s="40"/>
      <c r="AB69" s="40"/>
      <c r="AC69" s="40"/>
      <c r="AD69" s="40"/>
      <c r="AE69" s="40"/>
      <c r="AF69" s="40"/>
    </row>
    <row r="70" spans="1:32">
      <c r="A70" s="40"/>
      <c r="B70" s="40"/>
      <c r="C70" s="40"/>
      <c r="D70" s="40"/>
      <c r="E70" s="40"/>
      <c r="F70" s="40"/>
      <c r="G70" s="40"/>
      <c r="H70" s="40"/>
      <c r="I70" s="40"/>
      <c r="J70" s="40"/>
      <c r="K70" s="40"/>
      <c r="L70" s="40"/>
      <c r="M70" s="40"/>
      <c r="N70" s="40"/>
      <c r="O70" s="40"/>
      <c r="P70" s="40"/>
      <c r="Q70" s="40"/>
      <c r="R70" s="40"/>
      <c r="S70" s="40"/>
      <c r="T70" s="40"/>
      <c r="U70" s="40"/>
      <c r="V70" s="40"/>
      <c r="W70" s="40"/>
      <c r="X70" s="40"/>
      <c r="Y70" s="40"/>
      <c r="Z70" s="40"/>
      <c r="AA70" s="40"/>
      <c r="AB70" s="40"/>
      <c r="AC70" s="40"/>
      <c r="AD70" s="40"/>
      <c r="AE70" s="40"/>
      <c r="AF70" s="40"/>
    </row>
    <row r="71" spans="1:32">
      <c r="A71" s="40"/>
      <c r="B71" s="40"/>
      <c r="C71" s="40"/>
      <c r="D71" s="40"/>
      <c r="E71" s="40"/>
      <c r="F71" s="40"/>
      <c r="G71" s="40"/>
      <c r="H71" s="40"/>
      <c r="I71" s="40"/>
      <c r="J71" s="40"/>
      <c r="K71" s="40"/>
      <c r="L71" s="40"/>
      <c r="M71" s="40"/>
      <c r="N71" s="40"/>
      <c r="O71" s="40"/>
      <c r="P71" s="40"/>
      <c r="Q71" s="40"/>
      <c r="R71" s="40"/>
      <c r="S71" s="40"/>
      <c r="T71" s="40"/>
      <c r="U71" s="40"/>
      <c r="V71" s="40"/>
      <c r="W71" s="40"/>
      <c r="X71" s="40"/>
      <c r="Y71" s="40"/>
      <c r="Z71" s="40"/>
      <c r="AA71" s="40"/>
      <c r="AB71" s="40"/>
      <c r="AC71" s="40"/>
      <c r="AD71" s="40"/>
      <c r="AE71" s="40"/>
      <c r="AF71" s="40"/>
    </row>
    <row r="72" spans="1:32">
      <c r="A72" s="40"/>
      <c r="B72" s="40"/>
      <c r="C72" s="40"/>
      <c r="D72" s="40"/>
      <c r="E72" s="40"/>
      <c r="F72" s="40"/>
      <c r="G72" s="40"/>
      <c r="H72" s="40"/>
      <c r="I72" s="40"/>
      <c r="J72" s="40"/>
      <c r="K72" s="40"/>
      <c r="L72" s="40"/>
      <c r="M72" s="40"/>
      <c r="N72" s="40"/>
      <c r="O72" s="40"/>
      <c r="P72" s="40"/>
      <c r="Q72" s="40"/>
      <c r="R72" s="40"/>
      <c r="S72" s="40"/>
      <c r="T72" s="40"/>
      <c r="U72" s="40"/>
      <c r="V72" s="40"/>
      <c r="W72" s="40"/>
      <c r="X72" s="40"/>
      <c r="Y72" s="40"/>
      <c r="Z72" s="40"/>
      <c r="AA72" s="40"/>
      <c r="AB72" s="40"/>
      <c r="AC72" s="40"/>
      <c r="AD72" s="40"/>
      <c r="AE72" s="40"/>
      <c r="AF72" s="40"/>
    </row>
    <row r="73" spans="1:32">
      <c r="A73" s="40"/>
      <c r="B73" s="40"/>
      <c r="C73" s="40"/>
      <c r="D73" s="40"/>
      <c r="E73" s="40"/>
      <c r="F73" s="40"/>
      <c r="G73" s="40"/>
      <c r="H73" s="40"/>
      <c r="I73" s="40"/>
      <c r="J73" s="40"/>
      <c r="K73" s="40"/>
      <c r="L73" s="40"/>
      <c r="M73" s="40"/>
      <c r="N73" s="40"/>
      <c r="O73" s="40"/>
      <c r="P73" s="40"/>
      <c r="Q73" s="40"/>
      <c r="R73" s="40"/>
      <c r="S73" s="40"/>
      <c r="T73" s="40"/>
      <c r="U73" s="40"/>
      <c r="V73" s="40"/>
      <c r="W73" s="40"/>
      <c r="X73" s="40"/>
      <c r="Y73" s="40"/>
      <c r="Z73" s="40"/>
      <c r="AA73" s="40"/>
      <c r="AB73" s="40"/>
      <c r="AC73" s="40"/>
      <c r="AD73" s="40"/>
      <c r="AE73" s="40"/>
      <c r="AF73" s="40"/>
    </row>
    <row r="74" spans="1:32">
      <c r="A74" s="40"/>
      <c r="B74" s="40"/>
      <c r="C74" s="40"/>
      <c r="D74" s="40"/>
      <c r="E74" s="40"/>
      <c r="F74" s="40"/>
      <c r="G74" s="40"/>
      <c r="H74" s="40"/>
      <c r="I74" s="40"/>
      <c r="J74" s="40"/>
      <c r="K74" s="40"/>
      <c r="L74" s="40"/>
      <c r="M74" s="40"/>
      <c r="N74" s="40"/>
      <c r="O74" s="40"/>
      <c r="P74" s="40"/>
      <c r="Q74" s="40"/>
      <c r="R74" s="40"/>
      <c r="S74" s="40"/>
      <c r="T74" s="40"/>
      <c r="U74" s="40"/>
      <c r="V74" s="40"/>
      <c r="W74" s="40"/>
      <c r="X74" s="40"/>
      <c r="Y74" s="40"/>
      <c r="Z74" s="40"/>
      <c r="AA74" s="40"/>
      <c r="AB74" s="40"/>
      <c r="AC74" s="40"/>
      <c r="AD74" s="40"/>
      <c r="AE74" s="40"/>
      <c r="AF74" s="40"/>
    </row>
    <row r="75" spans="1:32">
      <c r="A75" s="40"/>
      <c r="B75" s="40"/>
      <c r="C75" s="40"/>
      <c r="D75" s="40"/>
      <c r="E75" s="40"/>
      <c r="F75" s="40"/>
      <c r="G75" s="40"/>
      <c r="H75" s="40"/>
      <c r="I75" s="40"/>
      <c r="J75" s="40"/>
      <c r="K75" s="40"/>
      <c r="L75" s="40"/>
      <c r="M75" s="40"/>
      <c r="N75" s="40"/>
      <c r="O75" s="40"/>
      <c r="P75" s="40"/>
      <c r="Q75" s="40"/>
      <c r="R75" s="40"/>
      <c r="S75" s="40"/>
      <c r="T75" s="40"/>
      <c r="U75" s="40"/>
      <c r="V75" s="40"/>
      <c r="W75" s="40"/>
      <c r="X75" s="40"/>
      <c r="Y75" s="40"/>
      <c r="Z75" s="40"/>
      <c r="AA75" s="40"/>
      <c r="AB75" s="40"/>
      <c r="AC75" s="40"/>
      <c r="AD75" s="40"/>
      <c r="AE75" s="40"/>
      <c r="AF75" s="40"/>
    </row>
    <row r="76" spans="1:32">
      <c r="A76" s="40"/>
      <c r="B76" s="40"/>
      <c r="C76" s="40"/>
      <c r="D76" s="40"/>
      <c r="E76" s="40"/>
      <c r="F76" s="40"/>
      <c r="G76" s="40"/>
      <c r="H76" s="40"/>
      <c r="I76" s="40"/>
      <c r="J76" s="40"/>
      <c r="K76" s="40"/>
      <c r="L76" s="40"/>
      <c r="M76" s="40"/>
      <c r="N76" s="40"/>
      <c r="O76" s="40"/>
      <c r="P76" s="40"/>
      <c r="Q76" s="40"/>
      <c r="R76" s="40"/>
      <c r="S76" s="40"/>
      <c r="T76" s="40"/>
      <c r="U76" s="40"/>
      <c r="V76" s="40"/>
      <c r="W76" s="40"/>
      <c r="X76" s="40"/>
      <c r="Y76" s="40"/>
      <c r="Z76" s="40"/>
      <c r="AA76" s="40"/>
      <c r="AB76" s="40"/>
      <c r="AC76" s="40"/>
      <c r="AD76" s="40"/>
      <c r="AE76" s="40"/>
      <c r="AF76" s="40"/>
    </row>
    <row r="77" spans="1:32">
      <c r="A77" s="40"/>
      <c r="B77" s="40"/>
      <c r="C77" s="40"/>
      <c r="D77" s="40"/>
      <c r="E77" s="40"/>
      <c r="F77" s="40"/>
      <c r="G77" s="40"/>
      <c r="H77" s="40"/>
      <c r="I77" s="40"/>
      <c r="J77" s="40"/>
      <c r="K77" s="40"/>
      <c r="L77" s="40"/>
      <c r="M77" s="40"/>
      <c r="N77" s="40"/>
      <c r="O77" s="40"/>
      <c r="P77" s="40"/>
      <c r="Q77" s="40"/>
      <c r="R77" s="40"/>
      <c r="S77" s="40"/>
      <c r="T77" s="40"/>
      <c r="U77" s="40"/>
      <c r="V77" s="40"/>
      <c r="W77" s="40"/>
      <c r="X77" s="40"/>
      <c r="Y77" s="40"/>
      <c r="Z77" s="40"/>
      <c r="AA77" s="40"/>
      <c r="AB77" s="40"/>
      <c r="AC77" s="40"/>
      <c r="AD77" s="40"/>
      <c r="AE77" s="40"/>
      <c r="AF77" s="40"/>
    </row>
    <row r="78" spans="1:32">
      <c r="A78" s="40"/>
      <c r="B78" s="40"/>
      <c r="C78" s="40"/>
      <c r="D78" s="40"/>
      <c r="E78" s="40"/>
      <c r="F78" s="40"/>
      <c r="G78" s="40"/>
      <c r="H78" s="40"/>
      <c r="I78" s="40"/>
      <c r="J78" s="40"/>
      <c r="K78" s="40"/>
      <c r="L78" s="40"/>
      <c r="M78" s="40"/>
      <c r="N78" s="40"/>
      <c r="O78" s="40"/>
      <c r="P78" s="40"/>
      <c r="Q78" s="40"/>
      <c r="R78" s="40"/>
      <c r="S78" s="40"/>
      <c r="T78" s="40"/>
      <c r="U78" s="40"/>
      <c r="V78" s="40"/>
      <c r="W78" s="40"/>
      <c r="X78" s="40"/>
      <c r="Y78" s="40"/>
      <c r="Z78" s="40"/>
      <c r="AA78" s="40"/>
      <c r="AB78" s="40"/>
      <c r="AC78" s="40"/>
      <c r="AD78" s="40"/>
      <c r="AE78" s="40"/>
      <c r="AF78" s="40"/>
    </row>
    <row r="79" spans="1:32">
      <c r="A79" s="40"/>
      <c r="B79" s="40"/>
      <c r="C79" s="40"/>
      <c r="D79" s="40"/>
      <c r="E79" s="40"/>
      <c r="F79" s="40"/>
      <c r="G79" s="40"/>
      <c r="H79" s="40"/>
      <c r="I79" s="40"/>
      <c r="J79" s="40"/>
      <c r="K79" s="40"/>
      <c r="L79" s="40"/>
      <c r="M79" s="40"/>
      <c r="N79" s="40"/>
      <c r="O79" s="40"/>
      <c r="P79" s="40"/>
      <c r="Q79" s="40"/>
      <c r="R79" s="40"/>
      <c r="S79" s="40"/>
      <c r="T79" s="40"/>
      <c r="U79" s="40"/>
      <c r="V79" s="40"/>
      <c r="W79" s="40"/>
      <c r="X79" s="40"/>
      <c r="Y79" s="40"/>
      <c r="Z79" s="40"/>
      <c r="AA79" s="40"/>
      <c r="AB79" s="40"/>
      <c r="AC79" s="40"/>
      <c r="AD79" s="40"/>
      <c r="AE79" s="40"/>
      <c r="AF79" s="40"/>
    </row>
    <row r="80" spans="1:32">
      <c r="A80" s="40"/>
      <c r="B80" s="40"/>
      <c r="C80" s="40"/>
      <c r="D80" s="40"/>
      <c r="E80" s="40"/>
      <c r="F80" s="40"/>
      <c r="G80" s="40"/>
      <c r="H80" s="40"/>
      <c r="I80" s="40"/>
      <c r="J80" s="40"/>
      <c r="K80" s="40"/>
      <c r="L80" s="40"/>
      <c r="M80" s="40"/>
      <c r="N80" s="40"/>
      <c r="O80" s="40"/>
      <c r="P80" s="40"/>
      <c r="Q80" s="40"/>
      <c r="R80" s="40"/>
      <c r="S80" s="40"/>
      <c r="T80" s="40"/>
      <c r="U80" s="40"/>
      <c r="V80" s="40"/>
      <c r="W80" s="40"/>
      <c r="X80" s="40"/>
      <c r="Y80" s="40"/>
      <c r="Z80" s="40"/>
      <c r="AA80" s="40"/>
      <c r="AB80" s="40"/>
      <c r="AC80" s="40"/>
      <c r="AD80" s="40"/>
      <c r="AE80" s="40"/>
      <c r="AF80" s="40"/>
    </row>
  </sheetData>
  <mergeCells count="6">
    <mergeCell ref="A23:AF23"/>
    <mergeCell ref="A1:AF1"/>
    <mergeCell ref="A2:AF2"/>
    <mergeCell ref="A3:AF3"/>
    <mergeCell ref="A10:AF10"/>
    <mergeCell ref="A18:AF18"/>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F80"/>
  <sheetViews>
    <sheetView showGridLines="0" workbookViewId="0"/>
  </sheetViews>
  <sheetFormatPr defaultRowHeight="14"/>
  <cols>
    <col min="1" max="1" width="10" customWidth="1"/>
    <col min="2" max="2" width="34" customWidth="1"/>
    <col min="3" max="32" width="12" customWidth="1"/>
  </cols>
  <sheetData>
    <row r="1" spans="1:32" ht="15" customHeight="1">
      <c r="A1" s="135" t="s">
        <v>512</v>
      </c>
      <c r="B1" s="135"/>
      <c r="C1" s="136"/>
      <c r="D1" s="136"/>
      <c r="E1" s="136"/>
      <c r="F1" s="136"/>
      <c r="G1" s="136"/>
      <c r="H1" s="136"/>
      <c r="I1" s="136"/>
      <c r="J1" s="136"/>
      <c r="K1" s="136"/>
      <c r="L1" s="136"/>
      <c r="M1" s="136"/>
      <c r="N1" s="136"/>
      <c r="O1" s="136"/>
      <c r="P1" s="136"/>
      <c r="Q1" s="136"/>
      <c r="R1" s="136"/>
      <c r="S1" s="136"/>
      <c r="T1" s="136"/>
      <c r="U1" s="136"/>
      <c r="V1" s="136"/>
      <c r="W1" s="136"/>
      <c r="X1" s="136"/>
      <c r="Y1" s="136"/>
      <c r="Z1" s="136"/>
      <c r="AA1" s="136"/>
      <c r="AB1" s="136"/>
      <c r="AC1" s="136"/>
      <c r="AD1" s="136"/>
      <c r="AE1" s="136"/>
      <c r="AF1" s="136"/>
    </row>
    <row r="2" spans="1:32" ht="15" customHeight="1">
      <c r="A2" s="137" t="s">
        <v>513</v>
      </c>
      <c r="B2" s="137"/>
      <c r="C2" s="137"/>
      <c r="D2" s="137"/>
      <c r="E2" s="137"/>
      <c r="F2" s="137"/>
      <c r="G2" s="137"/>
      <c r="H2" s="137"/>
      <c r="I2" s="137"/>
      <c r="J2" s="137"/>
      <c r="K2" s="137"/>
      <c r="L2" s="137"/>
      <c r="M2" s="137"/>
      <c r="N2" s="137"/>
      <c r="O2" s="137"/>
      <c r="P2" s="137"/>
      <c r="Q2" s="137"/>
      <c r="R2" s="137"/>
      <c r="S2" s="137"/>
      <c r="T2" s="137"/>
      <c r="U2" s="137"/>
      <c r="V2" s="137"/>
      <c r="W2" s="137"/>
      <c r="X2" s="137"/>
      <c r="Y2" s="137"/>
      <c r="Z2" s="137"/>
      <c r="AA2" s="137"/>
      <c r="AB2" s="137"/>
      <c r="AC2" s="137"/>
      <c r="AD2" s="137"/>
      <c r="AE2" s="137"/>
      <c r="AF2" s="137"/>
    </row>
    <row r="3" spans="1:32" ht="15" customHeight="1">
      <c r="A3" s="138" t="s">
        <v>467</v>
      </c>
      <c r="B3" s="138"/>
      <c r="C3" s="139"/>
      <c r="D3" s="139"/>
      <c r="E3" s="139"/>
      <c r="F3" s="139"/>
      <c r="G3" s="139"/>
      <c r="H3" s="139"/>
      <c r="I3" s="139"/>
      <c r="J3" s="139"/>
      <c r="K3" s="139"/>
      <c r="L3" s="139"/>
      <c r="M3" s="139"/>
      <c r="N3" s="139"/>
      <c r="O3" s="139"/>
      <c r="P3" s="139"/>
      <c r="Q3" s="139"/>
      <c r="R3" s="139"/>
      <c r="S3" s="139"/>
      <c r="T3" s="139"/>
      <c r="U3" s="139"/>
      <c r="V3" s="139"/>
      <c r="W3" s="139"/>
      <c r="X3" s="139"/>
      <c r="Y3" s="139"/>
      <c r="Z3" s="139"/>
      <c r="AA3" s="139"/>
      <c r="AB3" s="139"/>
      <c r="AC3" s="139"/>
      <c r="AD3" s="139"/>
      <c r="AE3" s="139"/>
      <c r="AF3" s="139"/>
    </row>
    <row r="4" spans="1:32" ht="15" customHeight="1">
      <c r="A4" s="69"/>
      <c r="B4" s="69"/>
      <c r="C4" s="64"/>
      <c r="D4" s="64"/>
      <c r="E4" s="64"/>
      <c r="F4" s="64"/>
      <c r="G4" s="64"/>
      <c r="H4" s="64"/>
      <c r="I4" s="64"/>
      <c r="J4" s="64"/>
      <c r="K4" s="64"/>
      <c r="L4" s="64"/>
      <c r="M4" s="64"/>
      <c r="N4" s="64"/>
      <c r="O4" s="64"/>
      <c r="P4" s="64"/>
      <c r="Q4" s="64"/>
      <c r="R4" s="64"/>
      <c r="S4" s="64"/>
      <c r="T4" s="64"/>
      <c r="U4" s="64"/>
      <c r="V4" s="64"/>
      <c r="W4" s="64"/>
      <c r="X4" s="64"/>
      <c r="Y4" s="64"/>
      <c r="Z4" s="64"/>
      <c r="AA4" s="64"/>
      <c r="AB4" s="64"/>
      <c r="AC4" s="64"/>
      <c r="AD4" s="64"/>
      <c r="AE4" s="64"/>
      <c r="AF4" s="64"/>
    </row>
    <row r="5" spans="1:32" ht="15" customHeight="1">
      <c r="A5" s="69"/>
      <c r="B5" s="69"/>
      <c r="C5" s="64"/>
      <c r="D5" s="64"/>
      <c r="E5" s="64"/>
      <c r="F5" s="64"/>
      <c r="G5" s="64"/>
      <c r="H5" s="64"/>
      <c r="I5" s="64"/>
      <c r="J5" s="64"/>
      <c r="K5" s="64"/>
      <c r="L5" s="64"/>
      <c r="M5" s="64"/>
      <c r="N5" s="64"/>
      <c r="O5" s="64"/>
      <c r="P5" s="64"/>
      <c r="Q5" s="64"/>
      <c r="R5" s="64"/>
      <c r="S5" s="64"/>
      <c r="T5" s="64"/>
      <c r="U5" s="64"/>
      <c r="V5" s="64"/>
      <c r="W5" s="64"/>
      <c r="X5" s="64"/>
      <c r="Y5" s="64"/>
      <c r="Z5" s="64"/>
      <c r="AA5" s="64"/>
      <c r="AB5" s="64"/>
      <c r="AC5" s="64"/>
      <c r="AD5" s="64"/>
      <c r="AE5" s="64"/>
      <c r="AF5" s="64"/>
    </row>
    <row r="6" spans="1:32" ht="15" customHeight="1">
      <c r="A6" s="70"/>
      <c r="B6" s="70" t="s">
        <v>161</v>
      </c>
      <c r="C6" s="41">
        <f>CAPEX!C6</f>
        <v>2026</v>
      </c>
      <c r="D6" s="41">
        <f>CAPEX!D6</f>
        <v>2027</v>
      </c>
      <c r="E6" s="41">
        <f>CAPEX!E6</f>
        <v>2028</v>
      </c>
      <c r="F6" s="41">
        <f>CAPEX!F6</f>
        <v>2029</v>
      </c>
      <c r="G6" s="41">
        <f>CAPEX!G6</f>
        <v>2030</v>
      </c>
      <c r="H6" s="41">
        <f>CAPEX!H6</f>
        <v>2031</v>
      </c>
      <c r="I6" s="41">
        <f>CAPEX!I6</f>
        <v>2032</v>
      </c>
      <c r="J6" s="41">
        <f>CAPEX!J6</f>
        <v>2033</v>
      </c>
      <c r="K6" s="41">
        <f>CAPEX!K6</f>
        <v>2034</v>
      </c>
      <c r="L6" s="41">
        <f>CAPEX!L6</f>
        <v>2035</v>
      </c>
      <c r="M6" s="41">
        <f>CAPEX!M6</f>
        <v>2036</v>
      </c>
      <c r="N6" s="41">
        <f>CAPEX!N6</f>
        <v>2037</v>
      </c>
      <c r="O6" s="41">
        <f>CAPEX!O6</f>
        <v>2038</v>
      </c>
      <c r="P6" s="41">
        <f>CAPEX!P6</f>
        <v>2039</v>
      </c>
      <c r="Q6" s="41">
        <f>CAPEX!Q6</f>
        <v>2040</v>
      </c>
      <c r="R6" s="41">
        <f>CAPEX!R6</f>
        <v>2041</v>
      </c>
      <c r="S6" s="41">
        <f>CAPEX!S6</f>
        <v>2042</v>
      </c>
      <c r="T6" s="41">
        <f>CAPEX!T6</f>
        <v>2043</v>
      </c>
      <c r="U6" s="41">
        <f>CAPEX!U6</f>
        <v>2044</v>
      </c>
      <c r="V6" s="41">
        <f>CAPEX!V6</f>
        <v>2045</v>
      </c>
      <c r="W6" s="41">
        <f>CAPEX!W6</f>
        <v>2046</v>
      </c>
      <c r="X6" s="41">
        <f>CAPEX!X6</f>
        <v>2047</v>
      </c>
      <c r="Y6" s="41">
        <f>CAPEX!Y6</f>
        <v>2048</v>
      </c>
      <c r="Z6" s="41">
        <f>CAPEX!Z6</f>
        <v>2049</v>
      </c>
      <c r="AA6" s="41">
        <f>CAPEX!AA6</f>
        <v>2050</v>
      </c>
      <c r="AB6" s="41">
        <f>CAPEX!AB6</f>
        <v>2051</v>
      </c>
      <c r="AC6" s="41">
        <f>CAPEX!AC6</f>
        <v>2052</v>
      </c>
      <c r="AD6" s="41">
        <f>CAPEX!AD6</f>
        <v>2053</v>
      </c>
      <c r="AE6" s="41">
        <f>CAPEX!AE6</f>
        <v>2054</v>
      </c>
      <c r="AF6" s="41">
        <f>CAPEX!AF6</f>
        <v>2055</v>
      </c>
    </row>
    <row r="7" spans="1:32" ht="15" customHeight="1">
      <c r="A7" s="69"/>
      <c r="B7" s="69" t="s">
        <v>468</v>
      </c>
      <c r="C7" s="65">
        <f>CAPEX!C7</f>
        <v>0</v>
      </c>
      <c r="D7" s="65">
        <f>CAPEX!D7</f>
        <v>1</v>
      </c>
      <c r="E7" s="65">
        <f>CAPEX!E7</f>
        <v>2</v>
      </c>
      <c r="F7" s="65">
        <f>CAPEX!F7</f>
        <v>3</v>
      </c>
      <c r="G7" s="65">
        <f>CAPEX!G7</f>
        <v>4</v>
      </c>
      <c r="H7" s="65">
        <f>CAPEX!H7</f>
        <v>5</v>
      </c>
      <c r="I7" s="65">
        <f>CAPEX!I7</f>
        <v>6</v>
      </c>
      <c r="J7" s="65">
        <f>CAPEX!J7</f>
        <v>7</v>
      </c>
      <c r="K7" s="65">
        <f>CAPEX!K7</f>
        <v>8</v>
      </c>
      <c r="L7" s="65">
        <f>CAPEX!L7</f>
        <v>9</v>
      </c>
      <c r="M7" s="65">
        <f>CAPEX!M7</f>
        <v>10</v>
      </c>
      <c r="N7" s="65">
        <f>CAPEX!N7</f>
        <v>11</v>
      </c>
      <c r="O7" s="65">
        <f>CAPEX!O7</f>
        <v>12</v>
      </c>
      <c r="P7" s="65">
        <f>CAPEX!P7</f>
        <v>13</v>
      </c>
      <c r="Q7" s="65">
        <f>CAPEX!Q7</f>
        <v>14</v>
      </c>
      <c r="R7" s="65">
        <f>CAPEX!R7</f>
        <v>15</v>
      </c>
      <c r="S7" s="65">
        <f>CAPEX!S7</f>
        <v>16</v>
      </c>
      <c r="T7" s="65">
        <f>CAPEX!T7</f>
        <v>17</v>
      </c>
      <c r="U7" s="65">
        <f>CAPEX!U7</f>
        <v>18</v>
      </c>
      <c r="V7" s="65">
        <f>CAPEX!V7</f>
        <v>19</v>
      </c>
      <c r="W7" s="65">
        <f>CAPEX!W7</f>
        <v>20</v>
      </c>
      <c r="X7" s="65">
        <f>CAPEX!X7</f>
        <v>21</v>
      </c>
      <c r="Y7" s="65">
        <f>CAPEX!Y7</f>
        <v>22</v>
      </c>
      <c r="Z7" s="65">
        <f>CAPEX!Z7</f>
        <v>23</v>
      </c>
      <c r="AA7" s="65">
        <f>CAPEX!AA7</f>
        <v>24</v>
      </c>
      <c r="AB7" s="65">
        <f>CAPEX!AB7</f>
        <v>25</v>
      </c>
      <c r="AC7" s="65">
        <f>CAPEX!AC7</f>
        <v>26</v>
      </c>
      <c r="AD7" s="65">
        <f>CAPEX!AD7</f>
        <v>27</v>
      </c>
      <c r="AE7" s="65">
        <f>CAPEX!AE7</f>
        <v>28</v>
      </c>
      <c r="AF7" s="65">
        <f>CAPEX!AF7</f>
        <v>29</v>
      </c>
    </row>
    <row r="8" spans="1:32" ht="15" customHeight="1">
      <c r="A8" s="69"/>
      <c r="B8" s="69" t="s">
        <v>470</v>
      </c>
      <c r="C8" s="65">
        <f>CAPEX!C9</f>
        <v>0</v>
      </c>
      <c r="D8" s="65">
        <f>CAPEX!D9</f>
        <v>0</v>
      </c>
      <c r="E8" s="65">
        <f>CAPEX!E9</f>
        <v>1</v>
      </c>
      <c r="F8" s="65">
        <f>CAPEX!F9</f>
        <v>2</v>
      </c>
      <c r="G8" s="65">
        <f>CAPEX!G9</f>
        <v>3</v>
      </c>
      <c r="H8" s="65">
        <f>CAPEX!H9</f>
        <v>4</v>
      </c>
      <c r="I8" s="65">
        <f>CAPEX!I9</f>
        <v>5</v>
      </c>
      <c r="J8" s="65">
        <f>CAPEX!J9</f>
        <v>6</v>
      </c>
      <c r="K8" s="65">
        <f>CAPEX!K9</f>
        <v>7</v>
      </c>
      <c r="L8" s="65">
        <f>CAPEX!L9</f>
        <v>8</v>
      </c>
      <c r="M8" s="65">
        <f>CAPEX!M9</f>
        <v>9</v>
      </c>
      <c r="N8" s="65">
        <f>CAPEX!N9</f>
        <v>10</v>
      </c>
      <c r="O8" s="65">
        <f>CAPEX!O9</f>
        <v>11</v>
      </c>
      <c r="P8" s="65">
        <f>CAPEX!P9</f>
        <v>12</v>
      </c>
      <c r="Q8" s="65">
        <f>CAPEX!Q9</f>
        <v>13</v>
      </c>
      <c r="R8" s="65">
        <f>CAPEX!R9</f>
        <v>14</v>
      </c>
      <c r="S8" s="65">
        <f>CAPEX!S9</f>
        <v>15</v>
      </c>
      <c r="T8" s="65">
        <f>CAPEX!T9</f>
        <v>16</v>
      </c>
      <c r="U8" s="65">
        <f>CAPEX!U9</f>
        <v>17</v>
      </c>
      <c r="V8" s="65">
        <f>CAPEX!V9</f>
        <v>18</v>
      </c>
      <c r="W8" s="65">
        <f>CAPEX!W9</f>
        <v>19</v>
      </c>
      <c r="X8" s="65">
        <f>CAPEX!X9</f>
        <v>20</v>
      </c>
      <c r="Y8" s="65">
        <f>CAPEX!Y9</f>
        <v>0</v>
      </c>
      <c r="Z8" s="65">
        <f>CAPEX!Z9</f>
        <v>0</v>
      </c>
      <c r="AA8" s="65">
        <f>CAPEX!AA9</f>
        <v>0</v>
      </c>
      <c r="AB8" s="65">
        <f>CAPEX!AB9</f>
        <v>0</v>
      </c>
      <c r="AC8" s="65">
        <f>CAPEX!AC9</f>
        <v>0</v>
      </c>
      <c r="AD8" s="65">
        <f>CAPEX!AD9</f>
        <v>0</v>
      </c>
      <c r="AE8" s="65">
        <f>CAPEX!AE9</f>
        <v>0</v>
      </c>
      <c r="AF8" s="65">
        <f>CAPEX!AF9</f>
        <v>0</v>
      </c>
    </row>
    <row r="9" spans="1:32" ht="15" customHeight="1">
      <c r="A9" s="69"/>
      <c r="B9" s="69"/>
      <c r="C9" s="64"/>
      <c r="D9" s="64"/>
      <c r="E9" s="64"/>
      <c r="F9" s="64"/>
      <c r="G9" s="64"/>
      <c r="H9" s="64"/>
      <c r="I9" s="64"/>
      <c r="J9" s="64"/>
      <c r="K9" s="64"/>
      <c r="L9" s="64"/>
      <c r="M9" s="64"/>
      <c r="N9" s="64"/>
      <c r="O9" s="64"/>
      <c r="P9" s="64"/>
      <c r="Q9" s="64"/>
      <c r="R9" s="64"/>
      <c r="S9" s="64"/>
      <c r="T9" s="64"/>
      <c r="U9" s="64"/>
      <c r="V9" s="64"/>
      <c r="W9" s="64"/>
      <c r="X9" s="64"/>
      <c r="Y9" s="64"/>
      <c r="Z9" s="64"/>
      <c r="AA9" s="64"/>
      <c r="AB9" s="64"/>
      <c r="AC9" s="64"/>
      <c r="AD9" s="64"/>
      <c r="AE9" s="64"/>
      <c r="AF9" s="64"/>
    </row>
    <row r="10" spans="1:32" ht="15" customHeight="1">
      <c r="A10" s="140" t="s">
        <v>514</v>
      </c>
      <c r="B10" s="140"/>
      <c r="C10" s="141"/>
      <c r="D10" s="141"/>
      <c r="E10" s="141"/>
      <c r="F10" s="141"/>
      <c r="G10" s="141"/>
      <c r="H10" s="141"/>
      <c r="I10" s="141"/>
      <c r="J10" s="141"/>
      <c r="K10" s="141"/>
      <c r="L10" s="141"/>
      <c r="M10" s="141"/>
      <c r="N10" s="141"/>
      <c r="O10" s="141"/>
      <c r="P10" s="141"/>
      <c r="Q10" s="141"/>
      <c r="R10" s="141"/>
      <c r="S10" s="141"/>
      <c r="T10" s="141"/>
      <c r="U10" s="141"/>
      <c r="V10" s="141"/>
      <c r="W10" s="141"/>
      <c r="X10" s="141"/>
      <c r="Y10" s="141"/>
      <c r="Z10" s="141"/>
      <c r="AA10" s="141"/>
      <c r="AB10" s="141"/>
      <c r="AC10" s="141"/>
      <c r="AD10" s="141"/>
      <c r="AE10" s="141"/>
      <c r="AF10" s="141"/>
    </row>
    <row r="11" spans="1:32" ht="15" customHeight="1">
      <c r="A11" s="71" t="s">
        <v>515</v>
      </c>
      <c r="B11" s="71" t="s">
        <v>516</v>
      </c>
      <c r="C11" s="44">
        <f>0</f>
        <v>0</v>
      </c>
      <c r="D11" s="44">
        <f t="shared" ref="D11:AF11" si="0">C18</f>
        <v>1712.1999999999998</v>
      </c>
      <c r="E11" s="44">
        <f t="shared" si="0"/>
        <v>4280.5</v>
      </c>
      <c r="F11" s="44">
        <f t="shared" si="0"/>
        <v>4280.5</v>
      </c>
      <c r="G11" s="44">
        <f t="shared" si="0"/>
        <v>3995.1333333333332</v>
      </c>
      <c r="H11" s="44">
        <f t="shared" si="0"/>
        <v>3709.7666666666664</v>
      </c>
      <c r="I11" s="44">
        <f t="shared" si="0"/>
        <v>3424.3999999999996</v>
      </c>
      <c r="J11" s="44">
        <f t="shared" si="0"/>
        <v>3139.0333333333328</v>
      </c>
      <c r="K11" s="44">
        <f t="shared" si="0"/>
        <v>2853.6666666666661</v>
      </c>
      <c r="L11" s="44">
        <f t="shared" si="0"/>
        <v>2568.2999999999993</v>
      </c>
      <c r="M11" s="44">
        <f t="shared" si="0"/>
        <v>2282.9333333333325</v>
      </c>
      <c r="N11" s="44">
        <f t="shared" si="0"/>
        <v>1997.5666666666657</v>
      </c>
      <c r="O11" s="44">
        <f t="shared" si="0"/>
        <v>1712.1999999999989</v>
      </c>
      <c r="P11" s="44">
        <f t="shared" si="0"/>
        <v>1426.8333333333321</v>
      </c>
      <c r="Q11" s="44">
        <f t="shared" si="0"/>
        <v>1141.4666666666653</v>
      </c>
      <c r="R11" s="44">
        <f t="shared" si="0"/>
        <v>856.09999999999866</v>
      </c>
      <c r="S11" s="44">
        <f t="shared" si="0"/>
        <v>570.73333333333198</v>
      </c>
      <c r="T11" s="44">
        <f t="shared" si="0"/>
        <v>285.36666666666531</v>
      </c>
      <c r="U11" s="44">
        <f t="shared" si="0"/>
        <v>0</v>
      </c>
      <c r="V11" s="44">
        <f t="shared" si="0"/>
        <v>0</v>
      </c>
      <c r="W11" s="44">
        <f t="shared" si="0"/>
        <v>0</v>
      </c>
      <c r="X11" s="44">
        <f t="shared" si="0"/>
        <v>0</v>
      </c>
      <c r="Y11" s="44">
        <f t="shared" si="0"/>
        <v>0</v>
      </c>
      <c r="Z11" s="44">
        <f t="shared" si="0"/>
        <v>0</v>
      </c>
      <c r="AA11" s="44">
        <f t="shared" si="0"/>
        <v>0</v>
      </c>
      <c r="AB11" s="44">
        <f t="shared" si="0"/>
        <v>0</v>
      </c>
      <c r="AC11" s="44">
        <f t="shared" si="0"/>
        <v>0</v>
      </c>
      <c r="AD11" s="44">
        <f t="shared" si="0"/>
        <v>0</v>
      </c>
      <c r="AE11" s="44">
        <f t="shared" si="0"/>
        <v>0</v>
      </c>
      <c r="AF11" s="44">
        <f t="shared" si="0"/>
        <v>0</v>
      </c>
    </row>
    <row r="12" spans="1:32" ht="15" customHeight="1">
      <c r="A12" s="71" t="s">
        <v>517</v>
      </c>
      <c r="B12" s="71" t="s">
        <v>479</v>
      </c>
      <c r="C12" s="44">
        <f>CAPEX!C20</f>
        <v>1712.1999999999998</v>
      </c>
      <c r="D12" s="44">
        <f>CAPEX!D20</f>
        <v>2568.2999999999997</v>
      </c>
      <c r="E12" s="44">
        <f>CAPEX!E20</f>
        <v>0</v>
      </c>
      <c r="F12" s="44">
        <f>CAPEX!F20</f>
        <v>0</v>
      </c>
      <c r="G12" s="44">
        <f>CAPEX!G20</f>
        <v>0</v>
      </c>
      <c r="H12" s="44">
        <f>CAPEX!H20</f>
        <v>0</v>
      </c>
      <c r="I12" s="44">
        <f>CAPEX!I20</f>
        <v>0</v>
      </c>
      <c r="J12" s="44">
        <f>CAPEX!J20</f>
        <v>0</v>
      </c>
      <c r="K12" s="44">
        <f>CAPEX!K20</f>
        <v>0</v>
      </c>
      <c r="L12" s="44">
        <f>CAPEX!L20</f>
        <v>0</v>
      </c>
      <c r="M12" s="44">
        <f>CAPEX!M20</f>
        <v>0</v>
      </c>
      <c r="N12" s="44">
        <f>CAPEX!N20</f>
        <v>0</v>
      </c>
      <c r="O12" s="44">
        <f>CAPEX!O20</f>
        <v>0</v>
      </c>
      <c r="P12" s="44">
        <f>CAPEX!P20</f>
        <v>0</v>
      </c>
      <c r="Q12" s="44">
        <f>CAPEX!Q20</f>
        <v>0</v>
      </c>
      <c r="R12" s="44">
        <f>CAPEX!R20</f>
        <v>0</v>
      </c>
      <c r="S12" s="44">
        <f>CAPEX!S20</f>
        <v>0</v>
      </c>
      <c r="T12" s="44">
        <f>CAPEX!T20</f>
        <v>0</v>
      </c>
      <c r="U12" s="44">
        <f>CAPEX!U20</f>
        <v>0</v>
      </c>
      <c r="V12" s="44">
        <f>CAPEX!V20</f>
        <v>0</v>
      </c>
      <c r="W12" s="44">
        <f>CAPEX!W20</f>
        <v>0</v>
      </c>
      <c r="X12" s="44">
        <f>CAPEX!X20</f>
        <v>0</v>
      </c>
      <c r="Y12" s="44">
        <f>CAPEX!Y20</f>
        <v>0</v>
      </c>
      <c r="Z12" s="44">
        <f>CAPEX!Z20</f>
        <v>0</v>
      </c>
      <c r="AA12" s="44">
        <f>CAPEX!AA20</f>
        <v>0</v>
      </c>
      <c r="AB12" s="44">
        <f>CAPEX!AB20</f>
        <v>0</v>
      </c>
      <c r="AC12" s="44">
        <f>CAPEX!AC20</f>
        <v>0</v>
      </c>
      <c r="AD12" s="44">
        <f>CAPEX!AD20</f>
        <v>0</v>
      </c>
      <c r="AE12" s="44">
        <f>CAPEX!AE20</f>
        <v>0</v>
      </c>
      <c r="AF12" s="44">
        <f>CAPEX!AF20</f>
        <v>0</v>
      </c>
    </row>
    <row r="13" spans="1:32" ht="15" customHeight="1">
      <c r="A13" s="71" t="s">
        <v>518</v>
      </c>
      <c r="B13" s="71" t="s">
        <v>519</v>
      </c>
      <c r="C13" s="47" t="str">
        <f>IF(AND(C$6-Input!$D$14-Input!$D$62+1&gt;=1,C$6-Input!$D$14-Input!$D$62+1&lt;=Input!$D$61),C$6-Input!$D$14-Input!$D$62+1,"")</f>
        <v/>
      </c>
      <c r="D13" s="47" t="str">
        <f>IF(AND(D$6-Input!$D$14-Input!$D$62+1&gt;=1,D$6-Input!$D$14-Input!$D$62+1&lt;=Input!$D$61),D$6-Input!$D$14-Input!$D$62+1,"")</f>
        <v/>
      </c>
      <c r="E13" s="47" t="str">
        <f>IF(AND(E$6-Input!$D$14-Input!$D$62+1&gt;=1,E$6-Input!$D$14-Input!$D$62+1&lt;=Input!$D$61),E$6-Input!$D$14-Input!$D$62+1,"")</f>
        <v/>
      </c>
      <c r="F13" s="47">
        <f>IF(AND(F$6-Input!$D$14-Input!$D$62+1&gt;=1,F$6-Input!$D$14-Input!$D$62+1&lt;=Input!$D$61),F$6-Input!$D$14-Input!$D$62+1,"")</f>
        <v>1</v>
      </c>
      <c r="G13" s="47">
        <f>IF(AND(G$6-Input!$D$14-Input!$D$62+1&gt;=1,G$6-Input!$D$14-Input!$D$62+1&lt;=Input!$D$61),G$6-Input!$D$14-Input!$D$62+1,"")</f>
        <v>2</v>
      </c>
      <c r="H13" s="47">
        <f>IF(AND(H$6-Input!$D$14-Input!$D$62+1&gt;=1,H$6-Input!$D$14-Input!$D$62+1&lt;=Input!$D$61),H$6-Input!$D$14-Input!$D$62+1,"")</f>
        <v>3</v>
      </c>
      <c r="I13" s="47">
        <f>IF(AND(I$6-Input!$D$14-Input!$D$62+1&gt;=1,I$6-Input!$D$14-Input!$D$62+1&lt;=Input!$D$61),I$6-Input!$D$14-Input!$D$62+1,"")</f>
        <v>4</v>
      </c>
      <c r="J13" s="47">
        <f>IF(AND(J$6-Input!$D$14-Input!$D$62+1&gt;=1,J$6-Input!$D$14-Input!$D$62+1&lt;=Input!$D$61),J$6-Input!$D$14-Input!$D$62+1,"")</f>
        <v>5</v>
      </c>
      <c r="K13" s="47">
        <f>IF(AND(K$6-Input!$D$14-Input!$D$62+1&gt;=1,K$6-Input!$D$14-Input!$D$62+1&lt;=Input!$D$61),K$6-Input!$D$14-Input!$D$62+1,"")</f>
        <v>6</v>
      </c>
      <c r="L13" s="47">
        <f>IF(AND(L$6-Input!$D$14-Input!$D$62+1&gt;=1,L$6-Input!$D$14-Input!$D$62+1&lt;=Input!$D$61),L$6-Input!$D$14-Input!$D$62+1,"")</f>
        <v>7</v>
      </c>
      <c r="M13" s="47">
        <f>IF(AND(M$6-Input!$D$14-Input!$D$62+1&gt;=1,M$6-Input!$D$14-Input!$D$62+1&lt;=Input!$D$61),M$6-Input!$D$14-Input!$D$62+1,"")</f>
        <v>8</v>
      </c>
      <c r="N13" s="47">
        <f>IF(AND(N$6-Input!$D$14-Input!$D$62+1&gt;=1,N$6-Input!$D$14-Input!$D$62+1&lt;=Input!$D$61),N$6-Input!$D$14-Input!$D$62+1,"")</f>
        <v>9</v>
      </c>
      <c r="O13" s="47">
        <f>IF(AND(O$6-Input!$D$14-Input!$D$62+1&gt;=1,O$6-Input!$D$14-Input!$D$62+1&lt;=Input!$D$61),O$6-Input!$D$14-Input!$D$62+1,"")</f>
        <v>10</v>
      </c>
      <c r="P13" s="47">
        <f>IF(AND(P$6-Input!$D$14-Input!$D$62+1&gt;=1,P$6-Input!$D$14-Input!$D$62+1&lt;=Input!$D$61),P$6-Input!$D$14-Input!$D$62+1,"")</f>
        <v>11</v>
      </c>
      <c r="Q13" s="47">
        <f>IF(AND(Q$6-Input!$D$14-Input!$D$62+1&gt;=1,Q$6-Input!$D$14-Input!$D$62+1&lt;=Input!$D$61),Q$6-Input!$D$14-Input!$D$62+1,"")</f>
        <v>12</v>
      </c>
      <c r="R13" s="47">
        <f>IF(AND(R$6-Input!$D$14-Input!$D$62+1&gt;=1,R$6-Input!$D$14-Input!$D$62+1&lt;=Input!$D$61),R$6-Input!$D$14-Input!$D$62+1,"")</f>
        <v>13</v>
      </c>
      <c r="S13" s="47">
        <f>IF(AND(S$6-Input!$D$14-Input!$D$62+1&gt;=1,S$6-Input!$D$14-Input!$D$62+1&lt;=Input!$D$61),S$6-Input!$D$14-Input!$D$62+1,"")</f>
        <v>14</v>
      </c>
      <c r="T13" s="47">
        <f>IF(AND(T$6-Input!$D$14-Input!$D$62+1&gt;=1,T$6-Input!$D$14-Input!$D$62+1&lt;=Input!$D$61),T$6-Input!$D$14-Input!$D$62+1,"")</f>
        <v>15</v>
      </c>
      <c r="U13" s="47" t="str">
        <f>IF(AND(U$6-Input!$D$14-Input!$D$62+1&gt;=1,U$6-Input!$D$14-Input!$D$62+1&lt;=Input!$D$61),U$6-Input!$D$14-Input!$D$62+1,"")</f>
        <v/>
      </c>
      <c r="V13" s="47" t="str">
        <f>IF(AND(V$6-Input!$D$14-Input!$D$62+1&gt;=1,V$6-Input!$D$14-Input!$D$62+1&lt;=Input!$D$61),V$6-Input!$D$14-Input!$D$62+1,"")</f>
        <v/>
      </c>
      <c r="W13" s="47" t="str">
        <f>IF(AND(W$6-Input!$D$14-Input!$D$62+1&gt;=1,W$6-Input!$D$14-Input!$D$62+1&lt;=Input!$D$61),W$6-Input!$D$14-Input!$D$62+1,"")</f>
        <v/>
      </c>
      <c r="X13" s="47" t="str">
        <f>IF(AND(X$6-Input!$D$14-Input!$D$62+1&gt;=1,X$6-Input!$D$14-Input!$D$62+1&lt;=Input!$D$61),X$6-Input!$D$14-Input!$D$62+1,"")</f>
        <v/>
      </c>
      <c r="Y13" s="47" t="str">
        <f>IF(AND(Y$6-Input!$D$14-Input!$D$62+1&gt;=1,Y$6-Input!$D$14-Input!$D$62+1&lt;=Input!$D$61),Y$6-Input!$D$14-Input!$D$62+1,"")</f>
        <v/>
      </c>
      <c r="Z13" s="47" t="str">
        <f>IF(AND(Z$6-Input!$D$14-Input!$D$62+1&gt;=1,Z$6-Input!$D$14-Input!$D$62+1&lt;=Input!$D$61),Z$6-Input!$D$14-Input!$D$62+1,"")</f>
        <v/>
      </c>
      <c r="AA13" s="47" t="str">
        <f>IF(AND(AA$6-Input!$D$14-Input!$D$62+1&gt;=1,AA$6-Input!$D$14-Input!$D$62+1&lt;=Input!$D$61),AA$6-Input!$D$14-Input!$D$62+1,"")</f>
        <v/>
      </c>
      <c r="AB13" s="47" t="str">
        <f>IF(AND(AB$6-Input!$D$14-Input!$D$62+1&gt;=1,AB$6-Input!$D$14-Input!$D$62+1&lt;=Input!$D$61),AB$6-Input!$D$14-Input!$D$62+1,"")</f>
        <v/>
      </c>
      <c r="AC13" s="47" t="str">
        <f>IF(AND(AC$6-Input!$D$14-Input!$D$62+1&gt;=1,AC$6-Input!$D$14-Input!$D$62+1&lt;=Input!$D$61),AC$6-Input!$D$14-Input!$D$62+1,"")</f>
        <v/>
      </c>
      <c r="AD13" s="47" t="str">
        <f>IF(AND(AD$6-Input!$D$14-Input!$D$62+1&gt;=1,AD$6-Input!$D$14-Input!$D$62+1&lt;=Input!$D$61),AD$6-Input!$D$14-Input!$D$62+1,"")</f>
        <v/>
      </c>
      <c r="AE13" s="47" t="str">
        <f>IF(AND(AE$6-Input!$D$14-Input!$D$62+1&gt;=1,AE$6-Input!$D$14-Input!$D$62+1&lt;=Input!$D$61),AE$6-Input!$D$14-Input!$D$62+1,"")</f>
        <v/>
      </c>
      <c r="AF13" s="47" t="str">
        <f>IF(AND(AF$6-Input!$D$14-Input!$D$62+1&gt;=1,AF$6-Input!$D$14-Input!$D$62+1&lt;=Input!$D$61),AF$6-Input!$D$14-Input!$D$62+1,"")</f>
        <v/>
      </c>
    </row>
    <row r="14" spans="1:32" ht="15" customHeight="1">
      <c r="A14" s="71" t="s">
        <v>520</v>
      </c>
      <c r="B14" s="71" t="s">
        <v>521</v>
      </c>
      <c r="C14" s="44">
        <f>IF(AND(Input!$D$63="Niên kim",C13&gt;=1,C13&lt;=Input!$D$61),Input!$D$66*Input!$D$60/(1-(1+Input!$D$60)^(-Input!$D$61)),0)</f>
        <v>0</v>
      </c>
      <c r="D14" s="44">
        <f>IF(AND(Input!$D$63="Niên kim",D13&gt;=1,D13&lt;=Input!$D$61),Input!$D$66*Input!$D$60/(1-(1+Input!$D$60)^(-Input!$D$61)),0)</f>
        <v>0</v>
      </c>
      <c r="E14" s="44">
        <f>IF(AND(Input!$D$63="Niên kim",E13&gt;=1,E13&lt;=Input!$D$61),Input!$D$66*Input!$D$60/(1-(1+Input!$D$60)^(-Input!$D$61)),0)</f>
        <v>0</v>
      </c>
      <c r="F14" s="44">
        <f>IF(AND(Input!$D$63="Niên kim",F13&gt;=1,F13&lt;=Input!$D$61),Input!$D$66*Input!$D$60/(1-(1+Input!$D$60)^(-Input!$D$61)),0)</f>
        <v>0</v>
      </c>
      <c r="G14" s="44">
        <f>IF(AND(Input!$D$63="Niên kim",G13&gt;=1,G13&lt;=Input!$D$61),Input!$D$66*Input!$D$60/(1-(1+Input!$D$60)^(-Input!$D$61)),0)</f>
        <v>0</v>
      </c>
      <c r="H14" s="44">
        <f>IF(AND(Input!$D$63="Niên kim",H13&gt;=1,H13&lt;=Input!$D$61),Input!$D$66*Input!$D$60/(1-(1+Input!$D$60)^(-Input!$D$61)),0)</f>
        <v>0</v>
      </c>
      <c r="I14" s="44">
        <f>IF(AND(Input!$D$63="Niên kim",I13&gt;=1,I13&lt;=Input!$D$61),Input!$D$66*Input!$D$60/(1-(1+Input!$D$60)^(-Input!$D$61)),0)</f>
        <v>0</v>
      </c>
      <c r="J14" s="44">
        <f>IF(AND(Input!$D$63="Niên kim",J13&gt;=1,J13&lt;=Input!$D$61),Input!$D$66*Input!$D$60/(1-(1+Input!$D$60)^(-Input!$D$61)),0)</f>
        <v>0</v>
      </c>
      <c r="K14" s="44">
        <f>IF(AND(Input!$D$63="Niên kim",K13&gt;=1,K13&lt;=Input!$D$61),Input!$D$66*Input!$D$60/(1-(1+Input!$D$60)^(-Input!$D$61)),0)</f>
        <v>0</v>
      </c>
      <c r="L14" s="44">
        <f>IF(AND(Input!$D$63="Niên kim",L13&gt;=1,L13&lt;=Input!$D$61),Input!$D$66*Input!$D$60/(1-(1+Input!$D$60)^(-Input!$D$61)),0)</f>
        <v>0</v>
      </c>
      <c r="M14" s="44">
        <f>IF(AND(Input!$D$63="Niên kim",M13&gt;=1,M13&lt;=Input!$D$61),Input!$D$66*Input!$D$60/(1-(1+Input!$D$60)^(-Input!$D$61)),0)</f>
        <v>0</v>
      </c>
      <c r="N14" s="44">
        <f>IF(AND(Input!$D$63="Niên kim",N13&gt;=1,N13&lt;=Input!$D$61),Input!$D$66*Input!$D$60/(1-(1+Input!$D$60)^(-Input!$D$61)),0)</f>
        <v>0</v>
      </c>
      <c r="O14" s="44">
        <f>IF(AND(Input!$D$63="Niên kim",O13&gt;=1,O13&lt;=Input!$D$61),Input!$D$66*Input!$D$60/(1-(1+Input!$D$60)^(-Input!$D$61)),0)</f>
        <v>0</v>
      </c>
      <c r="P14" s="44">
        <f>IF(AND(Input!$D$63="Niên kim",P13&gt;=1,P13&lt;=Input!$D$61),Input!$D$66*Input!$D$60/(1-(1+Input!$D$60)^(-Input!$D$61)),0)</f>
        <v>0</v>
      </c>
      <c r="Q14" s="44">
        <f>IF(AND(Input!$D$63="Niên kim",Q13&gt;=1,Q13&lt;=Input!$D$61),Input!$D$66*Input!$D$60/(1-(1+Input!$D$60)^(-Input!$D$61)),0)</f>
        <v>0</v>
      </c>
      <c r="R14" s="44">
        <f>IF(AND(Input!$D$63="Niên kim",R13&gt;=1,R13&lt;=Input!$D$61),Input!$D$66*Input!$D$60/(1-(1+Input!$D$60)^(-Input!$D$61)),0)</f>
        <v>0</v>
      </c>
      <c r="S14" s="44">
        <f>IF(AND(Input!$D$63="Niên kim",S13&gt;=1,S13&lt;=Input!$D$61),Input!$D$66*Input!$D$60/(1-(1+Input!$D$60)^(-Input!$D$61)),0)</f>
        <v>0</v>
      </c>
      <c r="T14" s="44">
        <f>IF(AND(Input!$D$63="Niên kim",T13&gt;=1,T13&lt;=Input!$D$61),Input!$D$66*Input!$D$60/(1-(1+Input!$D$60)^(-Input!$D$61)),0)</f>
        <v>0</v>
      </c>
      <c r="U14" s="44">
        <f>IF(AND(Input!$D$63="Niên kim",U13&gt;=1,U13&lt;=Input!$D$61),Input!$D$66*Input!$D$60/(1-(1+Input!$D$60)^(-Input!$D$61)),0)</f>
        <v>0</v>
      </c>
      <c r="V14" s="44">
        <f>IF(AND(Input!$D$63="Niên kim",V13&gt;=1,V13&lt;=Input!$D$61),Input!$D$66*Input!$D$60/(1-(1+Input!$D$60)^(-Input!$D$61)),0)</f>
        <v>0</v>
      </c>
      <c r="W14" s="44">
        <f>IF(AND(Input!$D$63="Niên kim",W13&gt;=1,W13&lt;=Input!$D$61),Input!$D$66*Input!$D$60/(1-(1+Input!$D$60)^(-Input!$D$61)),0)</f>
        <v>0</v>
      </c>
      <c r="X14" s="44">
        <f>IF(AND(Input!$D$63="Niên kim",X13&gt;=1,X13&lt;=Input!$D$61),Input!$D$66*Input!$D$60/(1-(1+Input!$D$60)^(-Input!$D$61)),0)</f>
        <v>0</v>
      </c>
      <c r="Y14" s="44">
        <f>IF(AND(Input!$D$63="Niên kim",Y13&gt;=1,Y13&lt;=Input!$D$61),Input!$D$66*Input!$D$60/(1-(1+Input!$D$60)^(-Input!$D$61)),0)</f>
        <v>0</v>
      </c>
      <c r="Z14" s="44">
        <f>IF(AND(Input!$D$63="Niên kim",Z13&gt;=1,Z13&lt;=Input!$D$61),Input!$D$66*Input!$D$60/(1-(1+Input!$D$60)^(-Input!$D$61)),0)</f>
        <v>0</v>
      </c>
      <c r="AA14" s="44">
        <f>IF(AND(Input!$D$63="Niên kim",AA13&gt;=1,AA13&lt;=Input!$D$61),Input!$D$66*Input!$D$60/(1-(1+Input!$D$60)^(-Input!$D$61)),0)</f>
        <v>0</v>
      </c>
      <c r="AB14" s="44">
        <f>IF(AND(Input!$D$63="Niên kim",AB13&gt;=1,AB13&lt;=Input!$D$61),Input!$D$66*Input!$D$60/(1-(1+Input!$D$60)^(-Input!$D$61)),0)</f>
        <v>0</v>
      </c>
      <c r="AC14" s="44">
        <f>IF(AND(Input!$D$63="Niên kim",AC13&gt;=1,AC13&lt;=Input!$D$61),Input!$D$66*Input!$D$60/(1-(1+Input!$D$60)^(-Input!$D$61)),0)</f>
        <v>0</v>
      </c>
      <c r="AD14" s="44">
        <f>IF(AND(Input!$D$63="Niên kim",AD13&gt;=1,AD13&lt;=Input!$D$61),Input!$D$66*Input!$D$60/(1-(1+Input!$D$60)^(-Input!$D$61)),0)</f>
        <v>0</v>
      </c>
      <c r="AE14" s="44">
        <f>IF(AND(Input!$D$63="Niên kim",AE13&gt;=1,AE13&lt;=Input!$D$61),Input!$D$66*Input!$D$60/(1-(1+Input!$D$60)^(-Input!$D$61)),0)</f>
        <v>0</v>
      </c>
      <c r="AF14" s="44">
        <f>IF(AND(Input!$D$63="Niên kim",AF13&gt;=1,AF13&lt;=Input!$D$61),Input!$D$66*Input!$D$60/(1-(1+Input!$D$60)^(-Input!$D$61)),0)</f>
        <v>0</v>
      </c>
    </row>
    <row r="15" spans="1:32" ht="15" customHeight="1">
      <c r="A15" s="71" t="s">
        <v>522</v>
      </c>
      <c r="B15" s="72" t="s">
        <v>523</v>
      </c>
      <c r="C15" s="43">
        <f>IF(AND(C13&gt;=1,C13&lt;=Input!$D$61),MIN(C11+C12,IF(Input!$D$63="Gốc đều",Input!$D$66/Input!$D$61,MAX(0,C14-C16))),0)</f>
        <v>0</v>
      </c>
      <c r="D15" s="43">
        <f>IF(AND(D13&gt;=1,D13&lt;=Input!$D$61),MIN(D11+D12,IF(Input!$D$63="Gốc đều",Input!$D$66/Input!$D$61,MAX(0,D14-D16))),0)</f>
        <v>0</v>
      </c>
      <c r="E15" s="43">
        <f>IF(AND(E13&gt;=1,E13&lt;=Input!$D$61),MIN(E11+E12,IF(Input!$D$63="Gốc đều",Input!$D$66/Input!$D$61,MAX(0,E14-E16))),0)</f>
        <v>0</v>
      </c>
      <c r="F15" s="43">
        <f>IF(AND(F13&gt;=1,F13&lt;=Input!$D$61),MIN(F11+F12,IF(Input!$D$63="Gốc đều",Input!$D$66/Input!$D$61,MAX(0,F14-F16))),0)</f>
        <v>285.36666666666667</v>
      </c>
      <c r="G15" s="43">
        <f>IF(AND(G13&gt;=1,G13&lt;=Input!$D$61),MIN(G11+G12,IF(Input!$D$63="Gốc đều",Input!$D$66/Input!$D$61,MAX(0,G14-G16))),0)</f>
        <v>285.36666666666667</v>
      </c>
      <c r="H15" s="43">
        <f>IF(AND(H13&gt;=1,H13&lt;=Input!$D$61),MIN(H11+H12,IF(Input!$D$63="Gốc đều",Input!$D$66/Input!$D$61,MAX(0,H14-H16))),0)</f>
        <v>285.36666666666667</v>
      </c>
      <c r="I15" s="43">
        <f>IF(AND(I13&gt;=1,I13&lt;=Input!$D$61),MIN(I11+I12,IF(Input!$D$63="Gốc đều",Input!$D$66/Input!$D$61,MAX(0,I14-I16))),0)</f>
        <v>285.36666666666667</v>
      </c>
      <c r="J15" s="43">
        <f>IF(AND(J13&gt;=1,J13&lt;=Input!$D$61),MIN(J11+J12,IF(Input!$D$63="Gốc đều",Input!$D$66/Input!$D$61,MAX(0,J14-J16))),0)</f>
        <v>285.36666666666667</v>
      </c>
      <c r="K15" s="43">
        <f>IF(AND(K13&gt;=1,K13&lt;=Input!$D$61),MIN(K11+K12,IF(Input!$D$63="Gốc đều",Input!$D$66/Input!$D$61,MAX(0,K14-K16))),0)</f>
        <v>285.36666666666667</v>
      </c>
      <c r="L15" s="43">
        <f>IF(AND(L13&gt;=1,L13&lt;=Input!$D$61),MIN(L11+L12,IF(Input!$D$63="Gốc đều",Input!$D$66/Input!$D$61,MAX(0,L14-L16))),0)</f>
        <v>285.36666666666667</v>
      </c>
      <c r="M15" s="43">
        <f>IF(AND(M13&gt;=1,M13&lt;=Input!$D$61),MIN(M11+M12,IF(Input!$D$63="Gốc đều",Input!$D$66/Input!$D$61,MAX(0,M14-M16))),0)</f>
        <v>285.36666666666667</v>
      </c>
      <c r="N15" s="43">
        <f>IF(AND(N13&gt;=1,N13&lt;=Input!$D$61),MIN(N11+N12,IF(Input!$D$63="Gốc đều",Input!$D$66/Input!$D$61,MAX(0,N14-N16))),0)</f>
        <v>285.36666666666667</v>
      </c>
      <c r="O15" s="43">
        <f>IF(AND(O13&gt;=1,O13&lt;=Input!$D$61),MIN(O11+O12,IF(Input!$D$63="Gốc đều",Input!$D$66/Input!$D$61,MAX(0,O14-O16))),0)</f>
        <v>285.36666666666667</v>
      </c>
      <c r="P15" s="43">
        <f>IF(AND(P13&gt;=1,P13&lt;=Input!$D$61),MIN(P11+P12,IF(Input!$D$63="Gốc đều",Input!$D$66/Input!$D$61,MAX(0,P14-P16))),0)</f>
        <v>285.36666666666667</v>
      </c>
      <c r="Q15" s="43">
        <f>IF(AND(Q13&gt;=1,Q13&lt;=Input!$D$61),MIN(Q11+Q12,IF(Input!$D$63="Gốc đều",Input!$D$66/Input!$D$61,MAX(0,Q14-Q16))),0)</f>
        <v>285.36666666666667</v>
      </c>
      <c r="R15" s="43">
        <f>IF(AND(R13&gt;=1,R13&lt;=Input!$D$61),MIN(R11+R12,IF(Input!$D$63="Gốc đều",Input!$D$66/Input!$D$61,MAX(0,R14-R16))),0)</f>
        <v>285.36666666666667</v>
      </c>
      <c r="S15" s="43">
        <f>IF(AND(S13&gt;=1,S13&lt;=Input!$D$61),MIN(S11+S12,IF(Input!$D$63="Gốc đều",Input!$D$66/Input!$D$61,MAX(0,S14-S16))),0)</f>
        <v>285.36666666666667</v>
      </c>
      <c r="T15" s="43">
        <f>IF(AND(T13&gt;=1,T13&lt;=Input!$D$61),MIN(T11+T12,IF(Input!$D$63="Gốc đều",Input!$D$66/Input!$D$61,MAX(0,T14-T16))),0)</f>
        <v>285.36666666666531</v>
      </c>
      <c r="U15" s="43">
        <f>IF(AND(U13&gt;=1,U13&lt;=Input!$D$61),MIN(U11+U12,IF(Input!$D$63="Gốc đều",Input!$D$66/Input!$D$61,MAX(0,U14-U16))),0)</f>
        <v>0</v>
      </c>
      <c r="V15" s="43">
        <f>IF(AND(V13&gt;=1,V13&lt;=Input!$D$61),MIN(V11+V12,IF(Input!$D$63="Gốc đều",Input!$D$66/Input!$D$61,MAX(0,V14-V16))),0)</f>
        <v>0</v>
      </c>
      <c r="W15" s="43">
        <f>IF(AND(W13&gt;=1,W13&lt;=Input!$D$61),MIN(W11+W12,IF(Input!$D$63="Gốc đều",Input!$D$66/Input!$D$61,MAX(0,W14-W16))),0)</f>
        <v>0</v>
      </c>
      <c r="X15" s="43">
        <f>IF(AND(X13&gt;=1,X13&lt;=Input!$D$61),MIN(X11+X12,IF(Input!$D$63="Gốc đều",Input!$D$66/Input!$D$61,MAX(0,X14-X16))),0)</f>
        <v>0</v>
      </c>
      <c r="Y15" s="43">
        <f>IF(AND(Y13&gt;=1,Y13&lt;=Input!$D$61),MIN(Y11+Y12,IF(Input!$D$63="Gốc đều",Input!$D$66/Input!$D$61,MAX(0,Y14-Y16))),0)</f>
        <v>0</v>
      </c>
      <c r="Z15" s="43">
        <f>IF(AND(Z13&gt;=1,Z13&lt;=Input!$D$61),MIN(Z11+Z12,IF(Input!$D$63="Gốc đều",Input!$D$66/Input!$D$61,MAX(0,Z14-Z16))),0)</f>
        <v>0</v>
      </c>
      <c r="AA15" s="43">
        <f>IF(AND(AA13&gt;=1,AA13&lt;=Input!$D$61),MIN(AA11+AA12,IF(Input!$D$63="Gốc đều",Input!$D$66/Input!$D$61,MAX(0,AA14-AA16))),0)</f>
        <v>0</v>
      </c>
      <c r="AB15" s="43">
        <f>IF(AND(AB13&gt;=1,AB13&lt;=Input!$D$61),MIN(AB11+AB12,IF(Input!$D$63="Gốc đều",Input!$D$66/Input!$D$61,MAX(0,AB14-AB16))),0)</f>
        <v>0</v>
      </c>
      <c r="AC15" s="43">
        <f>IF(AND(AC13&gt;=1,AC13&lt;=Input!$D$61),MIN(AC11+AC12,IF(Input!$D$63="Gốc đều",Input!$D$66/Input!$D$61,MAX(0,AC14-AC16))),0)</f>
        <v>0</v>
      </c>
      <c r="AD15" s="43">
        <f>IF(AND(AD13&gt;=1,AD13&lt;=Input!$D$61),MIN(AD11+AD12,IF(Input!$D$63="Gốc đều",Input!$D$66/Input!$D$61,MAX(0,AD14-AD16))),0)</f>
        <v>0</v>
      </c>
      <c r="AE15" s="43">
        <f>IF(AND(AE13&gt;=1,AE13&lt;=Input!$D$61),MIN(AE11+AE12,IF(Input!$D$63="Gốc đều",Input!$D$66/Input!$D$61,MAX(0,AE14-AE16))),0)</f>
        <v>0</v>
      </c>
      <c r="AF15" s="43">
        <f>IF(AND(AF13&gt;=1,AF13&lt;=Input!$D$61),MIN(AF11+AF12,IF(Input!$D$63="Gốc đều",Input!$D$66/Input!$D$61,MAX(0,AF14-AF16))),0)</f>
        <v>0</v>
      </c>
    </row>
    <row r="16" spans="1:32" ht="15" customHeight="1">
      <c r="A16" s="71" t="s">
        <v>524</v>
      </c>
      <c r="B16" s="71" t="s">
        <v>525</v>
      </c>
      <c r="C16" s="44">
        <f>IF(C$6="",0,IF(C$6&lt;Input!$D$16,(C11+0.5*C12)*Input!$D$60,C11*Input!$D$60))</f>
        <v>81.329499999999996</v>
      </c>
      <c r="D16" s="44">
        <f>IF(D$6="",0,IF(D$6&lt;Input!$D$16,(D11+0.5*D12)*Input!$D$60,D11*Input!$D$60))</f>
        <v>284.65324999999996</v>
      </c>
      <c r="E16" s="44">
        <f>IF(E$6="",0,IF(E$6&lt;Input!$D$16,(E11+0.5*E12)*Input!$D$60,E11*Input!$D$60))</f>
        <v>406.64749999999998</v>
      </c>
      <c r="F16" s="44">
        <f>IF(F$6="",0,IF(F$6&lt;Input!$D$16,(F11+0.5*F12)*Input!$D$60,F11*Input!$D$60))</f>
        <v>406.64749999999998</v>
      </c>
      <c r="G16" s="44">
        <f>IF(G$6="",0,IF(G$6&lt;Input!$D$16,(G11+0.5*G12)*Input!$D$60,G11*Input!$D$60))</f>
        <v>379.53766666666667</v>
      </c>
      <c r="H16" s="44">
        <f>IF(H$6="",0,IF(H$6&lt;Input!$D$16,(H11+0.5*H12)*Input!$D$60,H11*Input!$D$60))</f>
        <v>352.4278333333333</v>
      </c>
      <c r="I16" s="44">
        <f>IF(I$6="",0,IF(I$6&lt;Input!$D$16,(I11+0.5*I12)*Input!$D$60,I11*Input!$D$60))</f>
        <v>325.31799999999998</v>
      </c>
      <c r="J16" s="44">
        <f>IF(J$6="",0,IF(J$6&lt;Input!$D$16,(J11+0.5*J12)*Input!$D$60,J11*Input!$D$60))</f>
        <v>298.20816666666661</v>
      </c>
      <c r="K16" s="44">
        <f>IF(K$6="",0,IF(K$6&lt;Input!$D$16,(K11+0.5*K12)*Input!$D$60,K11*Input!$D$60))</f>
        <v>271.0983333333333</v>
      </c>
      <c r="L16" s="44">
        <f>IF(L$6="",0,IF(L$6&lt;Input!$D$16,(L11+0.5*L12)*Input!$D$60,L11*Input!$D$60))</f>
        <v>243.98849999999993</v>
      </c>
      <c r="M16" s="44">
        <f>IF(M$6="",0,IF(M$6&lt;Input!$D$16,(M11+0.5*M12)*Input!$D$60,M11*Input!$D$60))</f>
        <v>216.87866666666659</v>
      </c>
      <c r="N16" s="44">
        <f>IF(N$6="",0,IF(N$6&lt;Input!$D$16,(N11+0.5*N12)*Input!$D$60,N11*Input!$D$60))</f>
        <v>189.76883333333325</v>
      </c>
      <c r="O16" s="44">
        <f>IF(O$6="",0,IF(O$6&lt;Input!$D$16,(O11+0.5*O12)*Input!$D$60,O11*Input!$D$60))</f>
        <v>162.65899999999991</v>
      </c>
      <c r="P16" s="44">
        <f>IF(P$6="",0,IF(P$6&lt;Input!$D$16,(P11+0.5*P12)*Input!$D$60,P11*Input!$D$60))</f>
        <v>135.54916666666657</v>
      </c>
      <c r="Q16" s="44">
        <f>IF(Q$6="",0,IF(Q$6&lt;Input!$D$16,(Q11+0.5*Q12)*Input!$D$60,Q11*Input!$D$60))</f>
        <v>108.43933333333321</v>
      </c>
      <c r="R16" s="44">
        <f>IF(R$6="",0,IF(R$6&lt;Input!$D$16,(R11+0.5*R12)*Input!$D$60,R11*Input!$D$60))</f>
        <v>81.329499999999868</v>
      </c>
      <c r="S16" s="44">
        <f>IF(S$6="",0,IF(S$6&lt;Input!$D$16,(S11+0.5*S12)*Input!$D$60,S11*Input!$D$60))</f>
        <v>54.219666666666541</v>
      </c>
      <c r="T16" s="44">
        <f>IF(T$6="",0,IF(T$6&lt;Input!$D$16,(T11+0.5*T12)*Input!$D$60,T11*Input!$D$60))</f>
        <v>27.109833333333206</v>
      </c>
      <c r="U16" s="44">
        <f>IF(U$6="",0,IF(U$6&lt;Input!$D$16,(U11+0.5*U12)*Input!$D$60,U11*Input!$D$60))</f>
        <v>0</v>
      </c>
      <c r="V16" s="44">
        <f>IF(V$6="",0,IF(V$6&lt;Input!$D$16,(V11+0.5*V12)*Input!$D$60,V11*Input!$D$60))</f>
        <v>0</v>
      </c>
      <c r="W16" s="44">
        <f>IF(W$6="",0,IF(W$6&lt;Input!$D$16,(W11+0.5*W12)*Input!$D$60,W11*Input!$D$60))</f>
        <v>0</v>
      </c>
      <c r="X16" s="44">
        <f>IF(X$6="",0,IF(X$6&lt;Input!$D$16,(X11+0.5*X12)*Input!$D$60,X11*Input!$D$60))</f>
        <v>0</v>
      </c>
      <c r="Y16" s="44">
        <f>IF(Y$6="",0,IF(Y$6&lt;Input!$D$16,(Y11+0.5*Y12)*Input!$D$60,Y11*Input!$D$60))</f>
        <v>0</v>
      </c>
      <c r="Z16" s="44">
        <f>IF(Z$6="",0,IF(Z$6&lt;Input!$D$16,(Z11+0.5*Z12)*Input!$D$60,Z11*Input!$D$60))</f>
        <v>0</v>
      </c>
      <c r="AA16" s="44">
        <f>IF(AA$6="",0,IF(AA$6&lt;Input!$D$16,(AA11+0.5*AA12)*Input!$D$60,AA11*Input!$D$60))</f>
        <v>0</v>
      </c>
      <c r="AB16" s="44">
        <f>IF(AB$6="",0,IF(AB$6&lt;Input!$D$16,(AB11+0.5*AB12)*Input!$D$60,AB11*Input!$D$60))</f>
        <v>0</v>
      </c>
      <c r="AC16" s="44">
        <f>IF(AC$6="",0,IF(AC$6&lt;Input!$D$16,(AC11+0.5*AC12)*Input!$D$60,AC11*Input!$D$60))</f>
        <v>0</v>
      </c>
      <c r="AD16" s="44">
        <f>IF(AD$6="",0,IF(AD$6&lt;Input!$D$16,(AD11+0.5*AD12)*Input!$D$60,AD11*Input!$D$60))</f>
        <v>0</v>
      </c>
      <c r="AE16" s="44">
        <f>IF(AE$6="",0,IF(AE$6&lt;Input!$D$16,(AE11+0.5*AE12)*Input!$D$60,AE11*Input!$D$60))</f>
        <v>0</v>
      </c>
      <c r="AF16" s="44">
        <f>IF(AF$6="",0,IF(AF$6&lt;Input!$D$16,(AF11+0.5*AF12)*Input!$D$60,AF11*Input!$D$60))</f>
        <v>0</v>
      </c>
    </row>
    <row r="17" spans="1:32" ht="15" customHeight="1">
      <c r="A17" s="71" t="s">
        <v>526</v>
      </c>
      <c r="B17" s="72" t="s">
        <v>527</v>
      </c>
      <c r="C17" s="43">
        <f t="shared" ref="C17:AF17" si="1">IF(C$8&gt;0,C15+C16,0)</f>
        <v>0</v>
      </c>
      <c r="D17" s="43">
        <f t="shared" si="1"/>
        <v>0</v>
      </c>
      <c r="E17" s="43">
        <f t="shared" si="1"/>
        <v>406.64749999999998</v>
      </c>
      <c r="F17" s="43">
        <f t="shared" si="1"/>
        <v>692.0141666666666</v>
      </c>
      <c r="G17" s="43">
        <f t="shared" si="1"/>
        <v>664.9043333333334</v>
      </c>
      <c r="H17" s="43">
        <f t="shared" si="1"/>
        <v>637.79449999999997</v>
      </c>
      <c r="I17" s="43">
        <f t="shared" si="1"/>
        <v>610.68466666666666</v>
      </c>
      <c r="J17" s="43">
        <f t="shared" si="1"/>
        <v>583.57483333333334</v>
      </c>
      <c r="K17" s="43">
        <f t="shared" si="1"/>
        <v>556.46499999999992</v>
      </c>
      <c r="L17" s="43">
        <f t="shared" si="1"/>
        <v>529.35516666666661</v>
      </c>
      <c r="M17" s="43">
        <f t="shared" si="1"/>
        <v>502.24533333333329</v>
      </c>
      <c r="N17" s="43">
        <f t="shared" si="1"/>
        <v>475.13549999999992</v>
      </c>
      <c r="O17" s="43">
        <f t="shared" si="1"/>
        <v>448.02566666666655</v>
      </c>
      <c r="P17" s="43">
        <f t="shared" si="1"/>
        <v>420.91583333333324</v>
      </c>
      <c r="Q17" s="43">
        <f t="shared" si="1"/>
        <v>393.80599999999987</v>
      </c>
      <c r="R17" s="43">
        <f t="shared" si="1"/>
        <v>366.69616666666656</v>
      </c>
      <c r="S17" s="43">
        <f t="shared" si="1"/>
        <v>339.58633333333319</v>
      </c>
      <c r="T17" s="43">
        <f t="shared" si="1"/>
        <v>312.47649999999851</v>
      </c>
      <c r="U17" s="43">
        <f t="shared" si="1"/>
        <v>0</v>
      </c>
      <c r="V17" s="43">
        <f t="shared" si="1"/>
        <v>0</v>
      </c>
      <c r="W17" s="43">
        <f t="shared" si="1"/>
        <v>0</v>
      </c>
      <c r="X17" s="43">
        <f t="shared" si="1"/>
        <v>0</v>
      </c>
      <c r="Y17" s="43">
        <f t="shared" si="1"/>
        <v>0</v>
      </c>
      <c r="Z17" s="43">
        <f t="shared" si="1"/>
        <v>0</v>
      </c>
      <c r="AA17" s="43">
        <f t="shared" si="1"/>
        <v>0</v>
      </c>
      <c r="AB17" s="43">
        <f t="shared" si="1"/>
        <v>0</v>
      </c>
      <c r="AC17" s="43">
        <f t="shared" si="1"/>
        <v>0</v>
      </c>
      <c r="AD17" s="43">
        <f t="shared" si="1"/>
        <v>0</v>
      </c>
      <c r="AE17" s="43">
        <f t="shared" si="1"/>
        <v>0</v>
      </c>
      <c r="AF17" s="43">
        <f t="shared" si="1"/>
        <v>0</v>
      </c>
    </row>
    <row r="18" spans="1:32" ht="15" customHeight="1">
      <c r="A18" s="71" t="s">
        <v>528</v>
      </c>
      <c r="B18" s="72" t="s">
        <v>529</v>
      </c>
      <c r="C18" s="43">
        <f t="shared" ref="C18:AF18" si="2">MAX(0,C11+C12-C15)</f>
        <v>1712.1999999999998</v>
      </c>
      <c r="D18" s="43">
        <f t="shared" si="2"/>
        <v>4280.5</v>
      </c>
      <c r="E18" s="43">
        <f t="shared" si="2"/>
        <v>4280.5</v>
      </c>
      <c r="F18" s="43">
        <f t="shared" si="2"/>
        <v>3995.1333333333332</v>
      </c>
      <c r="G18" s="43">
        <f t="shared" si="2"/>
        <v>3709.7666666666664</v>
      </c>
      <c r="H18" s="43">
        <f t="shared" si="2"/>
        <v>3424.3999999999996</v>
      </c>
      <c r="I18" s="43">
        <f t="shared" si="2"/>
        <v>3139.0333333333328</v>
      </c>
      <c r="J18" s="43">
        <f t="shared" si="2"/>
        <v>2853.6666666666661</v>
      </c>
      <c r="K18" s="43">
        <f t="shared" si="2"/>
        <v>2568.2999999999993</v>
      </c>
      <c r="L18" s="43">
        <f t="shared" si="2"/>
        <v>2282.9333333333325</v>
      </c>
      <c r="M18" s="43">
        <f t="shared" si="2"/>
        <v>1997.5666666666657</v>
      </c>
      <c r="N18" s="43">
        <f t="shared" si="2"/>
        <v>1712.1999999999989</v>
      </c>
      <c r="O18" s="43">
        <f t="shared" si="2"/>
        <v>1426.8333333333321</v>
      </c>
      <c r="P18" s="43">
        <f t="shared" si="2"/>
        <v>1141.4666666666653</v>
      </c>
      <c r="Q18" s="43">
        <f t="shared" si="2"/>
        <v>856.09999999999866</v>
      </c>
      <c r="R18" s="43">
        <f t="shared" si="2"/>
        <v>570.73333333333198</v>
      </c>
      <c r="S18" s="43">
        <f t="shared" si="2"/>
        <v>285.36666666666531</v>
      </c>
      <c r="T18" s="43">
        <f t="shared" si="2"/>
        <v>0</v>
      </c>
      <c r="U18" s="43">
        <f t="shared" si="2"/>
        <v>0</v>
      </c>
      <c r="V18" s="43">
        <f t="shared" si="2"/>
        <v>0</v>
      </c>
      <c r="W18" s="43">
        <f t="shared" si="2"/>
        <v>0</v>
      </c>
      <c r="X18" s="43">
        <f t="shared" si="2"/>
        <v>0</v>
      </c>
      <c r="Y18" s="43">
        <f t="shared" si="2"/>
        <v>0</v>
      </c>
      <c r="Z18" s="43">
        <f t="shared" si="2"/>
        <v>0</v>
      </c>
      <c r="AA18" s="43">
        <f t="shared" si="2"/>
        <v>0</v>
      </c>
      <c r="AB18" s="43">
        <f t="shared" si="2"/>
        <v>0</v>
      </c>
      <c r="AC18" s="43">
        <f t="shared" si="2"/>
        <v>0</v>
      </c>
      <c r="AD18" s="43">
        <f t="shared" si="2"/>
        <v>0</v>
      </c>
      <c r="AE18" s="43">
        <f t="shared" si="2"/>
        <v>0</v>
      </c>
      <c r="AF18" s="43">
        <f t="shared" si="2"/>
        <v>0</v>
      </c>
    </row>
    <row r="19" spans="1:32" ht="15" customHeight="1">
      <c r="A19" s="71" t="s">
        <v>530</v>
      </c>
      <c r="B19" s="71" t="s">
        <v>371</v>
      </c>
      <c r="C19" s="44">
        <f>Input!$D$66*Input!$D$64</f>
        <v>32.103749999999998</v>
      </c>
      <c r="D19" s="44">
        <f>0</f>
        <v>0</v>
      </c>
      <c r="E19" s="44">
        <f>0</f>
        <v>0</v>
      </c>
      <c r="F19" s="44">
        <f>0</f>
        <v>0</v>
      </c>
      <c r="G19" s="44">
        <f>0</f>
        <v>0</v>
      </c>
      <c r="H19" s="44">
        <f>0</f>
        <v>0</v>
      </c>
      <c r="I19" s="44">
        <f>0</f>
        <v>0</v>
      </c>
      <c r="J19" s="44">
        <f>0</f>
        <v>0</v>
      </c>
      <c r="K19" s="44">
        <f>0</f>
        <v>0</v>
      </c>
      <c r="L19" s="44">
        <f>0</f>
        <v>0</v>
      </c>
      <c r="M19" s="44">
        <f>0</f>
        <v>0</v>
      </c>
      <c r="N19" s="44">
        <f>0</f>
        <v>0</v>
      </c>
      <c r="O19" s="44">
        <f>0</f>
        <v>0</v>
      </c>
      <c r="P19" s="44">
        <f>0</f>
        <v>0</v>
      </c>
      <c r="Q19" s="44">
        <f>0</f>
        <v>0</v>
      </c>
      <c r="R19" s="44">
        <f>0</f>
        <v>0</v>
      </c>
      <c r="S19" s="44">
        <f>0</f>
        <v>0</v>
      </c>
      <c r="T19" s="44">
        <f>0</f>
        <v>0</v>
      </c>
      <c r="U19" s="44">
        <f>0</f>
        <v>0</v>
      </c>
      <c r="V19" s="44">
        <f>0</f>
        <v>0</v>
      </c>
      <c r="W19" s="44">
        <f>0</f>
        <v>0</v>
      </c>
      <c r="X19" s="44">
        <f>0</f>
        <v>0</v>
      </c>
      <c r="Y19" s="44">
        <f>0</f>
        <v>0</v>
      </c>
      <c r="Z19" s="44">
        <f>0</f>
        <v>0</v>
      </c>
      <c r="AA19" s="44">
        <f>0</f>
        <v>0</v>
      </c>
      <c r="AB19" s="44">
        <f>0</f>
        <v>0</v>
      </c>
      <c r="AC19" s="44">
        <f>0</f>
        <v>0</v>
      </c>
      <c r="AD19" s="44">
        <f>0</f>
        <v>0</v>
      </c>
      <c r="AE19" s="44">
        <f>0</f>
        <v>0</v>
      </c>
      <c r="AF19" s="44">
        <f>0</f>
        <v>0</v>
      </c>
    </row>
    <row r="20" spans="1:32" ht="15" customHeight="1">
      <c r="A20" s="69"/>
      <c r="B20" s="69"/>
      <c r="C20" s="64"/>
      <c r="D20" s="64"/>
      <c r="E20" s="64"/>
      <c r="F20" s="64"/>
      <c r="G20" s="64"/>
      <c r="H20" s="64"/>
      <c r="I20" s="64"/>
      <c r="J20" s="64"/>
      <c r="K20" s="64"/>
      <c r="L20" s="64"/>
      <c r="M20" s="64"/>
      <c r="N20" s="64"/>
      <c r="O20" s="64"/>
      <c r="P20" s="64"/>
      <c r="Q20" s="64"/>
      <c r="R20" s="64"/>
      <c r="S20" s="64"/>
      <c r="T20" s="64"/>
      <c r="U20" s="64"/>
      <c r="V20" s="64"/>
      <c r="W20" s="64"/>
      <c r="X20" s="64"/>
      <c r="Y20" s="64"/>
      <c r="Z20" s="64"/>
      <c r="AA20" s="64"/>
      <c r="AB20" s="64"/>
      <c r="AC20" s="64"/>
      <c r="AD20" s="64"/>
      <c r="AE20" s="64"/>
      <c r="AF20" s="64"/>
    </row>
    <row r="21" spans="1:32" ht="15" customHeight="1">
      <c r="A21" s="140" t="s">
        <v>531</v>
      </c>
      <c r="B21" s="140"/>
      <c r="C21" s="141"/>
      <c r="D21" s="141"/>
      <c r="E21" s="141"/>
      <c r="F21" s="141"/>
      <c r="G21" s="141"/>
      <c r="H21" s="141"/>
      <c r="I21" s="141"/>
      <c r="J21" s="141"/>
      <c r="K21" s="141"/>
      <c r="L21" s="141"/>
      <c r="M21" s="141"/>
      <c r="N21" s="141"/>
      <c r="O21" s="141"/>
      <c r="P21" s="141"/>
      <c r="Q21" s="141"/>
      <c r="R21" s="141"/>
      <c r="S21" s="141"/>
      <c r="T21" s="141"/>
      <c r="U21" s="141"/>
      <c r="V21" s="141"/>
      <c r="W21" s="141"/>
      <c r="X21" s="141"/>
      <c r="Y21" s="141"/>
      <c r="Z21" s="141"/>
      <c r="AA21" s="141"/>
      <c r="AB21" s="141"/>
      <c r="AC21" s="141"/>
      <c r="AD21" s="141"/>
      <c r="AE21" s="141"/>
      <c r="AF21" s="141"/>
    </row>
    <row r="22" spans="1:32" ht="15" customHeight="1">
      <c r="A22" s="71" t="s">
        <v>532</v>
      </c>
      <c r="B22" s="71" t="s">
        <v>19</v>
      </c>
      <c r="C22" s="44">
        <f>Project_CF!C18</f>
        <v>0</v>
      </c>
      <c r="D22" s="44">
        <f>Project_CF!D18</f>
        <v>0</v>
      </c>
      <c r="E22" s="44">
        <f>Project_CF!E18</f>
        <v>875.167912</v>
      </c>
      <c r="F22" s="44">
        <f>Project_CF!F18</f>
        <v>870.72697617599999</v>
      </c>
      <c r="G22" s="44">
        <f>Project_CF!G18</f>
        <v>866.24111022364809</v>
      </c>
      <c r="H22" s="44">
        <f>Project_CF!H18</f>
        <v>861.7093277632008</v>
      </c>
      <c r="I22" s="44">
        <f>Project_CF!I18</f>
        <v>830.47654859473062</v>
      </c>
      <c r="J22" s="44">
        <f>Project_CF!J18</f>
        <v>826.08122804007985</v>
      </c>
      <c r="K22" s="44">
        <f>Project_CF!K18</f>
        <v>821.63936267911424</v>
      </c>
      <c r="L22" s="44">
        <f>Project_CF!L18</f>
        <v>817.14993889249808</v>
      </c>
      <c r="M22" s="44">
        <f>Project_CF!M18</f>
        <v>812.61192295395472</v>
      </c>
      <c r="N22" s="44">
        <f>Project_CF!N18</f>
        <v>808.02426062779841</v>
      </c>
      <c r="O22" s="44">
        <f>Project_CF!O18</f>
        <v>803.38587675841427</v>
      </c>
      <c r="P22" s="44">
        <f>Project_CF!P18</f>
        <v>798.69567485153163</v>
      </c>
      <c r="Q22" s="44">
        <f>Project_CF!Q18</f>
        <v>793.95253664712027</v>
      </c>
      <c r="R22" s="44">
        <f>Project_CF!R18</f>
        <v>764.67604883197225</v>
      </c>
      <c r="S22" s="44">
        <f>Project_CF!S18</f>
        <v>760.0789863618993</v>
      </c>
      <c r="T22" s="44">
        <f>Project_CF!T18</f>
        <v>707.49743093357176</v>
      </c>
      <c r="U22" s="44">
        <f>Project_CF!U18</f>
        <v>703.31510104582867</v>
      </c>
      <c r="V22" s="44">
        <f>Project_CF!V18</f>
        <v>699.08319672424363</v>
      </c>
      <c r="W22" s="44">
        <f>Project_CF!W18</f>
        <v>694.8006583358117</v>
      </c>
      <c r="X22" s="44">
        <f>Project_CF!X18</f>
        <v>690.46640519115726</v>
      </c>
      <c r="Y22" s="44">
        <f>Project_CF!Y18</f>
        <v>0</v>
      </c>
      <c r="Z22" s="44">
        <f>Project_CF!Z18</f>
        <v>0</v>
      </c>
      <c r="AA22" s="44">
        <f>Project_CF!AA18</f>
        <v>0</v>
      </c>
      <c r="AB22" s="44">
        <f>Project_CF!AB18</f>
        <v>0</v>
      </c>
      <c r="AC22" s="44">
        <f>Project_CF!AC18</f>
        <v>0</v>
      </c>
      <c r="AD22" s="44">
        <f>Project_CF!AD18</f>
        <v>0</v>
      </c>
      <c r="AE22" s="44">
        <f>Project_CF!AE18</f>
        <v>0</v>
      </c>
      <c r="AF22" s="44">
        <f>Project_CF!AF18</f>
        <v>0</v>
      </c>
    </row>
    <row r="23" spans="1:32" ht="15" customHeight="1">
      <c r="A23" s="71" t="s">
        <v>533</v>
      </c>
      <c r="B23" s="72" t="s">
        <v>39</v>
      </c>
      <c r="C23" s="48">
        <f t="shared" ref="C23:AF23" si="3">IF(C17=0,0,C22/C17)</f>
        <v>0</v>
      </c>
      <c r="D23" s="48">
        <f t="shared" si="3"/>
        <v>0</v>
      </c>
      <c r="E23" s="48">
        <f t="shared" si="3"/>
        <v>2.1521536760953897</v>
      </c>
      <c r="F23" s="48">
        <f t="shared" si="3"/>
        <v>1.258250218156902</v>
      </c>
      <c r="G23" s="48">
        <f t="shared" si="3"/>
        <v>1.3028056320237267</v>
      </c>
      <c r="H23" s="48">
        <f t="shared" si="3"/>
        <v>1.3510767618146611</v>
      </c>
      <c r="I23" s="48">
        <f t="shared" si="3"/>
        <v>1.3599105953122517</v>
      </c>
      <c r="J23" s="48">
        <f t="shared" si="3"/>
        <v>1.4155532090401657</v>
      </c>
      <c r="K23" s="48">
        <f t="shared" si="3"/>
        <v>1.4765337670457519</v>
      </c>
      <c r="L23" s="48">
        <f t="shared" si="3"/>
        <v>1.5436704699381067</v>
      </c>
      <c r="M23" s="48">
        <f t="shared" si="3"/>
        <v>1.6179581352419166</v>
      </c>
      <c r="N23" s="48">
        <f t="shared" si="3"/>
        <v>1.7006185827575471</v>
      </c>
      <c r="O23" s="48">
        <f t="shared" si="3"/>
        <v>1.7931693126772077</v>
      </c>
      <c r="P23" s="48">
        <f t="shared" si="3"/>
        <v>1.89751872369939</v>
      </c>
      <c r="Q23" s="48">
        <f t="shared" si="3"/>
        <v>2.0161006603432159</v>
      </c>
      <c r="R23" s="48">
        <f t="shared" si="3"/>
        <v>2.0853123603200263</v>
      </c>
      <c r="S23" s="48">
        <f t="shared" si="3"/>
        <v>2.2382496341977829</v>
      </c>
      <c r="T23" s="48">
        <f t="shared" si="3"/>
        <v>2.2641620439731471</v>
      </c>
      <c r="U23" s="48">
        <f t="shared" si="3"/>
        <v>0</v>
      </c>
      <c r="V23" s="48">
        <f t="shared" si="3"/>
        <v>0</v>
      </c>
      <c r="W23" s="48">
        <f t="shared" si="3"/>
        <v>0</v>
      </c>
      <c r="X23" s="48">
        <f t="shared" si="3"/>
        <v>0</v>
      </c>
      <c r="Y23" s="48">
        <f t="shared" si="3"/>
        <v>0</v>
      </c>
      <c r="Z23" s="48">
        <f t="shared" si="3"/>
        <v>0</v>
      </c>
      <c r="AA23" s="48">
        <f t="shared" si="3"/>
        <v>0</v>
      </c>
      <c r="AB23" s="48">
        <f t="shared" si="3"/>
        <v>0</v>
      </c>
      <c r="AC23" s="48">
        <f t="shared" si="3"/>
        <v>0</v>
      </c>
      <c r="AD23" s="48">
        <f t="shared" si="3"/>
        <v>0</v>
      </c>
      <c r="AE23" s="48">
        <f t="shared" si="3"/>
        <v>0</v>
      </c>
      <c r="AF23" s="48">
        <f t="shared" si="3"/>
        <v>0</v>
      </c>
    </row>
    <row r="24" spans="1:32" ht="15" customHeight="1">
      <c r="A24" s="71" t="s">
        <v>534</v>
      </c>
      <c r="B24" s="71" t="s">
        <v>535</v>
      </c>
      <c r="C24" s="49" t="str">
        <f t="shared" ref="C24:AF24" si="4">IF(C17&gt;0,C23,"")</f>
        <v/>
      </c>
      <c r="D24" s="49" t="str">
        <f t="shared" si="4"/>
        <v/>
      </c>
      <c r="E24" s="49">
        <f t="shared" si="4"/>
        <v>2.1521536760953897</v>
      </c>
      <c r="F24" s="49">
        <f t="shared" si="4"/>
        <v>1.258250218156902</v>
      </c>
      <c r="G24" s="49">
        <f t="shared" si="4"/>
        <v>1.3028056320237267</v>
      </c>
      <c r="H24" s="49">
        <f t="shared" si="4"/>
        <v>1.3510767618146611</v>
      </c>
      <c r="I24" s="49">
        <f t="shared" si="4"/>
        <v>1.3599105953122517</v>
      </c>
      <c r="J24" s="49">
        <f t="shared" si="4"/>
        <v>1.4155532090401657</v>
      </c>
      <c r="K24" s="49">
        <f t="shared" si="4"/>
        <v>1.4765337670457519</v>
      </c>
      <c r="L24" s="49">
        <f t="shared" si="4"/>
        <v>1.5436704699381067</v>
      </c>
      <c r="M24" s="49">
        <f t="shared" si="4"/>
        <v>1.6179581352419166</v>
      </c>
      <c r="N24" s="49">
        <f t="shared" si="4"/>
        <v>1.7006185827575471</v>
      </c>
      <c r="O24" s="49">
        <f t="shared" si="4"/>
        <v>1.7931693126772077</v>
      </c>
      <c r="P24" s="49">
        <f t="shared" si="4"/>
        <v>1.89751872369939</v>
      </c>
      <c r="Q24" s="49">
        <f t="shared" si="4"/>
        <v>2.0161006603432159</v>
      </c>
      <c r="R24" s="49">
        <f t="shared" si="4"/>
        <v>2.0853123603200263</v>
      </c>
      <c r="S24" s="49">
        <f t="shared" si="4"/>
        <v>2.2382496341977829</v>
      </c>
      <c r="T24" s="49">
        <f t="shared" si="4"/>
        <v>2.2641620439731471</v>
      </c>
      <c r="U24" s="49" t="str">
        <f t="shared" si="4"/>
        <v/>
      </c>
      <c r="V24" s="49" t="str">
        <f t="shared" si="4"/>
        <v/>
      </c>
      <c r="W24" s="49" t="str">
        <f t="shared" si="4"/>
        <v/>
      </c>
      <c r="X24" s="49" t="str">
        <f t="shared" si="4"/>
        <v/>
      </c>
      <c r="Y24" s="49" t="str">
        <f t="shared" si="4"/>
        <v/>
      </c>
      <c r="Z24" s="49" t="str">
        <f t="shared" si="4"/>
        <v/>
      </c>
      <c r="AA24" s="49" t="str">
        <f t="shared" si="4"/>
        <v/>
      </c>
      <c r="AB24" s="49" t="str">
        <f t="shared" si="4"/>
        <v/>
      </c>
      <c r="AC24" s="49" t="str">
        <f t="shared" si="4"/>
        <v/>
      </c>
      <c r="AD24" s="49" t="str">
        <f t="shared" si="4"/>
        <v/>
      </c>
      <c r="AE24" s="49" t="str">
        <f t="shared" si="4"/>
        <v/>
      </c>
      <c r="AF24" s="49" t="str">
        <f t="shared" si="4"/>
        <v/>
      </c>
    </row>
    <row r="25" spans="1:32" ht="15" customHeight="1">
      <c r="A25" s="71" t="s">
        <v>536</v>
      </c>
      <c r="B25" s="71" t="s">
        <v>537</v>
      </c>
      <c r="C25" s="44">
        <f>IF(AND(C13&gt;=1,C13&lt;=Input!$D$61),C22/(1+Input!$D$60)^C13,0)</f>
        <v>0</v>
      </c>
      <c r="D25" s="44">
        <f>IF(AND(D13&gt;=1,D13&lt;=Input!$D$61),D22/(1+Input!$D$60)^D13,0)</f>
        <v>0</v>
      </c>
      <c r="E25" s="44">
        <f>IF(AND(E13&gt;=1,E13&lt;=Input!$D$61),E22/(1+Input!$D$60)^E13,0)</f>
        <v>0</v>
      </c>
      <c r="F25" s="44">
        <f>IF(AND(F13&gt;=1,F13&lt;=Input!$D$61),F22/(1+Input!$D$60)^F13,0)</f>
        <v>795.18445312876713</v>
      </c>
      <c r="G25" s="44">
        <f>IF(AND(G13&gt;=1,G13&lt;=Input!$D$61),G22/(1+Input!$D$60)^G13,0)</f>
        <v>722.45458620433112</v>
      </c>
      <c r="H25" s="44">
        <f>IF(AND(H13&gt;=1,H13&lt;=Input!$D$61),H22/(1+Input!$D$60)^H13,0)</f>
        <v>656.32422824762841</v>
      </c>
      <c r="I25" s="44">
        <f>IF(AND(I13&gt;=1,I13&lt;=Input!$D$61),I22/(1+Input!$D$60)^I13,0)</f>
        <v>577.65813854351006</v>
      </c>
      <c r="J25" s="44">
        <f>IF(AND(J13&gt;=1,J13&lt;=Input!$D$61),J22/(1+Input!$D$60)^J13,0)</f>
        <v>524.74964982107281</v>
      </c>
      <c r="K25" s="44">
        <f>IF(AND(K13&gt;=1,K13&lt;=Input!$D$61),K22/(1+Input!$D$60)^K13,0)</f>
        <v>476.64662471080391</v>
      </c>
      <c r="L25" s="44">
        <f>IF(AND(L13&gt;=1,L13&lt;=Input!$D$61),L22/(1+Input!$D$60)^L13,0)</f>
        <v>432.91528355780508</v>
      </c>
      <c r="M25" s="44">
        <f>IF(AND(M13&gt;=1,M13&lt;=Input!$D$61),M22/(1+Input!$D$60)^M13,0)</f>
        <v>393.16082414240446</v>
      </c>
      <c r="N25" s="44">
        <f>IF(AND(N13&gt;=1,N13&lt;=Input!$D$61),N22/(1+Input!$D$60)^N13,0)</f>
        <v>357.0239313702989</v>
      </c>
      <c r="O25" s="44">
        <f>IF(AND(O13&gt;=1,O13&lt;=Input!$D$61),O22/(1+Input!$D$60)^O13,0)</f>
        <v>324.17759869812704</v>
      </c>
      <c r="P25" s="44">
        <f>IF(AND(P13&gt;=1,P13&lt;=Input!$D$61),P22/(1+Input!$D$60)^P13,0)</f>
        <v>294.32423350687446</v>
      </c>
      <c r="Q25" s="44">
        <f>IF(AND(Q13&gt;=1,Q13&lt;=Input!$D$61),Q22/(1+Input!$D$60)^Q13,0)</f>
        <v>267.19302110871888</v>
      </c>
      <c r="R25" s="44">
        <f>IF(AND(R13&gt;=1,R13&lt;=Input!$D$61),R22/(1+Input!$D$60)^R13,0)</f>
        <v>235.0141102762928</v>
      </c>
      <c r="S25" s="44">
        <f>IF(AND(S13&gt;=1,S13&lt;=Input!$D$61),S22/(1+Input!$D$60)^S13,0)</f>
        <v>213.3344818931258</v>
      </c>
      <c r="T25" s="44">
        <f>IF(AND(T13&gt;=1,T13&lt;=Input!$D$61),T22/(1+Input!$D$60)^T13,0)</f>
        <v>181.34812912427714</v>
      </c>
      <c r="U25" s="44">
        <f>IF(AND(U13&gt;=1,U13&lt;=Input!$D$61),U22/(1+Input!$D$60)^U13,0)</f>
        <v>0</v>
      </c>
      <c r="V25" s="44">
        <f>IF(AND(V13&gt;=1,V13&lt;=Input!$D$61),V22/(1+Input!$D$60)^V13,0)</f>
        <v>0</v>
      </c>
      <c r="W25" s="44">
        <f>IF(AND(W13&gt;=1,W13&lt;=Input!$D$61),W22/(1+Input!$D$60)^W13,0)</f>
        <v>0</v>
      </c>
      <c r="X25" s="44">
        <f>IF(AND(X13&gt;=1,X13&lt;=Input!$D$61),X22/(1+Input!$D$60)^X13,0)</f>
        <v>0</v>
      </c>
      <c r="Y25" s="44">
        <f>IF(AND(Y13&gt;=1,Y13&lt;=Input!$D$61),Y22/(1+Input!$D$60)^Y13,0)</f>
        <v>0</v>
      </c>
      <c r="Z25" s="44">
        <f>IF(AND(Z13&gt;=1,Z13&lt;=Input!$D$61),Z22/(1+Input!$D$60)^Z13,0)</f>
        <v>0</v>
      </c>
      <c r="AA25" s="44">
        <f>IF(AND(AA13&gt;=1,AA13&lt;=Input!$D$61),AA22/(1+Input!$D$60)^AA13,0)</f>
        <v>0</v>
      </c>
      <c r="AB25" s="44">
        <f>IF(AND(AB13&gt;=1,AB13&lt;=Input!$D$61),AB22/(1+Input!$D$60)^AB13,0)</f>
        <v>0</v>
      </c>
      <c r="AC25" s="44">
        <f>IF(AND(AC13&gt;=1,AC13&lt;=Input!$D$61),AC22/(1+Input!$D$60)^AC13,0)</f>
        <v>0</v>
      </c>
      <c r="AD25" s="44">
        <f>IF(AND(AD13&gt;=1,AD13&lt;=Input!$D$61),AD22/(1+Input!$D$60)^AD13,0)</f>
        <v>0</v>
      </c>
      <c r="AE25" s="44">
        <f>IF(AND(AE13&gt;=1,AE13&lt;=Input!$D$61),AE22/(1+Input!$D$60)^AE13,0)</f>
        <v>0</v>
      </c>
      <c r="AF25" s="44">
        <f>IF(AND(AF13&gt;=1,AF13&lt;=Input!$D$61),AF22/(1+Input!$D$60)^AF13,0)</f>
        <v>0</v>
      </c>
    </row>
    <row r="26" spans="1:32" ht="15" customHeight="1">
      <c r="A26" s="69"/>
      <c r="B26" s="69"/>
      <c r="C26" s="64"/>
      <c r="D26" s="64"/>
      <c r="E26" s="64"/>
      <c r="F26" s="64"/>
      <c r="G26" s="64"/>
      <c r="H26" s="64"/>
      <c r="I26" s="64"/>
      <c r="J26" s="64"/>
      <c r="K26" s="64"/>
      <c r="L26" s="64"/>
      <c r="M26" s="64"/>
      <c r="N26" s="64"/>
      <c r="O26" s="64"/>
      <c r="P26" s="64"/>
      <c r="Q26" s="64"/>
      <c r="R26" s="64"/>
      <c r="S26" s="64"/>
      <c r="T26" s="64"/>
      <c r="U26" s="64"/>
      <c r="V26" s="64"/>
      <c r="W26" s="64"/>
      <c r="X26" s="64"/>
      <c r="Y26" s="64"/>
      <c r="Z26" s="64"/>
      <c r="AA26" s="64"/>
      <c r="AB26" s="64"/>
      <c r="AC26" s="64"/>
      <c r="AD26" s="64"/>
      <c r="AE26" s="64"/>
      <c r="AF26" s="64"/>
    </row>
    <row r="27" spans="1:32" ht="15" customHeight="1">
      <c r="A27" s="140" t="s">
        <v>538</v>
      </c>
      <c r="B27" s="140"/>
      <c r="C27" s="141"/>
      <c r="D27" s="141"/>
      <c r="E27" s="141"/>
      <c r="F27" s="141"/>
      <c r="G27" s="141"/>
      <c r="H27" s="141"/>
      <c r="I27" s="141"/>
      <c r="J27" s="141"/>
      <c r="K27" s="141"/>
      <c r="L27" s="141"/>
      <c r="M27" s="141"/>
      <c r="N27" s="141"/>
      <c r="O27" s="141"/>
      <c r="P27" s="141"/>
      <c r="Q27" s="141"/>
      <c r="R27" s="141"/>
      <c r="S27" s="141"/>
      <c r="T27" s="141"/>
      <c r="U27" s="141"/>
      <c r="V27" s="141"/>
      <c r="W27" s="141"/>
      <c r="X27" s="141"/>
      <c r="Y27" s="141"/>
      <c r="Z27" s="141"/>
      <c r="AA27" s="141"/>
      <c r="AB27" s="141"/>
      <c r="AC27" s="141"/>
      <c r="AD27" s="141"/>
      <c r="AE27" s="141"/>
      <c r="AF27" s="141"/>
    </row>
    <row r="28" spans="1:32" ht="15" customHeight="1">
      <c r="A28" s="69" t="s">
        <v>539</v>
      </c>
      <c r="B28" s="69" t="s">
        <v>485</v>
      </c>
      <c r="C28" s="67">
        <f>SUM(C12:AF12)</f>
        <v>4280.5</v>
      </c>
      <c r="D28" s="64"/>
      <c r="E28" s="64"/>
      <c r="F28" s="64"/>
      <c r="G28" s="64"/>
      <c r="H28" s="64"/>
      <c r="I28" s="64"/>
      <c r="J28" s="64"/>
      <c r="K28" s="64"/>
      <c r="L28" s="64"/>
      <c r="M28" s="64"/>
      <c r="N28" s="64"/>
      <c r="O28" s="64"/>
      <c r="P28" s="64"/>
      <c r="Q28" s="64"/>
      <c r="R28" s="64"/>
      <c r="S28" s="64"/>
      <c r="T28" s="64"/>
      <c r="U28" s="64"/>
      <c r="V28" s="64"/>
      <c r="W28" s="64"/>
      <c r="X28" s="64"/>
      <c r="Y28" s="64"/>
      <c r="Z28" s="64"/>
      <c r="AA28" s="64"/>
      <c r="AB28" s="64"/>
      <c r="AC28" s="64"/>
      <c r="AD28" s="64"/>
      <c r="AE28" s="64"/>
      <c r="AF28" s="64"/>
    </row>
    <row r="29" spans="1:32" ht="15" customHeight="1">
      <c r="A29" s="69" t="s">
        <v>540</v>
      </c>
      <c r="B29" s="69" t="s">
        <v>436</v>
      </c>
      <c r="C29" s="67">
        <f>SUM(C16:AF16)</f>
        <v>4025.8102499999991</v>
      </c>
      <c r="D29" s="64"/>
      <c r="E29" s="64"/>
      <c r="F29" s="64"/>
      <c r="G29" s="64"/>
      <c r="H29" s="64"/>
      <c r="I29" s="64"/>
      <c r="J29" s="64"/>
      <c r="K29" s="64"/>
      <c r="L29" s="64"/>
      <c r="M29" s="64"/>
      <c r="N29" s="64"/>
      <c r="O29" s="64"/>
      <c r="P29" s="64"/>
      <c r="Q29" s="64"/>
      <c r="R29" s="64"/>
      <c r="S29" s="64"/>
      <c r="T29" s="64"/>
      <c r="U29" s="64"/>
      <c r="V29" s="64"/>
      <c r="W29" s="64"/>
      <c r="X29" s="64"/>
      <c r="Y29" s="64"/>
      <c r="Z29" s="64"/>
      <c r="AA29" s="64"/>
      <c r="AB29" s="64"/>
      <c r="AC29" s="64"/>
      <c r="AD29" s="64"/>
      <c r="AE29" s="64"/>
      <c r="AF29" s="64"/>
    </row>
    <row r="30" spans="1:32" ht="15" customHeight="1">
      <c r="A30" s="69" t="s">
        <v>541</v>
      </c>
      <c r="B30" s="69" t="s">
        <v>542</v>
      </c>
      <c r="C30" s="67">
        <f>SUM(C15:AF15)</f>
        <v>4280.5</v>
      </c>
      <c r="D30" s="64"/>
      <c r="E30" s="64"/>
      <c r="F30" s="64"/>
      <c r="G30" s="64"/>
      <c r="H30" s="64"/>
      <c r="I30" s="64"/>
      <c r="J30" s="64"/>
      <c r="K30" s="64"/>
      <c r="L30" s="64"/>
      <c r="M30" s="64"/>
      <c r="N30" s="64"/>
      <c r="O30" s="64"/>
      <c r="P30" s="64"/>
      <c r="Q30" s="64"/>
      <c r="R30" s="64"/>
      <c r="S30" s="64"/>
      <c r="T30" s="64"/>
      <c r="U30" s="64"/>
      <c r="V30" s="64"/>
      <c r="W30" s="64"/>
      <c r="X30" s="64"/>
      <c r="Y30" s="64"/>
      <c r="Z30" s="64"/>
      <c r="AA30" s="64"/>
      <c r="AB30" s="64"/>
      <c r="AC30" s="64"/>
      <c r="AD30" s="64"/>
      <c r="AE30" s="64"/>
      <c r="AF30" s="64"/>
    </row>
    <row r="31" spans="1:32" ht="15" customHeight="1">
      <c r="A31" s="69" t="s">
        <v>543</v>
      </c>
      <c r="B31" s="69" t="s">
        <v>433</v>
      </c>
      <c r="C31" s="74">
        <f>IF(COUNT(C24:AF24)=0,0,MIN(C24:AF24))</f>
        <v>1.258250218156902</v>
      </c>
      <c r="D31" s="64"/>
      <c r="E31" s="64"/>
      <c r="F31" s="64"/>
      <c r="G31" s="64"/>
      <c r="H31" s="64"/>
      <c r="I31" s="64"/>
      <c r="J31" s="64"/>
      <c r="K31" s="64"/>
      <c r="L31" s="64"/>
      <c r="M31" s="64"/>
      <c r="N31" s="64"/>
      <c r="O31" s="64"/>
      <c r="P31" s="64"/>
      <c r="Q31" s="64"/>
      <c r="R31" s="64"/>
      <c r="S31" s="64"/>
      <c r="T31" s="64"/>
      <c r="U31" s="64"/>
      <c r="V31" s="64"/>
      <c r="W31" s="64"/>
      <c r="X31" s="64"/>
      <c r="Y31" s="64"/>
      <c r="Z31" s="64"/>
      <c r="AA31" s="64"/>
      <c r="AB31" s="64"/>
      <c r="AC31" s="64"/>
      <c r="AD31" s="64"/>
      <c r="AE31" s="64"/>
      <c r="AF31" s="64"/>
    </row>
    <row r="32" spans="1:32" ht="15" customHeight="1">
      <c r="A32" s="69" t="s">
        <v>544</v>
      </c>
      <c r="B32" s="69" t="s">
        <v>545</v>
      </c>
      <c r="C32" s="74">
        <f>IF(SUM(C17:AF17)=0,0,SUM(C22:AF22)/SUM(C17:AF17))</f>
        <v>1.990570351617434</v>
      </c>
      <c r="D32" s="64"/>
      <c r="E32" s="64"/>
      <c r="F32" s="64"/>
      <c r="G32" s="64"/>
      <c r="H32" s="64"/>
      <c r="I32" s="64"/>
      <c r="J32" s="64"/>
      <c r="K32" s="64"/>
      <c r="L32" s="64"/>
      <c r="M32" s="64"/>
      <c r="N32" s="64"/>
      <c r="O32" s="64"/>
      <c r="P32" s="64"/>
      <c r="Q32" s="64"/>
      <c r="R32" s="64"/>
      <c r="S32" s="64"/>
      <c r="T32" s="64"/>
      <c r="U32" s="64"/>
      <c r="V32" s="64"/>
      <c r="W32" s="64"/>
      <c r="X32" s="64"/>
      <c r="Y32" s="64"/>
      <c r="Z32" s="64"/>
      <c r="AA32" s="64"/>
      <c r="AB32" s="64"/>
      <c r="AC32" s="64"/>
      <c r="AD32" s="64"/>
      <c r="AE32" s="64"/>
      <c r="AF32" s="64"/>
    </row>
    <row r="33" spans="1:32" ht="15" customHeight="1">
      <c r="A33" s="69" t="s">
        <v>546</v>
      </c>
      <c r="B33" s="69" t="s">
        <v>91</v>
      </c>
      <c r="C33" s="74">
        <f>IF(Input!$D$66=0,0,SUM(C25:AF25)/Input!$D$66)</f>
        <v>1.5071859115369788</v>
      </c>
      <c r="D33" s="64"/>
      <c r="E33" s="64"/>
      <c r="F33" s="64"/>
      <c r="G33" s="64"/>
      <c r="H33" s="64"/>
      <c r="I33" s="64"/>
      <c r="J33" s="64"/>
      <c r="K33" s="64"/>
      <c r="L33" s="64"/>
      <c r="M33" s="64"/>
      <c r="N33" s="64"/>
      <c r="O33" s="64"/>
      <c r="P33" s="64"/>
      <c r="Q33" s="64"/>
      <c r="R33" s="64"/>
      <c r="S33" s="64"/>
      <c r="T33" s="64"/>
      <c r="U33" s="64"/>
      <c r="V33" s="64"/>
      <c r="W33" s="64"/>
      <c r="X33" s="64"/>
      <c r="Y33" s="64"/>
      <c r="Z33" s="64"/>
      <c r="AA33" s="64"/>
      <c r="AB33" s="64"/>
      <c r="AC33" s="64"/>
      <c r="AD33" s="64"/>
      <c r="AE33" s="64"/>
      <c r="AF33" s="64"/>
    </row>
    <row r="34" spans="1:32" ht="15" customHeight="1">
      <c r="A34" s="69" t="s">
        <v>452</v>
      </c>
      <c r="B34" s="69" t="s">
        <v>547</v>
      </c>
      <c r="C34" s="68" t="str">
        <f>IF(AND(ABS(AF18)&lt;0.01,ABS(C28-Input!$D$66)&lt;0.01),"OK","KIỂM TRA")</f>
        <v>OK</v>
      </c>
      <c r="D34" s="64"/>
      <c r="E34" s="64"/>
      <c r="F34" s="64"/>
      <c r="G34" s="64"/>
      <c r="H34" s="64"/>
      <c r="I34" s="64"/>
      <c r="J34" s="64"/>
      <c r="K34" s="64"/>
      <c r="L34" s="64"/>
      <c r="M34" s="64"/>
      <c r="N34" s="64"/>
      <c r="O34" s="64"/>
      <c r="P34" s="64"/>
      <c r="Q34" s="64"/>
      <c r="R34" s="64"/>
      <c r="S34" s="64"/>
      <c r="T34" s="64"/>
      <c r="U34" s="64"/>
      <c r="V34" s="64"/>
      <c r="W34" s="64"/>
      <c r="X34" s="64"/>
      <c r="Y34" s="64"/>
      <c r="Z34" s="64"/>
      <c r="AA34" s="64"/>
      <c r="AB34" s="64"/>
      <c r="AC34" s="64"/>
      <c r="AD34" s="64"/>
      <c r="AE34" s="64"/>
      <c r="AF34" s="64"/>
    </row>
    <row r="35" spans="1:32" ht="15" customHeight="1">
      <c r="A35" s="69"/>
      <c r="B35" s="69"/>
      <c r="C35" s="64"/>
      <c r="D35" s="64"/>
      <c r="E35" s="64"/>
      <c r="F35" s="64"/>
      <c r="G35" s="64"/>
      <c r="H35" s="64"/>
      <c r="I35" s="64"/>
      <c r="J35" s="64"/>
      <c r="K35" s="64"/>
      <c r="L35" s="64"/>
      <c r="M35" s="64"/>
      <c r="N35" s="64"/>
      <c r="O35" s="64"/>
      <c r="P35" s="64"/>
      <c r="Q35" s="64"/>
      <c r="R35" s="64"/>
      <c r="S35" s="64"/>
      <c r="T35" s="64"/>
      <c r="U35" s="64"/>
      <c r="V35" s="64"/>
      <c r="W35" s="64"/>
      <c r="X35" s="64"/>
      <c r="Y35" s="64"/>
      <c r="Z35" s="64"/>
      <c r="AA35" s="64"/>
      <c r="AB35" s="64"/>
      <c r="AC35" s="64"/>
      <c r="AD35" s="64"/>
      <c r="AE35" s="64"/>
      <c r="AF35" s="64"/>
    </row>
    <row r="36" spans="1:32" ht="15" customHeight="1">
      <c r="A36" s="69"/>
      <c r="B36" s="69"/>
      <c r="C36" s="64"/>
      <c r="D36" s="64"/>
      <c r="E36" s="64"/>
      <c r="F36" s="64"/>
      <c r="G36" s="64"/>
      <c r="H36" s="64"/>
      <c r="I36" s="64"/>
      <c r="J36" s="64"/>
      <c r="K36" s="64"/>
      <c r="L36" s="64"/>
      <c r="M36" s="64"/>
      <c r="N36" s="64"/>
      <c r="O36" s="64"/>
      <c r="P36" s="64"/>
      <c r="Q36" s="64"/>
      <c r="R36" s="64"/>
      <c r="S36" s="64"/>
      <c r="T36" s="64"/>
      <c r="U36" s="64"/>
      <c r="V36" s="64"/>
      <c r="W36" s="64"/>
      <c r="X36" s="64"/>
      <c r="Y36" s="64"/>
      <c r="Z36" s="64"/>
      <c r="AA36" s="64"/>
      <c r="AB36" s="64"/>
      <c r="AC36" s="64"/>
      <c r="AD36" s="64"/>
      <c r="AE36" s="64"/>
      <c r="AF36" s="64"/>
    </row>
    <row r="37" spans="1:32" ht="15" customHeight="1">
      <c r="A37" s="69"/>
      <c r="B37" s="69"/>
      <c r="C37" s="64"/>
      <c r="D37" s="64"/>
      <c r="E37" s="64"/>
      <c r="F37" s="64"/>
      <c r="G37" s="64"/>
      <c r="H37" s="64"/>
      <c r="I37" s="64"/>
      <c r="J37" s="64"/>
      <c r="K37" s="64"/>
      <c r="L37" s="64"/>
      <c r="M37" s="64"/>
      <c r="N37" s="64"/>
      <c r="O37" s="64"/>
      <c r="P37" s="64"/>
      <c r="Q37" s="64"/>
      <c r="R37" s="64"/>
      <c r="S37" s="64"/>
      <c r="T37" s="64"/>
      <c r="U37" s="64"/>
      <c r="V37" s="64"/>
      <c r="W37" s="64"/>
      <c r="X37" s="64"/>
      <c r="Y37" s="64"/>
      <c r="Z37" s="64"/>
      <c r="AA37" s="64"/>
      <c r="AB37" s="64"/>
      <c r="AC37" s="64"/>
      <c r="AD37" s="64"/>
      <c r="AE37" s="64"/>
      <c r="AF37" s="64"/>
    </row>
    <row r="38" spans="1:32" ht="15" customHeight="1">
      <c r="A38" s="69"/>
      <c r="B38" s="69"/>
      <c r="C38" s="64"/>
      <c r="D38" s="64"/>
      <c r="E38" s="64"/>
      <c r="F38" s="64"/>
      <c r="G38" s="64"/>
      <c r="H38" s="64"/>
      <c r="I38" s="64"/>
      <c r="J38" s="64"/>
      <c r="K38" s="64"/>
      <c r="L38" s="64"/>
      <c r="M38" s="64"/>
      <c r="N38" s="64"/>
      <c r="O38" s="64"/>
      <c r="P38" s="64"/>
      <c r="Q38" s="64"/>
      <c r="R38" s="64"/>
      <c r="S38" s="64"/>
      <c r="T38" s="64"/>
      <c r="U38" s="64"/>
      <c r="V38" s="64"/>
      <c r="W38" s="64"/>
      <c r="X38" s="64"/>
      <c r="Y38" s="64"/>
      <c r="Z38" s="64"/>
      <c r="AA38" s="64"/>
      <c r="AB38" s="64"/>
      <c r="AC38" s="64"/>
      <c r="AD38" s="64"/>
      <c r="AE38" s="64"/>
      <c r="AF38" s="64"/>
    </row>
    <row r="39" spans="1:32" ht="15" customHeight="1">
      <c r="A39" s="69"/>
      <c r="B39" s="69"/>
      <c r="C39" s="64"/>
      <c r="D39" s="64"/>
      <c r="E39" s="64"/>
      <c r="F39" s="64"/>
      <c r="G39" s="64"/>
      <c r="H39" s="64"/>
      <c r="I39" s="64"/>
      <c r="J39" s="64"/>
      <c r="K39" s="64"/>
      <c r="L39" s="64"/>
      <c r="M39" s="64"/>
      <c r="N39" s="64"/>
      <c r="O39" s="64"/>
      <c r="P39" s="64"/>
      <c r="Q39" s="64"/>
      <c r="R39" s="64"/>
      <c r="S39" s="64"/>
      <c r="T39" s="64"/>
      <c r="U39" s="64"/>
      <c r="V39" s="64"/>
      <c r="W39" s="64"/>
      <c r="X39" s="64"/>
      <c r="Y39" s="64"/>
      <c r="Z39" s="64"/>
      <c r="AA39" s="64"/>
      <c r="AB39" s="64"/>
      <c r="AC39" s="64"/>
      <c r="AD39" s="64"/>
      <c r="AE39" s="64"/>
      <c r="AF39" s="64"/>
    </row>
    <row r="40" spans="1:32" ht="15" customHeight="1">
      <c r="A40" s="69"/>
      <c r="B40" s="69"/>
      <c r="C40" s="64"/>
      <c r="D40" s="64"/>
      <c r="E40" s="64"/>
      <c r="F40" s="64"/>
      <c r="G40" s="64"/>
      <c r="H40" s="64"/>
      <c r="I40" s="64"/>
      <c r="J40" s="64"/>
      <c r="K40" s="64"/>
      <c r="L40" s="64"/>
      <c r="M40" s="64"/>
      <c r="N40" s="64"/>
      <c r="O40" s="64"/>
      <c r="P40" s="64"/>
      <c r="Q40" s="64"/>
      <c r="R40" s="64"/>
      <c r="S40" s="64"/>
      <c r="T40" s="64"/>
      <c r="U40" s="64"/>
      <c r="V40" s="64"/>
      <c r="W40" s="64"/>
      <c r="X40" s="64"/>
      <c r="Y40" s="64"/>
      <c r="Z40" s="64"/>
      <c r="AA40" s="64"/>
      <c r="AB40" s="64"/>
      <c r="AC40" s="64"/>
      <c r="AD40" s="64"/>
      <c r="AE40" s="64"/>
      <c r="AF40" s="64"/>
    </row>
    <row r="41" spans="1:32">
      <c r="A41" s="40"/>
      <c r="B41" s="40"/>
      <c r="C41" s="40"/>
      <c r="D41" s="40"/>
      <c r="E41" s="40"/>
      <c r="F41" s="40"/>
      <c r="G41" s="40"/>
      <c r="H41" s="40"/>
      <c r="I41" s="40"/>
      <c r="J41" s="40"/>
      <c r="K41" s="40"/>
      <c r="L41" s="40"/>
      <c r="M41" s="40"/>
      <c r="N41" s="40"/>
      <c r="O41" s="40"/>
      <c r="P41" s="40"/>
      <c r="Q41" s="40"/>
      <c r="R41" s="40"/>
      <c r="S41" s="40"/>
      <c r="T41" s="40"/>
      <c r="U41" s="40"/>
      <c r="V41" s="40"/>
      <c r="W41" s="40"/>
      <c r="X41" s="40"/>
      <c r="Y41" s="40"/>
      <c r="Z41" s="40"/>
      <c r="AA41" s="40"/>
      <c r="AB41" s="40"/>
      <c r="AC41" s="40"/>
      <c r="AD41" s="40"/>
      <c r="AE41" s="40"/>
      <c r="AF41" s="40"/>
    </row>
    <row r="42" spans="1:32">
      <c r="A42" s="40"/>
      <c r="B42" s="40"/>
      <c r="C42" s="40"/>
      <c r="D42" s="40"/>
      <c r="E42" s="40"/>
      <c r="F42" s="40"/>
      <c r="G42" s="40"/>
      <c r="H42" s="40"/>
      <c r="I42" s="40"/>
      <c r="J42" s="40"/>
      <c r="K42" s="40"/>
      <c r="L42" s="40"/>
      <c r="M42" s="40"/>
      <c r="N42" s="40"/>
      <c r="O42" s="40"/>
      <c r="P42" s="40"/>
      <c r="Q42" s="40"/>
      <c r="R42" s="40"/>
      <c r="S42" s="40"/>
      <c r="T42" s="40"/>
      <c r="U42" s="40"/>
      <c r="V42" s="40"/>
      <c r="W42" s="40"/>
      <c r="X42" s="40"/>
      <c r="Y42" s="40"/>
      <c r="Z42" s="40"/>
      <c r="AA42" s="40"/>
      <c r="AB42" s="40"/>
      <c r="AC42" s="40"/>
      <c r="AD42" s="40"/>
      <c r="AE42" s="40"/>
      <c r="AF42" s="40"/>
    </row>
    <row r="43" spans="1:32">
      <c r="A43" s="40"/>
      <c r="B43" s="40"/>
      <c r="C43" s="40"/>
      <c r="D43" s="40"/>
      <c r="E43" s="40"/>
      <c r="F43" s="40"/>
      <c r="G43" s="40"/>
      <c r="H43" s="40"/>
      <c r="I43" s="40"/>
      <c r="J43" s="40"/>
      <c r="K43" s="40"/>
      <c r="L43" s="40"/>
      <c r="M43" s="40"/>
      <c r="N43" s="40"/>
      <c r="O43" s="40"/>
      <c r="P43" s="40"/>
      <c r="Q43" s="40"/>
      <c r="R43" s="40"/>
      <c r="S43" s="40"/>
      <c r="T43" s="40"/>
      <c r="U43" s="40"/>
      <c r="V43" s="40"/>
      <c r="W43" s="40"/>
      <c r="X43" s="40"/>
      <c r="Y43" s="40"/>
      <c r="Z43" s="40"/>
      <c r="AA43" s="40"/>
      <c r="AB43" s="40"/>
      <c r="AC43" s="40"/>
      <c r="AD43" s="40"/>
      <c r="AE43" s="40"/>
      <c r="AF43" s="40"/>
    </row>
    <row r="44" spans="1:32">
      <c r="A44" s="40"/>
      <c r="B44" s="40"/>
      <c r="C44" s="40"/>
      <c r="D44" s="40"/>
      <c r="E44" s="40"/>
      <c r="F44" s="40"/>
      <c r="G44" s="40"/>
      <c r="H44" s="40"/>
      <c r="I44" s="40"/>
      <c r="J44" s="40"/>
      <c r="K44" s="40"/>
      <c r="L44" s="40"/>
      <c r="M44" s="40"/>
      <c r="N44" s="40"/>
      <c r="O44" s="40"/>
      <c r="P44" s="40"/>
      <c r="Q44" s="40"/>
      <c r="R44" s="40"/>
      <c r="S44" s="40"/>
      <c r="T44" s="40"/>
      <c r="U44" s="40"/>
      <c r="V44" s="40"/>
      <c r="W44" s="40"/>
      <c r="X44" s="40"/>
      <c r="Y44" s="40"/>
      <c r="Z44" s="40"/>
      <c r="AA44" s="40"/>
      <c r="AB44" s="40"/>
      <c r="AC44" s="40"/>
      <c r="AD44" s="40"/>
      <c r="AE44" s="40"/>
      <c r="AF44" s="40"/>
    </row>
    <row r="45" spans="1:32">
      <c r="A45" s="40"/>
      <c r="B45" s="40"/>
      <c r="C45" s="40"/>
      <c r="D45" s="40"/>
      <c r="E45" s="40"/>
      <c r="F45" s="40"/>
      <c r="G45" s="40"/>
      <c r="H45" s="40"/>
      <c r="I45" s="40"/>
      <c r="J45" s="40"/>
      <c r="K45" s="40"/>
      <c r="L45" s="40"/>
      <c r="M45" s="40"/>
      <c r="N45" s="40"/>
      <c r="O45" s="40"/>
      <c r="P45" s="40"/>
      <c r="Q45" s="40"/>
      <c r="R45" s="40"/>
      <c r="S45" s="40"/>
      <c r="T45" s="40"/>
      <c r="U45" s="40"/>
      <c r="V45" s="40"/>
      <c r="W45" s="40"/>
      <c r="X45" s="40"/>
      <c r="Y45" s="40"/>
      <c r="Z45" s="40"/>
      <c r="AA45" s="40"/>
      <c r="AB45" s="40"/>
      <c r="AC45" s="40"/>
      <c r="AD45" s="40"/>
      <c r="AE45" s="40"/>
      <c r="AF45" s="40"/>
    </row>
    <row r="46" spans="1:32">
      <c r="A46" s="40"/>
      <c r="B46" s="40"/>
      <c r="C46" s="40"/>
      <c r="D46" s="40"/>
      <c r="E46" s="40"/>
      <c r="F46" s="40"/>
      <c r="G46" s="40"/>
      <c r="H46" s="40"/>
      <c r="I46" s="40"/>
      <c r="J46" s="40"/>
      <c r="K46" s="40"/>
      <c r="L46" s="40"/>
      <c r="M46" s="40"/>
      <c r="N46" s="40"/>
      <c r="O46" s="40"/>
      <c r="P46" s="40"/>
      <c r="Q46" s="40"/>
      <c r="R46" s="40"/>
      <c r="S46" s="40"/>
      <c r="T46" s="40"/>
      <c r="U46" s="40"/>
      <c r="V46" s="40"/>
      <c r="W46" s="40"/>
      <c r="X46" s="40"/>
      <c r="Y46" s="40"/>
      <c r="Z46" s="40"/>
      <c r="AA46" s="40"/>
      <c r="AB46" s="40"/>
      <c r="AC46" s="40"/>
      <c r="AD46" s="40"/>
      <c r="AE46" s="40"/>
      <c r="AF46" s="40"/>
    </row>
    <row r="47" spans="1:32">
      <c r="A47" s="40"/>
      <c r="B47" s="40"/>
      <c r="C47" s="40"/>
      <c r="D47" s="40"/>
      <c r="E47" s="40"/>
      <c r="F47" s="40"/>
      <c r="G47" s="40"/>
      <c r="H47" s="40"/>
      <c r="I47" s="40"/>
      <c r="J47" s="40"/>
      <c r="K47" s="40"/>
      <c r="L47" s="40"/>
      <c r="M47" s="40"/>
      <c r="N47" s="40"/>
      <c r="O47" s="40"/>
      <c r="P47" s="40"/>
      <c r="Q47" s="40"/>
      <c r="R47" s="40"/>
      <c r="S47" s="40"/>
      <c r="T47" s="40"/>
      <c r="U47" s="40"/>
      <c r="V47" s="40"/>
      <c r="W47" s="40"/>
      <c r="X47" s="40"/>
      <c r="Y47" s="40"/>
      <c r="Z47" s="40"/>
      <c r="AA47" s="40"/>
      <c r="AB47" s="40"/>
      <c r="AC47" s="40"/>
      <c r="AD47" s="40"/>
      <c r="AE47" s="40"/>
      <c r="AF47" s="40"/>
    </row>
    <row r="48" spans="1:32">
      <c r="A48" s="40"/>
      <c r="B48" s="40"/>
      <c r="C48" s="40"/>
      <c r="D48" s="40"/>
      <c r="E48" s="40"/>
      <c r="F48" s="40"/>
      <c r="G48" s="40"/>
      <c r="H48" s="40"/>
      <c r="I48" s="40"/>
      <c r="J48" s="40"/>
      <c r="K48" s="40"/>
      <c r="L48" s="40"/>
      <c r="M48" s="40"/>
      <c r="N48" s="40"/>
      <c r="O48" s="40"/>
      <c r="P48" s="40"/>
      <c r="Q48" s="40"/>
      <c r="R48" s="40"/>
      <c r="S48" s="40"/>
      <c r="T48" s="40"/>
      <c r="U48" s="40"/>
      <c r="V48" s="40"/>
      <c r="W48" s="40"/>
      <c r="X48" s="40"/>
      <c r="Y48" s="40"/>
      <c r="Z48" s="40"/>
      <c r="AA48" s="40"/>
      <c r="AB48" s="40"/>
      <c r="AC48" s="40"/>
      <c r="AD48" s="40"/>
      <c r="AE48" s="40"/>
      <c r="AF48" s="40"/>
    </row>
    <row r="49" spans="1:32">
      <c r="A49" s="40"/>
      <c r="B49" s="40"/>
      <c r="C49" s="40"/>
      <c r="D49" s="40"/>
      <c r="E49" s="40"/>
      <c r="F49" s="40"/>
      <c r="G49" s="40"/>
      <c r="H49" s="40"/>
      <c r="I49" s="40"/>
      <c r="J49" s="40"/>
      <c r="K49" s="40"/>
      <c r="L49" s="40"/>
      <c r="M49" s="40"/>
      <c r="N49" s="40"/>
      <c r="O49" s="40"/>
      <c r="P49" s="40"/>
      <c r="Q49" s="40"/>
      <c r="R49" s="40"/>
      <c r="S49" s="40"/>
      <c r="T49" s="40"/>
      <c r="U49" s="40"/>
      <c r="V49" s="40"/>
      <c r="W49" s="40"/>
      <c r="X49" s="40"/>
      <c r="Y49" s="40"/>
      <c r="Z49" s="40"/>
      <c r="AA49" s="40"/>
      <c r="AB49" s="40"/>
      <c r="AC49" s="40"/>
      <c r="AD49" s="40"/>
      <c r="AE49" s="40"/>
      <c r="AF49" s="40"/>
    </row>
    <row r="50" spans="1:32">
      <c r="A50" s="40"/>
      <c r="B50" s="40"/>
      <c r="C50" s="40"/>
      <c r="D50" s="40"/>
      <c r="E50" s="40"/>
      <c r="F50" s="40"/>
      <c r="G50" s="40"/>
      <c r="H50" s="40"/>
      <c r="I50" s="40"/>
      <c r="J50" s="40"/>
      <c r="K50" s="40"/>
      <c r="L50" s="40"/>
      <c r="M50" s="40"/>
      <c r="N50" s="40"/>
      <c r="O50" s="40"/>
      <c r="P50" s="40"/>
      <c r="Q50" s="40"/>
      <c r="R50" s="40"/>
      <c r="S50" s="40"/>
      <c r="T50" s="40"/>
      <c r="U50" s="40"/>
      <c r="V50" s="40"/>
      <c r="W50" s="40"/>
      <c r="X50" s="40"/>
      <c r="Y50" s="40"/>
      <c r="Z50" s="40"/>
      <c r="AA50" s="40"/>
      <c r="AB50" s="40"/>
      <c r="AC50" s="40"/>
      <c r="AD50" s="40"/>
      <c r="AE50" s="40"/>
      <c r="AF50" s="40"/>
    </row>
    <row r="51" spans="1:32">
      <c r="A51" s="40"/>
      <c r="B51" s="40"/>
      <c r="C51" s="40"/>
      <c r="D51" s="40"/>
      <c r="E51" s="40"/>
      <c r="F51" s="40"/>
      <c r="G51" s="40"/>
      <c r="H51" s="40"/>
      <c r="I51" s="40"/>
      <c r="J51" s="40"/>
      <c r="K51" s="40"/>
      <c r="L51" s="40"/>
      <c r="M51" s="40"/>
      <c r="N51" s="40"/>
      <c r="O51" s="40"/>
      <c r="P51" s="40"/>
      <c r="Q51" s="40"/>
      <c r="R51" s="40"/>
      <c r="S51" s="40"/>
      <c r="T51" s="40"/>
      <c r="U51" s="40"/>
      <c r="V51" s="40"/>
      <c r="W51" s="40"/>
      <c r="X51" s="40"/>
      <c r="Y51" s="40"/>
      <c r="Z51" s="40"/>
      <c r="AA51" s="40"/>
      <c r="AB51" s="40"/>
      <c r="AC51" s="40"/>
      <c r="AD51" s="40"/>
      <c r="AE51" s="40"/>
      <c r="AF51" s="40"/>
    </row>
    <row r="52" spans="1:32">
      <c r="A52" s="40"/>
      <c r="B52" s="40"/>
      <c r="C52" s="40"/>
      <c r="D52" s="40"/>
      <c r="E52" s="40"/>
      <c r="F52" s="40"/>
      <c r="G52" s="40"/>
      <c r="H52" s="40"/>
      <c r="I52" s="40"/>
      <c r="J52" s="40"/>
      <c r="K52" s="40"/>
      <c r="L52" s="40"/>
      <c r="M52" s="40"/>
      <c r="N52" s="40"/>
      <c r="O52" s="40"/>
      <c r="P52" s="40"/>
      <c r="Q52" s="40"/>
      <c r="R52" s="40"/>
      <c r="S52" s="40"/>
      <c r="T52" s="40"/>
      <c r="U52" s="40"/>
      <c r="V52" s="40"/>
      <c r="W52" s="40"/>
      <c r="X52" s="40"/>
      <c r="Y52" s="40"/>
      <c r="Z52" s="40"/>
      <c r="AA52" s="40"/>
      <c r="AB52" s="40"/>
      <c r="AC52" s="40"/>
      <c r="AD52" s="40"/>
      <c r="AE52" s="40"/>
      <c r="AF52" s="40"/>
    </row>
    <row r="53" spans="1:32">
      <c r="A53" s="40"/>
      <c r="B53" s="40"/>
      <c r="C53" s="40"/>
      <c r="D53" s="40"/>
      <c r="E53" s="40"/>
      <c r="F53" s="40"/>
      <c r="G53" s="40"/>
      <c r="H53" s="40"/>
      <c r="I53" s="40"/>
      <c r="J53" s="40"/>
      <c r="K53" s="40"/>
      <c r="L53" s="40"/>
      <c r="M53" s="40"/>
      <c r="N53" s="40"/>
      <c r="O53" s="40"/>
      <c r="P53" s="40"/>
      <c r="Q53" s="40"/>
      <c r="R53" s="40"/>
      <c r="S53" s="40"/>
      <c r="T53" s="40"/>
      <c r="U53" s="40"/>
      <c r="V53" s="40"/>
      <c r="W53" s="40"/>
      <c r="X53" s="40"/>
      <c r="Y53" s="40"/>
      <c r="Z53" s="40"/>
      <c r="AA53" s="40"/>
      <c r="AB53" s="40"/>
      <c r="AC53" s="40"/>
      <c r="AD53" s="40"/>
      <c r="AE53" s="40"/>
      <c r="AF53" s="40"/>
    </row>
    <row r="54" spans="1:32">
      <c r="A54" s="40"/>
      <c r="B54" s="40"/>
      <c r="C54" s="40"/>
      <c r="D54" s="40"/>
      <c r="E54" s="40"/>
      <c r="F54" s="40"/>
      <c r="G54" s="40"/>
      <c r="H54" s="40"/>
      <c r="I54" s="40"/>
      <c r="J54" s="40"/>
      <c r="K54" s="40"/>
      <c r="L54" s="40"/>
      <c r="M54" s="40"/>
      <c r="N54" s="40"/>
      <c r="O54" s="40"/>
      <c r="P54" s="40"/>
      <c r="Q54" s="40"/>
      <c r="R54" s="40"/>
      <c r="S54" s="40"/>
      <c r="T54" s="40"/>
      <c r="U54" s="40"/>
      <c r="V54" s="40"/>
      <c r="W54" s="40"/>
      <c r="X54" s="40"/>
      <c r="Y54" s="40"/>
      <c r="Z54" s="40"/>
      <c r="AA54" s="40"/>
      <c r="AB54" s="40"/>
      <c r="AC54" s="40"/>
      <c r="AD54" s="40"/>
      <c r="AE54" s="40"/>
      <c r="AF54" s="40"/>
    </row>
    <row r="55" spans="1:32">
      <c r="A55" s="40"/>
      <c r="B55" s="40"/>
      <c r="C55" s="40"/>
      <c r="D55" s="40"/>
      <c r="E55" s="40"/>
      <c r="F55" s="40"/>
      <c r="G55" s="40"/>
      <c r="H55" s="40"/>
      <c r="I55" s="40"/>
      <c r="J55" s="40"/>
      <c r="K55" s="40"/>
      <c r="L55" s="40"/>
      <c r="M55" s="40"/>
      <c r="N55" s="40"/>
      <c r="O55" s="40"/>
      <c r="P55" s="40"/>
      <c r="Q55" s="40"/>
      <c r="R55" s="40"/>
      <c r="S55" s="40"/>
      <c r="T55" s="40"/>
      <c r="U55" s="40"/>
      <c r="V55" s="40"/>
      <c r="W55" s="40"/>
      <c r="X55" s="40"/>
      <c r="Y55" s="40"/>
      <c r="Z55" s="40"/>
      <c r="AA55" s="40"/>
      <c r="AB55" s="40"/>
      <c r="AC55" s="40"/>
      <c r="AD55" s="40"/>
      <c r="AE55" s="40"/>
      <c r="AF55" s="40"/>
    </row>
    <row r="56" spans="1:32">
      <c r="A56" s="40"/>
      <c r="B56" s="40"/>
      <c r="C56" s="40"/>
      <c r="D56" s="40"/>
      <c r="E56" s="40"/>
      <c r="F56" s="40"/>
      <c r="G56" s="40"/>
      <c r="H56" s="40"/>
      <c r="I56" s="40"/>
      <c r="J56" s="40"/>
      <c r="K56" s="40"/>
      <c r="L56" s="40"/>
      <c r="M56" s="40"/>
      <c r="N56" s="40"/>
      <c r="O56" s="40"/>
      <c r="P56" s="40"/>
      <c r="Q56" s="40"/>
      <c r="R56" s="40"/>
      <c r="S56" s="40"/>
      <c r="T56" s="40"/>
      <c r="U56" s="40"/>
      <c r="V56" s="40"/>
      <c r="W56" s="40"/>
      <c r="X56" s="40"/>
      <c r="Y56" s="40"/>
      <c r="Z56" s="40"/>
      <c r="AA56" s="40"/>
      <c r="AB56" s="40"/>
      <c r="AC56" s="40"/>
      <c r="AD56" s="40"/>
      <c r="AE56" s="40"/>
      <c r="AF56" s="40"/>
    </row>
    <row r="57" spans="1:32">
      <c r="A57" s="40"/>
      <c r="B57" s="40"/>
      <c r="C57" s="40"/>
      <c r="D57" s="40"/>
      <c r="E57" s="40"/>
      <c r="F57" s="40"/>
      <c r="G57" s="40"/>
      <c r="H57" s="40"/>
      <c r="I57" s="40"/>
      <c r="J57" s="40"/>
      <c r="K57" s="40"/>
      <c r="L57" s="40"/>
      <c r="M57" s="40"/>
      <c r="N57" s="40"/>
      <c r="O57" s="40"/>
      <c r="P57" s="40"/>
      <c r="Q57" s="40"/>
      <c r="R57" s="40"/>
      <c r="S57" s="40"/>
      <c r="T57" s="40"/>
      <c r="U57" s="40"/>
      <c r="V57" s="40"/>
      <c r="W57" s="40"/>
      <c r="X57" s="40"/>
      <c r="Y57" s="40"/>
      <c r="Z57" s="40"/>
      <c r="AA57" s="40"/>
      <c r="AB57" s="40"/>
      <c r="AC57" s="40"/>
      <c r="AD57" s="40"/>
      <c r="AE57" s="40"/>
      <c r="AF57" s="40"/>
    </row>
    <row r="58" spans="1:32">
      <c r="A58" s="40"/>
      <c r="B58" s="40"/>
      <c r="C58" s="40"/>
      <c r="D58" s="40"/>
      <c r="E58" s="40"/>
      <c r="F58" s="40"/>
      <c r="G58" s="40"/>
      <c r="H58" s="40"/>
      <c r="I58" s="40"/>
      <c r="J58" s="40"/>
      <c r="K58" s="40"/>
      <c r="L58" s="40"/>
      <c r="M58" s="40"/>
      <c r="N58" s="40"/>
      <c r="O58" s="40"/>
      <c r="P58" s="40"/>
      <c r="Q58" s="40"/>
      <c r="R58" s="40"/>
      <c r="S58" s="40"/>
      <c r="T58" s="40"/>
      <c r="U58" s="40"/>
      <c r="V58" s="40"/>
      <c r="W58" s="40"/>
      <c r="X58" s="40"/>
      <c r="Y58" s="40"/>
      <c r="Z58" s="40"/>
      <c r="AA58" s="40"/>
      <c r="AB58" s="40"/>
      <c r="AC58" s="40"/>
      <c r="AD58" s="40"/>
      <c r="AE58" s="40"/>
      <c r="AF58" s="40"/>
    </row>
    <row r="59" spans="1:32">
      <c r="A59" s="40"/>
      <c r="B59" s="40"/>
      <c r="C59" s="40"/>
      <c r="D59" s="40"/>
      <c r="E59" s="40"/>
      <c r="F59" s="40"/>
      <c r="G59" s="40"/>
      <c r="H59" s="40"/>
      <c r="I59" s="40"/>
      <c r="J59" s="40"/>
      <c r="K59" s="40"/>
      <c r="L59" s="40"/>
      <c r="M59" s="40"/>
      <c r="N59" s="40"/>
      <c r="O59" s="40"/>
      <c r="P59" s="40"/>
      <c r="Q59" s="40"/>
      <c r="R59" s="40"/>
      <c r="S59" s="40"/>
      <c r="T59" s="40"/>
      <c r="U59" s="40"/>
      <c r="V59" s="40"/>
      <c r="W59" s="40"/>
      <c r="X59" s="40"/>
      <c r="Y59" s="40"/>
      <c r="Z59" s="40"/>
      <c r="AA59" s="40"/>
      <c r="AB59" s="40"/>
      <c r="AC59" s="40"/>
      <c r="AD59" s="40"/>
      <c r="AE59" s="40"/>
      <c r="AF59" s="40"/>
    </row>
    <row r="60" spans="1:32">
      <c r="A60" s="40"/>
      <c r="B60" s="40"/>
      <c r="C60" s="40"/>
      <c r="D60" s="40"/>
      <c r="E60" s="40"/>
      <c r="F60" s="40"/>
      <c r="G60" s="40"/>
      <c r="H60" s="40"/>
      <c r="I60" s="40"/>
      <c r="J60" s="40"/>
      <c r="K60" s="40"/>
      <c r="L60" s="40"/>
      <c r="M60" s="40"/>
      <c r="N60" s="40"/>
      <c r="O60" s="40"/>
      <c r="P60" s="40"/>
      <c r="Q60" s="40"/>
      <c r="R60" s="40"/>
      <c r="S60" s="40"/>
      <c r="T60" s="40"/>
      <c r="U60" s="40"/>
      <c r="V60" s="40"/>
      <c r="W60" s="40"/>
      <c r="X60" s="40"/>
      <c r="Y60" s="40"/>
      <c r="Z60" s="40"/>
      <c r="AA60" s="40"/>
      <c r="AB60" s="40"/>
      <c r="AC60" s="40"/>
      <c r="AD60" s="40"/>
      <c r="AE60" s="40"/>
      <c r="AF60" s="40"/>
    </row>
    <row r="61" spans="1:32">
      <c r="A61" s="40"/>
      <c r="B61" s="40"/>
      <c r="C61" s="40"/>
      <c r="D61" s="40"/>
      <c r="E61" s="40"/>
      <c r="F61" s="40"/>
      <c r="G61" s="40"/>
      <c r="H61" s="40"/>
      <c r="I61" s="40"/>
      <c r="J61" s="40"/>
      <c r="K61" s="40"/>
      <c r="L61" s="40"/>
      <c r="M61" s="40"/>
      <c r="N61" s="40"/>
      <c r="O61" s="40"/>
      <c r="P61" s="40"/>
      <c r="Q61" s="40"/>
      <c r="R61" s="40"/>
      <c r="S61" s="40"/>
      <c r="T61" s="40"/>
      <c r="U61" s="40"/>
      <c r="V61" s="40"/>
      <c r="W61" s="40"/>
      <c r="X61" s="40"/>
      <c r="Y61" s="40"/>
      <c r="Z61" s="40"/>
      <c r="AA61" s="40"/>
      <c r="AB61" s="40"/>
      <c r="AC61" s="40"/>
      <c r="AD61" s="40"/>
      <c r="AE61" s="40"/>
      <c r="AF61" s="40"/>
    </row>
    <row r="62" spans="1:32">
      <c r="A62" s="40"/>
      <c r="B62" s="40"/>
      <c r="C62" s="40"/>
      <c r="D62" s="40"/>
      <c r="E62" s="40"/>
      <c r="F62" s="40"/>
      <c r="G62" s="40"/>
      <c r="H62" s="40"/>
      <c r="I62" s="40"/>
      <c r="J62" s="40"/>
      <c r="K62" s="40"/>
      <c r="L62" s="40"/>
      <c r="M62" s="40"/>
      <c r="N62" s="40"/>
      <c r="O62" s="40"/>
      <c r="P62" s="40"/>
      <c r="Q62" s="40"/>
      <c r="R62" s="40"/>
      <c r="S62" s="40"/>
      <c r="T62" s="40"/>
      <c r="U62" s="40"/>
      <c r="V62" s="40"/>
      <c r="W62" s="40"/>
      <c r="X62" s="40"/>
      <c r="Y62" s="40"/>
      <c r="Z62" s="40"/>
      <c r="AA62" s="40"/>
      <c r="AB62" s="40"/>
      <c r="AC62" s="40"/>
      <c r="AD62" s="40"/>
      <c r="AE62" s="40"/>
      <c r="AF62" s="40"/>
    </row>
    <row r="63" spans="1:32">
      <c r="A63" s="40"/>
      <c r="B63" s="40"/>
      <c r="C63" s="40"/>
      <c r="D63" s="40"/>
      <c r="E63" s="40"/>
      <c r="F63" s="40"/>
      <c r="G63" s="40"/>
      <c r="H63" s="40"/>
      <c r="I63" s="40"/>
      <c r="J63" s="40"/>
      <c r="K63" s="40"/>
      <c r="L63" s="40"/>
      <c r="M63" s="40"/>
      <c r="N63" s="40"/>
      <c r="O63" s="40"/>
      <c r="P63" s="40"/>
      <c r="Q63" s="40"/>
      <c r="R63" s="40"/>
      <c r="S63" s="40"/>
      <c r="T63" s="40"/>
      <c r="U63" s="40"/>
      <c r="V63" s="40"/>
      <c r="W63" s="40"/>
      <c r="X63" s="40"/>
      <c r="Y63" s="40"/>
      <c r="Z63" s="40"/>
      <c r="AA63" s="40"/>
      <c r="AB63" s="40"/>
      <c r="AC63" s="40"/>
      <c r="AD63" s="40"/>
      <c r="AE63" s="40"/>
      <c r="AF63" s="40"/>
    </row>
    <row r="64" spans="1:32">
      <c r="A64" s="40"/>
      <c r="B64" s="40"/>
      <c r="C64" s="40"/>
      <c r="D64" s="40"/>
      <c r="E64" s="40"/>
      <c r="F64" s="40"/>
      <c r="G64" s="40"/>
      <c r="H64" s="40"/>
      <c r="I64" s="40"/>
      <c r="J64" s="40"/>
      <c r="K64" s="40"/>
      <c r="L64" s="40"/>
      <c r="M64" s="40"/>
      <c r="N64" s="40"/>
      <c r="O64" s="40"/>
      <c r="P64" s="40"/>
      <c r="Q64" s="40"/>
      <c r="R64" s="40"/>
      <c r="S64" s="40"/>
      <c r="T64" s="40"/>
      <c r="U64" s="40"/>
      <c r="V64" s="40"/>
      <c r="W64" s="40"/>
      <c r="X64" s="40"/>
      <c r="Y64" s="40"/>
      <c r="Z64" s="40"/>
      <c r="AA64" s="40"/>
      <c r="AB64" s="40"/>
      <c r="AC64" s="40"/>
      <c r="AD64" s="40"/>
      <c r="AE64" s="40"/>
      <c r="AF64" s="40"/>
    </row>
    <row r="65" spans="1:32">
      <c r="A65" s="40"/>
      <c r="B65" s="40"/>
      <c r="C65" s="40"/>
      <c r="D65" s="40"/>
      <c r="E65" s="40"/>
      <c r="F65" s="40"/>
      <c r="G65" s="40"/>
      <c r="H65" s="40"/>
      <c r="I65" s="40"/>
      <c r="J65" s="40"/>
      <c r="K65" s="40"/>
      <c r="L65" s="40"/>
      <c r="M65" s="40"/>
      <c r="N65" s="40"/>
      <c r="O65" s="40"/>
      <c r="P65" s="40"/>
      <c r="Q65" s="40"/>
      <c r="R65" s="40"/>
      <c r="S65" s="40"/>
      <c r="T65" s="40"/>
      <c r="U65" s="40"/>
      <c r="V65" s="40"/>
      <c r="W65" s="40"/>
      <c r="X65" s="40"/>
      <c r="Y65" s="40"/>
      <c r="Z65" s="40"/>
      <c r="AA65" s="40"/>
      <c r="AB65" s="40"/>
      <c r="AC65" s="40"/>
      <c r="AD65" s="40"/>
      <c r="AE65" s="40"/>
      <c r="AF65" s="40"/>
    </row>
    <row r="66" spans="1:32">
      <c r="A66" s="40"/>
      <c r="B66" s="40"/>
      <c r="C66" s="40"/>
      <c r="D66" s="40"/>
      <c r="E66" s="40"/>
      <c r="F66" s="40"/>
      <c r="G66" s="40"/>
      <c r="H66" s="40"/>
      <c r="I66" s="40"/>
      <c r="J66" s="40"/>
      <c r="K66" s="40"/>
      <c r="L66" s="40"/>
      <c r="M66" s="40"/>
      <c r="N66" s="40"/>
      <c r="O66" s="40"/>
      <c r="P66" s="40"/>
      <c r="Q66" s="40"/>
      <c r="R66" s="40"/>
      <c r="S66" s="40"/>
      <c r="T66" s="40"/>
      <c r="U66" s="40"/>
      <c r="V66" s="40"/>
      <c r="W66" s="40"/>
      <c r="X66" s="40"/>
      <c r="Y66" s="40"/>
      <c r="Z66" s="40"/>
      <c r="AA66" s="40"/>
      <c r="AB66" s="40"/>
      <c r="AC66" s="40"/>
      <c r="AD66" s="40"/>
      <c r="AE66" s="40"/>
      <c r="AF66" s="40"/>
    </row>
    <row r="67" spans="1:32">
      <c r="A67" s="40"/>
      <c r="B67" s="40"/>
      <c r="C67" s="40"/>
      <c r="D67" s="40"/>
      <c r="E67" s="40"/>
      <c r="F67" s="40"/>
      <c r="G67" s="40"/>
      <c r="H67" s="40"/>
      <c r="I67" s="40"/>
      <c r="J67" s="40"/>
      <c r="K67" s="40"/>
      <c r="L67" s="40"/>
      <c r="M67" s="40"/>
      <c r="N67" s="40"/>
      <c r="O67" s="40"/>
      <c r="P67" s="40"/>
      <c r="Q67" s="40"/>
      <c r="R67" s="40"/>
      <c r="S67" s="40"/>
      <c r="T67" s="40"/>
      <c r="U67" s="40"/>
      <c r="V67" s="40"/>
      <c r="W67" s="40"/>
      <c r="X67" s="40"/>
      <c r="Y67" s="40"/>
      <c r="Z67" s="40"/>
      <c r="AA67" s="40"/>
      <c r="AB67" s="40"/>
      <c r="AC67" s="40"/>
      <c r="AD67" s="40"/>
      <c r="AE67" s="40"/>
      <c r="AF67" s="40"/>
    </row>
    <row r="68" spans="1:32">
      <c r="A68" s="40"/>
      <c r="B68" s="40"/>
      <c r="C68" s="40"/>
      <c r="D68" s="40"/>
      <c r="E68" s="40"/>
      <c r="F68" s="40"/>
      <c r="G68" s="40"/>
      <c r="H68" s="40"/>
      <c r="I68" s="40"/>
      <c r="J68" s="40"/>
      <c r="K68" s="40"/>
      <c r="L68" s="40"/>
      <c r="M68" s="40"/>
      <c r="N68" s="40"/>
      <c r="O68" s="40"/>
      <c r="P68" s="40"/>
      <c r="Q68" s="40"/>
      <c r="R68" s="40"/>
      <c r="S68" s="40"/>
      <c r="T68" s="40"/>
      <c r="U68" s="40"/>
      <c r="V68" s="40"/>
      <c r="W68" s="40"/>
      <c r="X68" s="40"/>
      <c r="Y68" s="40"/>
      <c r="Z68" s="40"/>
      <c r="AA68" s="40"/>
      <c r="AB68" s="40"/>
      <c r="AC68" s="40"/>
      <c r="AD68" s="40"/>
      <c r="AE68" s="40"/>
      <c r="AF68" s="40"/>
    </row>
    <row r="69" spans="1:32">
      <c r="A69" s="40"/>
      <c r="B69" s="40"/>
      <c r="C69" s="40"/>
      <c r="D69" s="40"/>
      <c r="E69" s="40"/>
      <c r="F69" s="40"/>
      <c r="G69" s="40"/>
      <c r="H69" s="40"/>
      <c r="I69" s="40"/>
      <c r="J69" s="40"/>
      <c r="K69" s="40"/>
      <c r="L69" s="40"/>
      <c r="M69" s="40"/>
      <c r="N69" s="40"/>
      <c r="O69" s="40"/>
      <c r="P69" s="40"/>
      <c r="Q69" s="40"/>
      <c r="R69" s="40"/>
      <c r="S69" s="40"/>
      <c r="T69" s="40"/>
      <c r="U69" s="40"/>
      <c r="V69" s="40"/>
      <c r="W69" s="40"/>
      <c r="X69" s="40"/>
      <c r="Y69" s="40"/>
      <c r="Z69" s="40"/>
      <c r="AA69" s="40"/>
      <c r="AB69" s="40"/>
      <c r="AC69" s="40"/>
      <c r="AD69" s="40"/>
      <c r="AE69" s="40"/>
      <c r="AF69" s="40"/>
    </row>
    <row r="70" spans="1:32">
      <c r="A70" s="40"/>
      <c r="B70" s="40"/>
      <c r="C70" s="40"/>
      <c r="D70" s="40"/>
      <c r="E70" s="40"/>
      <c r="F70" s="40"/>
      <c r="G70" s="40"/>
      <c r="H70" s="40"/>
      <c r="I70" s="40"/>
      <c r="J70" s="40"/>
      <c r="K70" s="40"/>
      <c r="L70" s="40"/>
      <c r="M70" s="40"/>
      <c r="N70" s="40"/>
      <c r="O70" s="40"/>
      <c r="P70" s="40"/>
      <c r="Q70" s="40"/>
      <c r="R70" s="40"/>
      <c r="S70" s="40"/>
      <c r="T70" s="40"/>
      <c r="U70" s="40"/>
      <c r="V70" s="40"/>
      <c r="W70" s="40"/>
      <c r="X70" s="40"/>
      <c r="Y70" s="40"/>
      <c r="Z70" s="40"/>
      <c r="AA70" s="40"/>
      <c r="AB70" s="40"/>
      <c r="AC70" s="40"/>
      <c r="AD70" s="40"/>
      <c r="AE70" s="40"/>
      <c r="AF70" s="40"/>
    </row>
    <row r="71" spans="1:32">
      <c r="A71" s="40"/>
      <c r="B71" s="40"/>
      <c r="C71" s="40"/>
      <c r="D71" s="40"/>
      <c r="E71" s="40"/>
      <c r="F71" s="40"/>
      <c r="G71" s="40"/>
      <c r="H71" s="40"/>
      <c r="I71" s="40"/>
      <c r="J71" s="40"/>
      <c r="K71" s="40"/>
      <c r="L71" s="40"/>
      <c r="M71" s="40"/>
      <c r="N71" s="40"/>
      <c r="O71" s="40"/>
      <c r="P71" s="40"/>
      <c r="Q71" s="40"/>
      <c r="R71" s="40"/>
      <c r="S71" s="40"/>
      <c r="T71" s="40"/>
      <c r="U71" s="40"/>
      <c r="V71" s="40"/>
      <c r="W71" s="40"/>
      <c r="X71" s="40"/>
      <c r="Y71" s="40"/>
      <c r="Z71" s="40"/>
      <c r="AA71" s="40"/>
      <c r="AB71" s="40"/>
      <c r="AC71" s="40"/>
      <c r="AD71" s="40"/>
      <c r="AE71" s="40"/>
      <c r="AF71" s="40"/>
    </row>
    <row r="72" spans="1:32">
      <c r="A72" s="40"/>
      <c r="B72" s="40"/>
      <c r="C72" s="40"/>
      <c r="D72" s="40"/>
      <c r="E72" s="40"/>
      <c r="F72" s="40"/>
      <c r="G72" s="40"/>
      <c r="H72" s="40"/>
      <c r="I72" s="40"/>
      <c r="J72" s="40"/>
      <c r="K72" s="40"/>
      <c r="L72" s="40"/>
      <c r="M72" s="40"/>
      <c r="N72" s="40"/>
      <c r="O72" s="40"/>
      <c r="P72" s="40"/>
      <c r="Q72" s="40"/>
      <c r="R72" s="40"/>
      <c r="S72" s="40"/>
      <c r="T72" s="40"/>
      <c r="U72" s="40"/>
      <c r="V72" s="40"/>
      <c r="W72" s="40"/>
      <c r="X72" s="40"/>
      <c r="Y72" s="40"/>
      <c r="Z72" s="40"/>
      <c r="AA72" s="40"/>
      <c r="AB72" s="40"/>
      <c r="AC72" s="40"/>
      <c r="AD72" s="40"/>
      <c r="AE72" s="40"/>
      <c r="AF72" s="40"/>
    </row>
    <row r="73" spans="1:32">
      <c r="A73" s="40"/>
      <c r="B73" s="40"/>
      <c r="C73" s="40"/>
      <c r="D73" s="40"/>
      <c r="E73" s="40"/>
      <c r="F73" s="40"/>
      <c r="G73" s="40"/>
      <c r="H73" s="40"/>
      <c r="I73" s="40"/>
      <c r="J73" s="40"/>
      <c r="K73" s="40"/>
      <c r="L73" s="40"/>
      <c r="M73" s="40"/>
      <c r="N73" s="40"/>
      <c r="O73" s="40"/>
      <c r="P73" s="40"/>
      <c r="Q73" s="40"/>
      <c r="R73" s="40"/>
      <c r="S73" s="40"/>
      <c r="T73" s="40"/>
      <c r="U73" s="40"/>
      <c r="V73" s="40"/>
      <c r="W73" s="40"/>
      <c r="X73" s="40"/>
      <c r="Y73" s="40"/>
      <c r="Z73" s="40"/>
      <c r="AA73" s="40"/>
      <c r="AB73" s="40"/>
      <c r="AC73" s="40"/>
      <c r="AD73" s="40"/>
      <c r="AE73" s="40"/>
      <c r="AF73" s="40"/>
    </row>
    <row r="74" spans="1:32">
      <c r="A74" s="40"/>
      <c r="B74" s="40"/>
      <c r="C74" s="40"/>
      <c r="D74" s="40"/>
      <c r="E74" s="40"/>
      <c r="F74" s="40"/>
      <c r="G74" s="40"/>
      <c r="H74" s="40"/>
      <c r="I74" s="40"/>
      <c r="J74" s="40"/>
      <c r="K74" s="40"/>
      <c r="L74" s="40"/>
      <c r="M74" s="40"/>
      <c r="N74" s="40"/>
      <c r="O74" s="40"/>
      <c r="P74" s="40"/>
      <c r="Q74" s="40"/>
      <c r="R74" s="40"/>
      <c r="S74" s="40"/>
      <c r="T74" s="40"/>
      <c r="U74" s="40"/>
      <c r="V74" s="40"/>
      <c r="W74" s="40"/>
      <c r="X74" s="40"/>
      <c r="Y74" s="40"/>
      <c r="Z74" s="40"/>
      <c r="AA74" s="40"/>
      <c r="AB74" s="40"/>
      <c r="AC74" s="40"/>
      <c r="AD74" s="40"/>
      <c r="AE74" s="40"/>
      <c r="AF74" s="40"/>
    </row>
    <row r="75" spans="1:32">
      <c r="A75" s="40"/>
      <c r="B75" s="40"/>
      <c r="C75" s="40"/>
      <c r="D75" s="40"/>
      <c r="E75" s="40"/>
      <c r="F75" s="40"/>
      <c r="G75" s="40"/>
      <c r="H75" s="40"/>
      <c r="I75" s="40"/>
      <c r="J75" s="40"/>
      <c r="K75" s="40"/>
      <c r="L75" s="40"/>
      <c r="M75" s="40"/>
      <c r="N75" s="40"/>
      <c r="O75" s="40"/>
      <c r="P75" s="40"/>
      <c r="Q75" s="40"/>
      <c r="R75" s="40"/>
      <c r="S75" s="40"/>
      <c r="T75" s="40"/>
      <c r="U75" s="40"/>
      <c r="V75" s="40"/>
      <c r="W75" s="40"/>
      <c r="X75" s="40"/>
      <c r="Y75" s="40"/>
      <c r="Z75" s="40"/>
      <c r="AA75" s="40"/>
      <c r="AB75" s="40"/>
      <c r="AC75" s="40"/>
      <c r="AD75" s="40"/>
      <c r="AE75" s="40"/>
      <c r="AF75" s="40"/>
    </row>
    <row r="76" spans="1:32">
      <c r="A76" s="40"/>
      <c r="B76" s="40"/>
      <c r="C76" s="40"/>
      <c r="D76" s="40"/>
      <c r="E76" s="40"/>
      <c r="F76" s="40"/>
      <c r="G76" s="40"/>
      <c r="H76" s="40"/>
      <c r="I76" s="40"/>
      <c r="J76" s="40"/>
      <c r="K76" s="40"/>
      <c r="L76" s="40"/>
      <c r="M76" s="40"/>
      <c r="N76" s="40"/>
      <c r="O76" s="40"/>
      <c r="P76" s="40"/>
      <c r="Q76" s="40"/>
      <c r="R76" s="40"/>
      <c r="S76" s="40"/>
      <c r="T76" s="40"/>
      <c r="U76" s="40"/>
      <c r="V76" s="40"/>
      <c r="W76" s="40"/>
      <c r="X76" s="40"/>
      <c r="Y76" s="40"/>
      <c r="Z76" s="40"/>
      <c r="AA76" s="40"/>
      <c r="AB76" s="40"/>
      <c r="AC76" s="40"/>
      <c r="AD76" s="40"/>
      <c r="AE76" s="40"/>
      <c r="AF76" s="40"/>
    </row>
    <row r="77" spans="1:32">
      <c r="A77" s="40"/>
      <c r="B77" s="40"/>
      <c r="C77" s="40"/>
      <c r="D77" s="40"/>
      <c r="E77" s="40"/>
      <c r="F77" s="40"/>
      <c r="G77" s="40"/>
      <c r="H77" s="40"/>
      <c r="I77" s="40"/>
      <c r="J77" s="40"/>
      <c r="K77" s="40"/>
      <c r="L77" s="40"/>
      <c r="M77" s="40"/>
      <c r="N77" s="40"/>
      <c r="O77" s="40"/>
      <c r="P77" s="40"/>
      <c r="Q77" s="40"/>
      <c r="R77" s="40"/>
      <c r="S77" s="40"/>
      <c r="T77" s="40"/>
      <c r="U77" s="40"/>
      <c r="V77" s="40"/>
      <c r="W77" s="40"/>
      <c r="X77" s="40"/>
      <c r="Y77" s="40"/>
      <c r="Z77" s="40"/>
      <c r="AA77" s="40"/>
      <c r="AB77" s="40"/>
      <c r="AC77" s="40"/>
      <c r="AD77" s="40"/>
      <c r="AE77" s="40"/>
      <c r="AF77" s="40"/>
    </row>
    <row r="78" spans="1:32">
      <c r="A78" s="40"/>
      <c r="B78" s="40"/>
      <c r="C78" s="40"/>
      <c r="D78" s="40"/>
      <c r="E78" s="40"/>
      <c r="F78" s="40"/>
      <c r="G78" s="40"/>
      <c r="H78" s="40"/>
      <c r="I78" s="40"/>
      <c r="J78" s="40"/>
      <c r="K78" s="40"/>
      <c r="L78" s="40"/>
      <c r="M78" s="40"/>
      <c r="N78" s="40"/>
      <c r="O78" s="40"/>
      <c r="P78" s="40"/>
      <c r="Q78" s="40"/>
      <c r="R78" s="40"/>
      <c r="S78" s="40"/>
      <c r="T78" s="40"/>
      <c r="U78" s="40"/>
      <c r="V78" s="40"/>
      <c r="W78" s="40"/>
      <c r="X78" s="40"/>
      <c r="Y78" s="40"/>
      <c r="Z78" s="40"/>
      <c r="AA78" s="40"/>
      <c r="AB78" s="40"/>
      <c r="AC78" s="40"/>
      <c r="AD78" s="40"/>
      <c r="AE78" s="40"/>
      <c r="AF78" s="40"/>
    </row>
    <row r="79" spans="1:32">
      <c r="A79" s="40"/>
      <c r="B79" s="40"/>
      <c r="C79" s="40"/>
      <c r="D79" s="40"/>
      <c r="E79" s="40"/>
      <c r="F79" s="40"/>
      <c r="G79" s="40"/>
      <c r="H79" s="40"/>
      <c r="I79" s="40"/>
      <c r="J79" s="40"/>
      <c r="K79" s="40"/>
      <c r="L79" s="40"/>
      <c r="M79" s="40"/>
      <c r="N79" s="40"/>
      <c r="O79" s="40"/>
      <c r="P79" s="40"/>
      <c r="Q79" s="40"/>
      <c r="R79" s="40"/>
      <c r="S79" s="40"/>
      <c r="T79" s="40"/>
      <c r="U79" s="40"/>
      <c r="V79" s="40"/>
      <c r="W79" s="40"/>
      <c r="X79" s="40"/>
      <c r="Y79" s="40"/>
      <c r="Z79" s="40"/>
      <c r="AA79" s="40"/>
      <c r="AB79" s="40"/>
      <c r="AC79" s="40"/>
      <c r="AD79" s="40"/>
      <c r="AE79" s="40"/>
      <c r="AF79" s="40"/>
    </row>
    <row r="80" spans="1:32">
      <c r="A80" s="40"/>
      <c r="B80" s="40"/>
      <c r="C80" s="40"/>
      <c r="D80" s="40"/>
      <c r="E80" s="40"/>
      <c r="F80" s="40"/>
      <c r="G80" s="40"/>
      <c r="H80" s="40"/>
      <c r="I80" s="40"/>
      <c r="J80" s="40"/>
      <c r="K80" s="40"/>
      <c r="L80" s="40"/>
      <c r="M80" s="40"/>
      <c r="N80" s="40"/>
      <c r="O80" s="40"/>
      <c r="P80" s="40"/>
      <c r="Q80" s="40"/>
      <c r="R80" s="40"/>
      <c r="S80" s="40"/>
      <c r="T80" s="40"/>
      <c r="U80" s="40"/>
      <c r="V80" s="40"/>
      <c r="W80" s="40"/>
      <c r="X80" s="40"/>
      <c r="Y80" s="40"/>
      <c r="Z80" s="40"/>
      <c r="AA80" s="40"/>
      <c r="AB80" s="40"/>
      <c r="AC80" s="40"/>
      <c r="AD80" s="40"/>
      <c r="AE80" s="40"/>
      <c r="AF80" s="40"/>
    </row>
  </sheetData>
  <mergeCells count="6">
    <mergeCell ref="A27:AF27"/>
    <mergeCell ref="A1:AF1"/>
    <mergeCell ref="A2:AF2"/>
    <mergeCell ref="A3:AF3"/>
    <mergeCell ref="A10:AF10"/>
    <mergeCell ref="A21:AF21"/>
  </mergeCells>
  <conditionalFormatting sqref="C34">
    <cfRule type="containsText" dxfId="1" priority="1" operator="containsText" text="OK"/>
    <cfRule type="containsText" dxfId="0" priority="2" operator="containsText" text="KIỂM TRA"/>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F80"/>
  <sheetViews>
    <sheetView showGridLines="0" workbookViewId="0"/>
  </sheetViews>
  <sheetFormatPr defaultRowHeight="14"/>
  <cols>
    <col min="1" max="1" width="10" customWidth="1"/>
    <col min="2" max="2" width="34" customWidth="1"/>
    <col min="3" max="32" width="12" customWidth="1"/>
  </cols>
  <sheetData>
    <row r="1" spans="1:32" ht="15" customHeight="1">
      <c r="A1" s="135" t="s">
        <v>548</v>
      </c>
      <c r="B1" s="135"/>
      <c r="C1" s="136"/>
      <c r="D1" s="136"/>
      <c r="E1" s="136"/>
      <c r="F1" s="136"/>
      <c r="G1" s="136"/>
      <c r="H1" s="136"/>
      <c r="I1" s="136"/>
      <c r="J1" s="136"/>
      <c r="K1" s="136"/>
      <c r="L1" s="136"/>
      <c r="M1" s="136"/>
      <c r="N1" s="136"/>
      <c r="O1" s="136"/>
      <c r="P1" s="136"/>
      <c r="Q1" s="136"/>
      <c r="R1" s="136"/>
      <c r="S1" s="136"/>
      <c r="T1" s="136"/>
      <c r="U1" s="136"/>
      <c r="V1" s="136"/>
      <c r="W1" s="136"/>
      <c r="X1" s="136"/>
      <c r="Y1" s="136"/>
      <c r="Z1" s="136"/>
      <c r="AA1" s="136"/>
      <c r="AB1" s="136"/>
      <c r="AC1" s="136"/>
      <c r="AD1" s="136"/>
      <c r="AE1" s="136"/>
      <c r="AF1" s="136"/>
    </row>
    <row r="2" spans="1:32" ht="15" customHeight="1">
      <c r="A2" s="137" t="s">
        <v>549</v>
      </c>
      <c r="B2" s="137"/>
      <c r="C2" s="137"/>
      <c r="D2" s="137"/>
      <c r="E2" s="137"/>
      <c r="F2" s="137"/>
      <c r="G2" s="137"/>
      <c r="H2" s="137"/>
      <c r="I2" s="137"/>
      <c r="J2" s="137"/>
      <c r="K2" s="137"/>
      <c r="L2" s="137"/>
      <c r="M2" s="137"/>
      <c r="N2" s="137"/>
      <c r="O2" s="137"/>
      <c r="P2" s="137"/>
      <c r="Q2" s="137"/>
      <c r="R2" s="137"/>
      <c r="S2" s="137"/>
      <c r="T2" s="137"/>
      <c r="U2" s="137"/>
      <c r="V2" s="137"/>
      <c r="W2" s="137"/>
      <c r="X2" s="137"/>
      <c r="Y2" s="137"/>
      <c r="Z2" s="137"/>
      <c r="AA2" s="137"/>
      <c r="AB2" s="137"/>
      <c r="AC2" s="137"/>
      <c r="AD2" s="137"/>
      <c r="AE2" s="137"/>
      <c r="AF2" s="137"/>
    </row>
    <row r="3" spans="1:32" ht="15" customHeight="1">
      <c r="A3" s="138" t="s">
        <v>467</v>
      </c>
      <c r="B3" s="138"/>
      <c r="C3" s="139"/>
      <c r="D3" s="139"/>
      <c r="E3" s="139"/>
      <c r="F3" s="139"/>
      <c r="G3" s="139"/>
      <c r="H3" s="139"/>
      <c r="I3" s="139"/>
      <c r="J3" s="139"/>
      <c r="K3" s="139"/>
      <c r="L3" s="139"/>
      <c r="M3" s="139"/>
      <c r="N3" s="139"/>
      <c r="O3" s="139"/>
      <c r="P3" s="139"/>
      <c r="Q3" s="139"/>
      <c r="R3" s="139"/>
      <c r="S3" s="139"/>
      <c r="T3" s="139"/>
      <c r="U3" s="139"/>
      <c r="V3" s="139"/>
      <c r="W3" s="139"/>
      <c r="X3" s="139"/>
      <c r="Y3" s="139"/>
      <c r="Z3" s="139"/>
      <c r="AA3" s="139"/>
      <c r="AB3" s="139"/>
      <c r="AC3" s="139"/>
      <c r="AD3" s="139"/>
      <c r="AE3" s="139"/>
      <c r="AF3" s="139"/>
    </row>
    <row r="4" spans="1:32" ht="15" customHeight="1">
      <c r="A4" s="69"/>
      <c r="B4" s="69"/>
      <c r="C4" s="64"/>
      <c r="D4" s="64"/>
      <c r="E4" s="64"/>
      <c r="F4" s="64"/>
      <c r="G4" s="64"/>
      <c r="H4" s="64"/>
      <c r="I4" s="64"/>
      <c r="J4" s="64"/>
      <c r="K4" s="64"/>
      <c r="L4" s="64"/>
      <c r="M4" s="64"/>
      <c r="N4" s="64"/>
      <c r="O4" s="64"/>
      <c r="P4" s="64"/>
      <c r="Q4" s="64"/>
      <c r="R4" s="64"/>
      <c r="S4" s="64"/>
      <c r="T4" s="64"/>
      <c r="U4" s="64"/>
      <c r="V4" s="64"/>
      <c r="W4" s="64"/>
      <c r="X4" s="64"/>
      <c r="Y4" s="64"/>
      <c r="Z4" s="64"/>
      <c r="AA4" s="64"/>
      <c r="AB4" s="64"/>
      <c r="AC4" s="64"/>
      <c r="AD4" s="64"/>
      <c r="AE4" s="64"/>
      <c r="AF4" s="64"/>
    </row>
    <row r="5" spans="1:32" ht="15" customHeight="1">
      <c r="A5" s="69"/>
      <c r="B5" s="69"/>
      <c r="C5" s="64"/>
      <c r="D5" s="64"/>
      <c r="E5" s="64"/>
      <c r="F5" s="64"/>
      <c r="G5" s="64"/>
      <c r="H5" s="64"/>
      <c r="I5" s="64"/>
      <c r="J5" s="64"/>
      <c r="K5" s="64"/>
      <c r="L5" s="64"/>
      <c r="M5" s="64"/>
      <c r="N5" s="64"/>
      <c r="O5" s="64"/>
      <c r="P5" s="64"/>
      <c r="Q5" s="64"/>
      <c r="R5" s="64"/>
      <c r="S5" s="64"/>
      <c r="T5" s="64"/>
      <c r="U5" s="64"/>
      <c r="V5" s="64"/>
      <c r="W5" s="64"/>
      <c r="X5" s="64"/>
      <c r="Y5" s="64"/>
      <c r="Z5" s="64"/>
      <c r="AA5" s="64"/>
      <c r="AB5" s="64"/>
      <c r="AC5" s="64"/>
      <c r="AD5" s="64"/>
      <c r="AE5" s="64"/>
      <c r="AF5" s="64"/>
    </row>
    <row r="6" spans="1:32" ht="15" customHeight="1">
      <c r="A6" s="70"/>
      <c r="B6" s="70" t="s">
        <v>161</v>
      </c>
      <c r="C6" s="41">
        <f>CAPEX!C6</f>
        <v>2026</v>
      </c>
      <c r="D6" s="41">
        <f>CAPEX!D6</f>
        <v>2027</v>
      </c>
      <c r="E6" s="41">
        <f>CAPEX!E6</f>
        <v>2028</v>
      </c>
      <c r="F6" s="41">
        <f>CAPEX!F6</f>
        <v>2029</v>
      </c>
      <c r="G6" s="41">
        <f>CAPEX!G6</f>
        <v>2030</v>
      </c>
      <c r="H6" s="41">
        <f>CAPEX!H6</f>
        <v>2031</v>
      </c>
      <c r="I6" s="41">
        <f>CAPEX!I6</f>
        <v>2032</v>
      </c>
      <c r="J6" s="41">
        <f>CAPEX!J6</f>
        <v>2033</v>
      </c>
      <c r="K6" s="41">
        <f>CAPEX!K6</f>
        <v>2034</v>
      </c>
      <c r="L6" s="41">
        <f>CAPEX!L6</f>
        <v>2035</v>
      </c>
      <c r="M6" s="41">
        <f>CAPEX!M6</f>
        <v>2036</v>
      </c>
      <c r="N6" s="41">
        <f>CAPEX!N6</f>
        <v>2037</v>
      </c>
      <c r="O6" s="41">
        <f>CAPEX!O6</f>
        <v>2038</v>
      </c>
      <c r="P6" s="41">
        <f>CAPEX!P6</f>
        <v>2039</v>
      </c>
      <c r="Q6" s="41">
        <f>CAPEX!Q6</f>
        <v>2040</v>
      </c>
      <c r="R6" s="41">
        <f>CAPEX!R6</f>
        <v>2041</v>
      </c>
      <c r="S6" s="41">
        <f>CAPEX!S6</f>
        <v>2042</v>
      </c>
      <c r="T6" s="41">
        <f>CAPEX!T6</f>
        <v>2043</v>
      </c>
      <c r="U6" s="41">
        <f>CAPEX!U6</f>
        <v>2044</v>
      </c>
      <c r="V6" s="41">
        <f>CAPEX!V6</f>
        <v>2045</v>
      </c>
      <c r="W6" s="41">
        <f>CAPEX!W6</f>
        <v>2046</v>
      </c>
      <c r="X6" s="41">
        <f>CAPEX!X6</f>
        <v>2047</v>
      </c>
      <c r="Y6" s="41">
        <f>CAPEX!Y6</f>
        <v>2048</v>
      </c>
      <c r="Z6" s="41">
        <f>CAPEX!Z6</f>
        <v>2049</v>
      </c>
      <c r="AA6" s="41">
        <f>CAPEX!AA6</f>
        <v>2050</v>
      </c>
      <c r="AB6" s="41">
        <f>CAPEX!AB6</f>
        <v>2051</v>
      </c>
      <c r="AC6" s="41">
        <f>CAPEX!AC6</f>
        <v>2052</v>
      </c>
      <c r="AD6" s="41">
        <f>CAPEX!AD6</f>
        <v>2053</v>
      </c>
      <c r="AE6" s="41">
        <f>CAPEX!AE6</f>
        <v>2054</v>
      </c>
      <c r="AF6" s="41">
        <f>CAPEX!AF6</f>
        <v>2055</v>
      </c>
    </row>
    <row r="7" spans="1:32" ht="15" customHeight="1">
      <c r="A7" s="69"/>
      <c r="B7" s="69" t="s">
        <v>468</v>
      </c>
      <c r="C7" s="65">
        <f>CAPEX!C7</f>
        <v>0</v>
      </c>
      <c r="D7" s="65">
        <f>CAPEX!D7</f>
        <v>1</v>
      </c>
      <c r="E7" s="65">
        <f>CAPEX!E7</f>
        <v>2</v>
      </c>
      <c r="F7" s="65">
        <f>CAPEX!F7</f>
        <v>3</v>
      </c>
      <c r="G7" s="65">
        <f>CAPEX!G7</f>
        <v>4</v>
      </c>
      <c r="H7" s="65">
        <f>CAPEX!H7</f>
        <v>5</v>
      </c>
      <c r="I7" s="65">
        <f>CAPEX!I7</f>
        <v>6</v>
      </c>
      <c r="J7" s="65">
        <f>CAPEX!J7</f>
        <v>7</v>
      </c>
      <c r="K7" s="65">
        <f>CAPEX!K7</f>
        <v>8</v>
      </c>
      <c r="L7" s="65">
        <f>CAPEX!L7</f>
        <v>9</v>
      </c>
      <c r="M7" s="65">
        <f>CAPEX!M7</f>
        <v>10</v>
      </c>
      <c r="N7" s="65">
        <f>CAPEX!N7</f>
        <v>11</v>
      </c>
      <c r="O7" s="65">
        <f>CAPEX!O7</f>
        <v>12</v>
      </c>
      <c r="P7" s="65">
        <f>CAPEX!P7</f>
        <v>13</v>
      </c>
      <c r="Q7" s="65">
        <f>CAPEX!Q7</f>
        <v>14</v>
      </c>
      <c r="R7" s="65">
        <f>CAPEX!R7</f>
        <v>15</v>
      </c>
      <c r="S7" s="65">
        <f>CAPEX!S7</f>
        <v>16</v>
      </c>
      <c r="T7" s="65">
        <f>CAPEX!T7</f>
        <v>17</v>
      </c>
      <c r="U7" s="65">
        <f>CAPEX!U7</f>
        <v>18</v>
      </c>
      <c r="V7" s="65">
        <f>CAPEX!V7</f>
        <v>19</v>
      </c>
      <c r="W7" s="65">
        <f>CAPEX!W7</f>
        <v>20</v>
      </c>
      <c r="X7" s="65">
        <f>CAPEX!X7</f>
        <v>21</v>
      </c>
      <c r="Y7" s="65">
        <f>CAPEX!Y7</f>
        <v>22</v>
      </c>
      <c r="Z7" s="65">
        <f>CAPEX!Z7</f>
        <v>23</v>
      </c>
      <c r="AA7" s="65">
        <f>CAPEX!AA7</f>
        <v>24</v>
      </c>
      <c r="AB7" s="65">
        <f>CAPEX!AB7</f>
        <v>25</v>
      </c>
      <c r="AC7" s="65">
        <f>CAPEX!AC7</f>
        <v>26</v>
      </c>
      <c r="AD7" s="65">
        <f>CAPEX!AD7</f>
        <v>27</v>
      </c>
      <c r="AE7" s="65">
        <f>CAPEX!AE7</f>
        <v>28</v>
      </c>
      <c r="AF7" s="65">
        <f>CAPEX!AF7</f>
        <v>29</v>
      </c>
    </row>
    <row r="8" spans="1:32" ht="15" customHeight="1">
      <c r="A8" s="69"/>
      <c r="B8" s="69" t="s">
        <v>470</v>
      </c>
      <c r="C8" s="65">
        <f>CAPEX!C9</f>
        <v>0</v>
      </c>
      <c r="D8" s="65">
        <f>CAPEX!D9</f>
        <v>0</v>
      </c>
      <c r="E8" s="65">
        <f>CAPEX!E9</f>
        <v>1</v>
      </c>
      <c r="F8" s="65">
        <f>CAPEX!F9</f>
        <v>2</v>
      </c>
      <c r="G8" s="65">
        <f>CAPEX!G9</f>
        <v>3</v>
      </c>
      <c r="H8" s="65">
        <f>CAPEX!H9</f>
        <v>4</v>
      </c>
      <c r="I8" s="65">
        <f>CAPEX!I9</f>
        <v>5</v>
      </c>
      <c r="J8" s="65">
        <f>CAPEX!J9</f>
        <v>6</v>
      </c>
      <c r="K8" s="65">
        <f>CAPEX!K9</f>
        <v>7</v>
      </c>
      <c r="L8" s="65">
        <f>CAPEX!L9</f>
        <v>8</v>
      </c>
      <c r="M8" s="65">
        <f>CAPEX!M9</f>
        <v>9</v>
      </c>
      <c r="N8" s="65">
        <f>CAPEX!N9</f>
        <v>10</v>
      </c>
      <c r="O8" s="65">
        <f>CAPEX!O9</f>
        <v>11</v>
      </c>
      <c r="P8" s="65">
        <f>CAPEX!P9</f>
        <v>12</v>
      </c>
      <c r="Q8" s="65">
        <f>CAPEX!Q9</f>
        <v>13</v>
      </c>
      <c r="R8" s="65">
        <f>CAPEX!R9</f>
        <v>14</v>
      </c>
      <c r="S8" s="65">
        <f>CAPEX!S9</f>
        <v>15</v>
      </c>
      <c r="T8" s="65">
        <f>CAPEX!T9</f>
        <v>16</v>
      </c>
      <c r="U8" s="65">
        <f>CAPEX!U9</f>
        <v>17</v>
      </c>
      <c r="V8" s="65">
        <f>CAPEX!V9</f>
        <v>18</v>
      </c>
      <c r="W8" s="65">
        <f>CAPEX!W9</f>
        <v>19</v>
      </c>
      <c r="X8" s="65">
        <f>CAPEX!X9</f>
        <v>20</v>
      </c>
      <c r="Y8" s="65">
        <f>CAPEX!Y9</f>
        <v>0</v>
      </c>
      <c r="Z8" s="65">
        <f>CAPEX!Z9</f>
        <v>0</v>
      </c>
      <c r="AA8" s="65">
        <f>CAPEX!AA9</f>
        <v>0</v>
      </c>
      <c r="AB8" s="65">
        <f>CAPEX!AB9</f>
        <v>0</v>
      </c>
      <c r="AC8" s="65">
        <f>CAPEX!AC9</f>
        <v>0</v>
      </c>
      <c r="AD8" s="65">
        <f>CAPEX!AD9</f>
        <v>0</v>
      </c>
      <c r="AE8" s="65">
        <f>CAPEX!AE9</f>
        <v>0</v>
      </c>
      <c r="AF8" s="65">
        <f>CAPEX!AF9</f>
        <v>0</v>
      </c>
    </row>
    <row r="9" spans="1:32" ht="15" customHeight="1">
      <c r="A9" s="69"/>
      <c r="B9" s="69"/>
      <c r="C9" s="64"/>
      <c r="D9" s="64"/>
      <c r="E9" s="64"/>
      <c r="F9" s="64"/>
      <c r="G9" s="64"/>
      <c r="H9" s="64"/>
      <c r="I9" s="64"/>
      <c r="J9" s="64"/>
      <c r="K9" s="64"/>
      <c r="L9" s="64"/>
      <c r="M9" s="64"/>
      <c r="N9" s="64"/>
      <c r="O9" s="64"/>
      <c r="P9" s="64"/>
      <c r="Q9" s="64"/>
      <c r="R9" s="64"/>
      <c r="S9" s="64"/>
      <c r="T9" s="64"/>
      <c r="U9" s="64"/>
      <c r="V9" s="64"/>
      <c r="W9" s="64"/>
      <c r="X9" s="64"/>
      <c r="Y9" s="64"/>
      <c r="Z9" s="64"/>
      <c r="AA9" s="64"/>
      <c r="AB9" s="64"/>
      <c r="AC9" s="64"/>
      <c r="AD9" s="64"/>
      <c r="AE9" s="64"/>
      <c r="AF9" s="64"/>
    </row>
    <row r="10" spans="1:32" ht="15" customHeight="1">
      <c r="A10" s="140" t="s">
        <v>550</v>
      </c>
      <c r="B10" s="140"/>
      <c r="C10" s="141"/>
      <c r="D10" s="141"/>
      <c r="E10" s="141"/>
      <c r="F10" s="141"/>
      <c r="G10" s="141"/>
      <c r="H10" s="141"/>
      <c r="I10" s="141"/>
      <c r="J10" s="141"/>
      <c r="K10" s="141"/>
      <c r="L10" s="141"/>
      <c r="M10" s="141"/>
      <c r="N10" s="141"/>
      <c r="O10" s="141"/>
      <c r="P10" s="141"/>
      <c r="Q10" s="141"/>
      <c r="R10" s="141"/>
      <c r="S10" s="141"/>
      <c r="T10" s="141"/>
      <c r="U10" s="141"/>
      <c r="V10" s="141"/>
      <c r="W10" s="141"/>
      <c r="X10" s="141"/>
      <c r="Y10" s="141"/>
      <c r="Z10" s="141"/>
      <c r="AA10" s="141"/>
      <c r="AB10" s="141"/>
      <c r="AC10" s="141"/>
      <c r="AD10" s="141"/>
      <c r="AE10" s="141"/>
      <c r="AF10" s="141"/>
    </row>
    <row r="11" spans="1:32" ht="15" customHeight="1">
      <c r="A11" s="71" t="s">
        <v>387</v>
      </c>
      <c r="B11" s="72" t="s">
        <v>551</v>
      </c>
      <c r="C11" s="43">
        <f>IF(C$8=1,Input!$D$26+SUM(CAPEX!$C$23:'CAPEX'!$AF$23),0)</f>
        <v>0</v>
      </c>
      <c r="D11" s="43">
        <f>IF(D$8=1,Input!$D$26+SUM(CAPEX!$C$23:'CAPEX'!$AF$23),0)</f>
        <v>0</v>
      </c>
      <c r="E11" s="43">
        <f>IF(E$8=1,Input!$D$26+SUM(CAPEX!$C$23:'CAPEX'!$AF$23),0)</f>
        <v>6480.9827500000001</v>
      </c>
      <c r="F11" s="43">
        <f>IF(F$8=1,Input!$D$26+SUM(CAPEX!$C$23:'CAPEX'!$AF$23),0)</f>
        <v>0</v>
      </c>
      <c r="G11" s="43">
        <f>IF(G$8=1,Input!$D$26+SUM(CAPEX!$C$23:'CAPEX'!$AF$23),0)</f>
        <v>0</v>
      </c>
      <c r="H11" s="43">
        <f>IF(H$8=1,Input!$D$26+SUM(CAPEX!$C$23:'CAPEX'!$AF$23),0)</f>
        <v>0</v>
      </c>
      <c r="I11" s="43">
        <f>IF(I$8=1,Input!$D$26+SUM(CAPEX!$C$23:'CAPEX'!$AF$23),0)</f>
        <v>0</v>
      </c>
      <c r="J11" s="43">
        <f>IF(J$8=1,Input!$D$26+SUM(CAPEX!$C$23:'CAPEX'!$AF$23),0)</f>
        <v>0</v>
      </c>
      <c r="K11" s="43">
        <f>IF(K$8=1,Input!$D$26+SUM(CAPEX!$C$23:'CAPEX'!$AF$23),0)</f>
        <v>0</v>
      </c>
      <c r="L11" s="43">
        <f>IF(L$8=1,Input!$D$26+SUM(CAPEX!$C$23:'CAPEX'!$AF$23),0)</f>
        <v>0</v>
      </c>
      <c r="M11" s="43">
        <f>IF(M$8=1,Input!$D$26+SUM(CAPEX!$C$23:'CAPEX'!$AF$23),0)</f>
        <v>0</v>
      </c>
      <c r="N11" s="43">
        <f>IF(N$8=1,Input!$D$26+SUM(CAPEX!$C$23:'CAPEX'!$AF$23),0)</f>
        <v>0</v>
      </c>
      <c r="O11" s="43">
        <f>IF(O$8=1,Input!$D$26+SUM(CAPEX!$C$23:'CAPEX'!$AF$23),0)</f>
        <v>0</v>
      </c>
      <c r="P11" s="43">
        <f>IF(P$8=1,Input!$D$26+SUM(CAPEX!$C$23:'CAPEX'!$AF$23),0)</f>
        <v>0</v>
      </c>
      <c r="Q11" s="43">
        <f>IF(Q$8=1,Input!$D$26+SUM(CAPEX!$C$23:'CAPEX'!$AF$23),0)</f>
        <v>0</v>
      </c>
      <c r="R11" s="43">
        <f>IF(R$8=1,Input!$D$26+SUM(CAPEX!$C$23:'CAPEX'!$AF$23),0)</f>
        <v>0</v>
      </c>
      <c r="S11" s="43">
        <f>IF(S$8=1,Input!$D$26+SUM(CAPEX!$C$23:'CAPEX'!$AF$23),0)</f>
        <v>0</v>
      </c>
      <c r="T11" s="43">
        <f>IF(T$8=1,Input!$D$26+SUM(CAPEX!$C$23:'CAPEX'!$AF$23),0)</f>
        <v>0</v>
      </c>
      <c r="U11" s="43">
        <f>IF(U$8=1,Input!$D$26+SUM(CAPEX!$C$23:'CAPEX'!$AF$23),0)</f>
        <v>0</v>
      </c>
      <c r="V11" s="43">
        <f>IF(V$8=1,Input!$D$26+SUM(CAPEX!$C$23:'CAPEX'!$AF$23),0)</f>
        <v>0</v>
      </c>
      <c r="W11" s="43">
        <f>IF(W$8=1,Input!$D$26+SUM(CAPEX!$C$23:'CAPEX'!$AF$23),0)</f>
        <v>0</v>
      </c>
      <c r="X11" s="43">
        <f>IF(X$8=1,Input!$D$26+SUM(CAPEX!$C$23:'CAPEX'!$AF$23),0)</f>
        <v>0</v>
      </c>
      <c r="Y11" s="43">
        <f>IF(Y$8=1,Input!$D$26+SUM(CAPEX!$C$23:'CAPEX'!$AF$23),0)</f>
        <v>0</v>
      </c>
      <c r="Z11" s="43">
        <f>IF(Z$8=1,Input!$D$26+SUM(CAPEX!$C$23:'CAPEX'!$AF$23),0)</f>
        <v>0</v>
      </c>
      <c r="AA11" s="43">
        <f>IF(AA$8=1,Input!$D$26+SUM(CAPEX!$C$23:'CAPEX'!$AF$23),0)</f>
        <v>0</v>
      </c>
      <c r="AB11" s="43">
        <f>IF(AB$8=1,Input!$D$26+SUM(CAPEX!$C$23:'CAPEX'!$AF$23),0)</f>
        <v>0</v>
      </c>
      <c r="AC11" s="43">
        <f>IF(AC$8=1,Input!$D$26+SUM(CAPEX!$C$23:'CAPEX'!$AF$23),0)</f>
        <v>0</v>
      </c>
      <c r="AD11" s="43">
        <f>IF(AD$8=1,Input!$D$26+SUM(CAPEX!$C$23:'CAPEX'!$AF$23),0)</f>
        <v>0</v>
      </c>
      <c r="AE11" s="43">
        <f>IF(AE$8=1,Input!$D$26+SUM(CAPEX!$C$23:'CAPEX'!$AF$23),0)</f>
        <v>0</v>
      </c>
      <c r="AF11" s="43">
        <f>IF(AF$8=1,Input!$D$26+SUM(CAPEX!$C$23:'CAPEX'!$AF$23),0)</f>
        <v>0</v>
      </c>
    </row>
    <row r="12" spans="1:32" ht="15" customHeight="1">
      <c r="A12" s="71" t="s">
        <v>391</v>
      </c>
      <c r="B12" s="72" t="s">
        <v>552</v>
      </c>
      <c r="C12" s="43">
        <f>IF(AND(C$8&gt;=1,C$8&lt;=Input!$D$75),(Input!$D$26+SUM(CAPEX!$C$23:'CAPEX'!$AF$23))/Input!$D$75,0)</f>
        <v>0</v>
      </c>
      <c r="D12" s="43">
        <f>IF(AND(D$8&gt;=1,D$8&lt;=Input!$D$75),(Input!$D$26+SUM(CAPEX!$C$23:'CAPEX'!$AF$23))/Input!$D$75,0)</f>
        <v>0</v>
      </c>
      <c r="E12" s="43">
        <f>IF(AND(E$8&gt;=1,E$8&lt;=Input!$D$75),(Input!$D$26+SUM(CAPEX!$C$23:'CAPEX'!$AF$23))/Input!$D$75,0)</f>
        <v>324.04913750000003</v>
      </c>
      <c r="F12" s="43">
        <f>IF(AND(F$8&gt;=1,F$8&lt;=Input!$D$75),(Input!$D$26+SUM(CAPEX!$C$23:'CAPEX'!$AF$23))/Input!$D$75,0)</f>
        <v>324.04913750000003</v>
      </c>
      <c r="G12" s="43">
        <f>IF(AND(G$8&gt;=1,G$8&lt;=Input!$D$75),(Input!$D$26+SUM(CAPEX!$C$23:'CAPEX'!$AF$23))/Input!$D$75,0)</f>
        <v>324.04913750000003</v>
      </c>
      <c r="H12" s="43">
        <f>IF(AND(H$8&gt;=1,H$8&lt;=Input!$D$75),(Input!$D$26+SUM(CAPEX!$C$23:'CAPEX'!$AF$23))/Input!$D$75,0)</f>
        <v>324.04913750000003</v>
      </c>
      <c r="I12" s="43">
        <f>IF(AND(I$8&gt;=1,I$8&lt;=Input!$D$75),(Input!$D$26+SUM(CAPEX!$C$23:'CAPEX'!$AF$23))/Input!$D$75,0)</f>
        <v>324.04913750000003</v>
      </c>
      <c r="J12" s="43">
        <f>IF(AND(J$8&gt;=1,J$8&lt;=Input!$D$75),(Input!$D$26+SUM(CAPEX!$C$23:'CAPEX'!$AF$23))/Input!$D$75,0)</f>
        <v>324.04913750000003</v>
      </c>
      <c r="K12" s="43">
        <f>IF(AND(K$8&gt;=1,K$8&lt;=Input!$D$75),(Input!$D$26+SUM(CAPEX!$C$23:'CAPEX'!$AF$23))/Input!$D$75,0)</f>
        <v>324.04913750000003</v>
      </c>
      <c r="L12" s="43">
        <f>IF(AND(L$8&gt;=1,L$8&lt;=Input!$D$75),(Input!$D$26+SUM(CAPEX!$C$23:'CAPEX'!$AF$23))/Input!$D$75,0)</f>
        <v>324.04913750000003</v>
      </c>
      <c r="M12" s="43">
        <f>IF(AND(M$8&gt;=1,M$8&lt;=Input!$D$75),(Input!$D$26+SUM(CAPEX!$C$23:'CAPEX'!$AF$23))/Input!$D$75,0)</f>
        <v>324.04913750000003</v>
      </c>
      <c r="N12" s="43">
        <f>IF(AND(N$8&gt;=1,N$8&lt;=Input!$D$75),(Input!$D$26+SUM(CAPEX!$C$23:'CAPEX'!$AF$23))/Input!$D$75,0)</f>
        <v>324.04913750000003</v>
      </c>
      <c r="O12" s="43">
        <f>IF(AND(O$8&gt;=1,O$8&lt;=Input!$D$75),(Input!$D$26+SUM(CAPEX!$C$23:'CAPEX'!$AF$23))/Input!$D$75,0)</f>
        <v>324.04913750000003</v>
      </c>
      <c r="P12" s="43">
        <f>IF(AND(P$8&gt;=1,P$8&lt;=Input!$D$75),(Input!$D$26+SUM(CAPEX!$C$23:'CAPEX'!$AF$23))/Input!$D$75,0)</f>
        <v>324.04913750000003</v>
      </c>
      <c r="Q12" s="43">
        <f>IF(AND(Q$8&gt;=1,Q$8&lt;=Input!$D$75),(Input!$D$26+SUM(CAPEX!$C$23:'CAPEX'!$AF$23))/Input!$D$75,0)</f>
        <v>324.04913750000003</v>
      </c>
      <c r="R12" s="43">
        <f>IF(AND(R$8&gt;=1,R$8&lt;=Input!$D$75),(Input!$D$26+SUM(CAPEX!$C$23:'CAPEX'!$AF$23))/Input!$D$75,0)</f>
        <v>324.04913750000003</v>
      </c>
      <c r="S12" s="43">
        <f>IF(AND(S$8&gt;=1,S$8&lt;=Input!$D$75),(Input!$D$26+SUM(CAPEX!$C$23:'CAPEX'!$AF$23))/Input!$D$75,0)</f>
        <v>324.04913750000003</v>
      </c>
      <c r="T12" s="43">
        <f>IF(AND(T$8&gt;=1,T$8&lt;=Input!$D$75),(Input!$D$26+SUM(CAPEX!$C$23:'CAPEX'!$AF$23))/Input!$D$75,0)</f>
        <v>324.04913750000003</v>
      </c>
      <c r="U12" s="43">
        <f>IF(AND(U$8&gt;=1,U$8&lt;=Input!$D$75),(Input!$D$26+SUM(CAPEX!$C$23:'CAPEX'!$AF$23))/Input!$D$75,0)</f>
        <v>324.04913750000003</v>
      </c>
      <c r="V12" s="43">
        <f>IF(AND(V$8&gt;=1,V$8&lt;=Input!$D$75),(Input!$D$26+SUM(CAPEX!$C$23:'CAPEX'!$AF$23))/Input!$D$75,0)</f>
        <v>324.04913750000003</v>
      </c>
      <c r="W12" s="43">
        <f>IF(AND(W$8&gt;=1,W$8&lt;=Input!$D$75),(Input!$D$26+SUM(CAPEX!$C$23:'CAPEX'!$AF$23))/Input!$D$75,0)</f>
        <v>324.04913750000003</v>
      </c>
      <c r="X12" s="43">
        <f>IF(AND(X$8&gt;=1,X$8&lt;=Input!$D$75),(Input!$D$26+SUM(CAPEX!$C$23:'CAPEX'!$AF$23))/Input!$D$75,0)</f>
        <v>324.04913750000003</v>
      </c>
      <c r="Y12" s="43">
        <f>IF(AND(Y$8&gt;=1,Y$8&lt;=Input!$D$75),(Input!$D$26+SUM(CAPEX!$C$23:'CAPEX'!$AF$23))/Input!$D$75,0)</f>
        <v>0</v>
      </c>
      <c r="Z12" s="43">
        <f>IF(AND(Z$8&gt;=1,Z$8&lt;=Input!$D$75),(Input!$D$26+SUM(CAPEX!$C$23:'CAPEX'!$AF$23))/Input!$D$75,0)</f>
        <v>0</v>
      </c>
      <c r="AA12" s="43">
        <f>IF(AND(AA$8&gt;=1,AA$8&lt;=Input!$D$75),(Input!$D$26+SUM(CAPEX!$C$23:'CAPEX'!$AF$23))/Input!$D$75,0)</f>
        <v>0</v>
      </c>
      <c r="AB12" s="43">
        <f>IF(AND(AB$8&gt;=1,AB$8&lt;=Input!$D$75),(Input!$D$26+SUM(CAPEX!$C$23:'CAPEX'!$AF$23))/Input!$D$75,0)</f>
        <v>0</v>
      </c>
      <c r="AC12" s="43">
        <f>IF(AND(AC$8&gt;=1,AC$8&lt;=Input!$D$75),(Input!$D$26+SUM(CAPEX!$C$23:'CAPEX'!$AF$23))/Input!$D$75,0)</f>
        <v>0</v>
      </c>
      <c r="AD12" s="43">
        <f>IF(AND(AD$8&gt;=1,AD$8&lt;=Input!$D$75),(Input!$D$26+SUM(CAPEX!$C$23:'CAPEX'!$AF$23))/Input!$D$75,0)</f>
        <v>0</v>
      </c>
      <c r="AE12" s="43">
        <f>IF(AND(AE$8&gt;=1,AE$8&lt;=Input!$D$75),(Input!$D$26+SUM(CAPEX!$C$23:'CAPEX'!$AF$23))/Input!$D$75,0)</f>
        <v>0</v>
      </c>
      <c r="AF12" s="43">
        <f>IF(AND(AF$8&gt;=1,AF$8&lt;=Input!$D$75),(Input!$D$26+SUM(CAPEX!$C$23:'CAPEX'!$AF$23))/Input!$D$75,0)</f>
        <v>0</v>
      </c>
    </row>
    <row r="13" spans="1:32" ht="15" customHeight="1">
      <c r="A13" s="69"/>
      <c r="B13" s="69"/>
      <c r="C13" s="64"/>
      <c r="D13" s="64"/>
      <c r="E13" s="64"/>
      <c r="F13" s="64"/>
      <c r="G13" s="64"/>
      <c r="H13" s="64"/>
      <c r="I13" s="64"/>
      <c r="J13" s="64"/>
      <c r="K13" s="64"/>
      <c r="L13" s="64"/>
      <c r="M13" s="64"/>
      <c r="N13" s="64"/>
      <c r="O13" s="64"/>
      <c r="P13" s="64"/>
      <c r="Q13" s="64"/>
      <c r="R13" s="64"/>
      <c r="S13" s="64"/>
      <c r="T13" s="64"/>
      <c r="U13" s="64"/>
      <c r="V13" s="64"/>
      <c r="W13" s="64"/>
      <c r="X13" s="64"/>
      <c r="Y13" s="64"/>
      <c r="Z13" s="64"/>
      <c r="AA13" s="64"/>
      <c r="AB13" s="64"/>
      <c r="AC13" s="64"/>
      <c r="AD13" s="64"/>
      <c r="AE13" s="64"/>
      <c r="AF13" s="64"/>
    </row>
    <row r="14" spans="1:32" ht="15" customHeight="1">
      <c r="A14" s="140" t="s">
        <v>553</v>
      </c>
      <c r="B14" s="140"/>
      <c r="C14" s="141"/>
      <c r="D14" s="141"/>
      <c r="E14" s="141"/>
      <c r="F14" s="141"/>
      <c r="G14" s="141"/>
      <c r="H14" s="141"/>
      <c r="I14" s="141"/>
      <c r="J14" s="141"/>
      <c r="K14" s="141"/>
      <c r="L14" s="141"/>
      <c r="M14" s="141"/>
      <c r="N14" s="141"/>
      <c r="O14" s="141"/>
      <c r="P14" s="141"/>
      <c r="Q14" s="141"/>
      <c r="R14" s="141"/>
      <c r="S14" s="141"/>
      <c r="T14" s="141"/>
      <c r="U14" s="141"/>
      <c r="V14" s="141"/>
      <c r="W14" s="141"/>
      <c r="X14" s="141"/>
      <c r="Y14" s="141"/>
      <c r="Z14" s="141"/>
      <c r="AA14" s="141"/>
      <c r="AB14" s="141"/>
      <c r="AC14" s="141"/>
      <c r="AD14" s="141"/>
      <c r="AE14" s="141"/>
      <c r="AF14" s="141"/>
    </row>
    <row r="15" spans="1:32" ht="15" customHeight="1">
      <c r="A15" s="71" t="s">
        <v>395</v>
      </c>
      <c r="B15" s="71" t="s">
        <v>47</v>
      </c>
      <c r="C15" s="44">
        <f>Energy_Revenue!C20</f>
        <v>0</v>
      </c>
      <c r="D15" s="44">
        <f>Energy_Revenue!D20</f>
        <v>0</v>
      </c>
      <c r="E15" s="44">
        <f>Energy_Revenue!E20</f>
        <v>875.167912</v>
      </c>
      <c r="F15" s="44">
        <f>Energy_Revenue!F20</f>
        <v>870.72697617599999</v>
      </c>
      <c r="G15" s="44">
        <f>Energy_Revenue!G20</f>
        <v>866.24111022364809</v>
      </c>
      <c r="H15" s="44">
        <f>Energy_Revenue!H20</f>
        <v>861.7093277632008</v>
      </c>
      <c r="I15" s="44">
        <f>Energy_Revenue!I20</f>
        <v>857.13062286287436</v>
      </c>
      <c r="J15" s="44">
        <f>Energy_Revenue!J20</f>
        <v>852.50396964745244</v>
      </c>
      <c r="K15" s="44">
        <f>Energy_Revenue!K20</f>
        <v>847.82832189906765</v>
      </c>
      <c r="L15" s="44">
        <f>Energy_Revenue!L20</f>
        <v>843.10261264999804</v>
      </c>
      <c r="M15" s="44">
        <f>Energy_Revenue!M20</f>
        <v>838.32575376732075</v>
      </c>
      <c r="N15" s="44">
        <f>Energy_Revenue!N20</f>
        <v>833.49663552926154</v>
      </c>
      <c r="O15" s="44">
        <f>Energy_Revenue!O20</f>
        <v>828.6141261930677</v>
      </c>
      <c r="P15" s="44">
        <f>Energy_Revenue!P20</f>
        <v>823.67707155424387</v>
      </c>
      <c r="Q15" s="44">
        <f>Energy_Revenue!Q20</f>
        <v>818.68429449696873</v>
      </c>
      <c r="R15" s="44">
        <f>Energy_Revenue!R20</f>
        <v>813.63459453552468</v>
      </c>
      <c r="S15" s="44">
        <f>Energy_Revenue!S20</f>
        <v>808.52674734655477</v>
      </c>
      <c r="T15" s="44">
        <f>Energy_Revenue!T20</f>
        <v>803.35950429196475</v>
      </c>
      <c r="U15" s="44">
        <f>Energy_Revenue!U20</f>
        <v>798.1315919322858</v>
      </c>
      <c r="V15" s="44">
        <f>Energy_Revenue!V20</f>
        <v>792.84171153030456</v>
      </c>
      <c r="W15" s="44">
        <f>Energy_Revenue!W20</f>
        <v>787.48853854476465</v>
      </c>
      <c r="X15" s="44">
        <f>Energy_Revenue!X20</f>
        <v>782.07072211394654</v>
      </c>
      <c r="Y15" s="44">
        <f>Energy_Revenue!Y20</f>
        <v>0</v>
      </c>
      <c r="Z15" s="44">
        <f>Energy_Revenue!Z20</f>
        <v>0</v>
      </c>
      <c r="AA15" s="44">
        <f>Energy_Revenue!AA20</f>
        <v>0</v>
      </c>
      <c r="AB15" s="44">
        <f>Energy_Revenue!AB20</f>
        <v>0</v>
      </c>
      <c r="AC15" s="44">
        <f>Energy_Revenue!AC20</f>
        <v>0</v>
      </c>
      <c r="AD15" s="44">
        <f>Energy_Revenue!AD20</f>
        <v>0</v>
      </c>
      <c r="AE15" s="44">
        <f>Energy_Revenue!AE20</f>
        <v>0</v>
      </c>
      <c r="AF15" s="44">
        <f>Energy_Revenue!AF20</f>
        <v>0</v>
      </c>
    </row>
    <row r="16" spans="1:32" ht="15" customHeight="1">
      <c r="A16" s="71" t="s">
        <v>399</v>
      </c>
      <c r="B16" s="72" t="s">
        <v>43</v>
      </c>
      <c r="C16" s="43">
        <f t="shared" ref="C16:AF16" si="0">C15-C12</f>
        <v>0</v>
      </c>
      <c r="D16" s="43">
        <f t="shared" si="0"/>
        <v>0</v>
      </c>
      <c r="E16" s="43">
        <f t="shared" si="0"/>
        <v>551.11877449999997</v>
      </c>
      <c r="F16" s="43">
        <f t="shared" si="0"/>
        <v>546.67783867599996</v>
      </c>
      <c r="G16" s="43">
        <f t="shared" si="0"/>
        <v>542.19197272364806</v>
      </c>
      <c r="H16" s="43">
        <f t="shared" si="0"/>
        <v>537.66019026320078</v>
      </c>
      <c r="I16" s="43">
        <f t="shared" si="0"/>
        <v>533.08148536287433</v>
      </c>
      <c r="J16" s="43">
        <f t="shared" si="0"/>
        <v>528.45483214745241</v>
      </c>
      <c r="K16" s="43">
        <f t="shared" si="0"/>
        <v>523.77918439906762</v>
      </c>
      <c r="L16" s="43">
        <f t="shared" si="0"/>
        <v>519.05347514999801</v>
      </c>
      <c r="M16" s="43">
        <f t="shared" si="0"/>
        <v>514.27661626732072</v>
      </c>
      <c r="N16" s="43">
        <f t="shared" si="0"/>
        <v>509.44749802926151</v>
      </c>
      <c r="O16" s="43">
        <f t="shared" si="0"/>
        <v>504.56498869306768</v>
      </c>
      <c r="P16" s="43">
        <f t="shared" si="0"/>
        <v>499.62793405424384</v>
      </c>
      <c r="Q16" s="43">
        <f t="shared" si="0"/>
        <v>494.6351569969687</v>
      </c>
      <c r="R16" s="43">
        <f t="shared" si="0"/>
        <v>489.58545703552466</v>
      </c>
      <c r="S16" s="43">
        <f t="shared" si="0"/>
        <v>484.47760984655474</v>
      </c>
      <c r="T16" s="43">
        <f t="shared" si="0"/>
        <v>479.31036679196473</v>
      </c>
      <c r="U16" s="43">
        <f t="shared" si="0"/>
        <v>474.08245443228577</v>
      </c>
      <c r="V16" s="43">
        <f t="shared" si="0"/>
        <v>468.79257403030454</v>
      </c>
      <c r="W16" s="43">
        <f t="shared" si="0"/>
        <v>463.43940104476462</v>
      </c>
      <c r="X16" s="43">
        <f t="shared" si="0"/>
        <v>458.02158461394652</v>
      </c>
      <c r="Y16" s="43">
        <f t="shared" si="0"/>
        <v>0</v>
      </c>
      <c r="Z16" s="43">
        <f t="shared" si="0"/>
        <v>0</v>
      </c>
      <c r="AA16" s="43">
        <f t="shared" si="0"/>
        <v>0</v>
      </c>
      <c r="AB16" s="43">
        <f t="shared" si="0"/>
        <v>0</v>
      </c>
      <c r="AC16" s="43">
        <f t="shared" si="0"/>
        <v>0</v>
      </c>
      <c r="AD16" s="43">
        <f t="shared" si="0"/>
        <v>0</v>
      </c>
      <c r="AE16" s="43">
        <f t="shared" si="0"/>
        <v>0</v>
      </c>
      <c r="AF16" s="43">
        <f t="shared" si="0"/>
        <v>0</v>
      </c>
    </row>
    <row r="17" spans="1:32" ht="15" customHeight="1">
      <c r="A17" s="71" t="s">
        <v>403</v>
      </c>
      <c r="B17" s="71" t="s">
        <v>525</v>
      </c>
      <c r="C17" s="44">
        <f>IF(C$8&gt;0,Debt!C16,0)</f>
        <v>0</v>
      </c>
      <c r="D17" s="44">
        <f>IF(D$8&gt;0,Debt!D16,0)</f>
        <v>0</v>
      </c>
      <c r="E17" s="44">
        <f>IF(E$8&gt;0,Debt!E16,0)</f>
        <v>406.64749999999998</v>
      </c>
      <c r="F17" s="44">
        <f>IF(F$8&gt;0,Debt!F16,0)</f>
        <v>406.64749999999998</v>
      </c>
      <c r="G17" s="44">
        <f>IF(G$8&gt;0,Debt!G16,0)</f>
        <v>379.53766666666667</v>
      </c>
      <c r="H17" s="44">
        <f>IF(H$8&gt;0,Debt!H16,0)</f>
        <v>352.4278333333333</v>
      </c>
      <c r="I17" s="44">
        <f>IF(I$8&gt;0,Debt!I16,0)</f>
        <v>325.31799999999998</v>
      </c>
      <c r="J17" s="44">
        <f>IF(J$8&gt;0,Debt!J16,0)</f>
        <v>298.20816666666661</v>
      </c>
      <c r="K17" s="44">
        <f>IF(K$8&gt;0,Debt!K16,0)</f>
        <v>271.0983333333333</v>
      </c>
      <c r="L17" s="44">
        <f>IF(L$8&gt;0,Debt!L16,0)</f>
        <v>243.98849999999993</v>
      </c>
      <c r="M17" s="44">
        <f>IF(M$8&gt;0,Debt!M16,0)</f>
        <v>216.87866666666659</v>
      </c>
      <c r="N17" s="44">
        <f>IF(N$8&gt;0,Debt!N16,0)</f>
        <v>189.76883333333325</v>
      </c>
      <c r="O17" s="44">
        <f>IF(O$8&gt;0,Debt!O16,0)</f>
        <v>162.65899999999991</v>
      </c>
      <c r="P17" s="44">
        <f>IF(P$8&gt;0,Debt!P16,0)</f>
        <v>135.54916666666657</v>
      </c>
      <c r="Q17" s="44">
        <f>IF(Q$8&gt;0,Debt!Q16,0)</f>
        <v>108.43933333333321</v>
      </c>
      <c r="R17" s="44">
        <f>IF(R$8&gt;0,Debt!R16,0)</f>
        <v>81.329499999999868</v>
      </c>
      <c r="S17" s="44">
        <f>IF(S$8&gt;0,Debt!S16,0)</f>
        <v>54.219666666666541</v>
      </c>
      <c r="T17" s="44">
        <f>IF(T$8&gt;0,Debt!T16,0)</f>
        <v>27.109833333333206</v>
      </c>
      <c r="U17" s="44">
        <f>IF(U$8&gt;0,Debt!U16,0)</f>
        <v>0</v>
      </c>
      <c r="V17" s="44">
        <f>IF(V$8&gt;0,Debt!V16,0)</f>
        <v>0</v>
      </c>
      <c r="W17" s="44">
        <f>IF(W$8&gt;0,Debt!W16,0)</f>
        <v>0</v>
      </c>
      <c r="X17" s="44">
        <f>IF(X$8&gt;0,Debt!X16,0)</f>
        <v>0</v>
      </c>
      <c r="Y17" s="44">
        <f>IF(Y$8&gt;0,Debt!Y16,0)</f>
        <v>0</v>
      </c>
      <c r="Z17" s="44">
        <f>IF(Z$8&gt;0,Debt!Z16,0)</f>
        <v>0</v>
      </c>
      <c r="AA17" s="44">
        <f>IF(AA$8&gt;0,Debt!AA16,0)</f>
        <v>0</v>
      </c>
      <c r="AB17" s="44">
        <f>IF(AB$8&gt;0,Debt!AB16,0)</f>
        <v>0</v>
      </c>
      <c r="AC17" s="44">
        <f>IF(AC$8&gt;0,Debt!AC16,0)</f>
        <v>0</v>
      </c>
      <c r="AD17" s="44">
        <f>IF(AD$8&gt;0,Debt!AD16,0)</f>
        <v>0</v>
      </c>
      <c r="AE17" s="44">
        <f>IF(AE$8&gt;0,Debt!AE16,0)</f>
        <v>0</v>
      </c>
      <c r="AF17" s="44">
        <f>IF(AF$8&gt;0,Debt!AF16,0)</f>
        <v>0</v>
      </c>
    </row>
    <row r="18" spans="1:32" ht="15" customHeight="1">
      <c r="A18" s="71" t="s">
        <v>407</v>
      </c>
      <c r="B18" s="71" t="s">
        <v>554</v>
      </c>
      <c r="C18" s="44">
        <f t="shared" ref="C18:AF18" si="1">C16-C17</f>
        <v>0</v>
      </c>
      <c r="D18" s="44">
        <f t="shared" si="1"/>
        <v>0</v>
      </c>
      <c r="E18" s="44">
        <f t="shared" si="1"/>
        <v>144.47127449999999</v>
      </c>
      <c r="F18" s="44">
        <f t="shared" si="1"/>
        <v>140.03033867599999</v>
      </c>
      <c r="G18" s="44">
        <f t="shared" si="1"/>
        <v>162.6543060569814</v>
      </c>
      <c r="H18" s="44">
        <f t="shared" si="1"/>
        <v>185.23235692986748</v>
      </c>
      <c r="I18" s="44">
        <f t="shared" si="1"/>
        <v>207.76348536287435</v>
      </c>
      <c r="J18" s="44">
        <f t="shared" si="1"/>
        <v>230.24666548078579</v>
      </c>
      <c r="K18" s="44">
        <f t="shared" si="1"/>
        <v>252.68085106573432</v>
      </c>
      <c r="L18" s="44">
        <f t="shared" si="1"/>
        <v>275.06497514999808</v>
      </c>
      <c r="M18" s="44">
        <f t="shared" si="1"/>
        <v>297.3979496006541</v>
      </c>
      <c r="N18" s="44">
        <f t="shared" si="1"/>
        <v>319.67866469592826</v>
      </c>
      <c r="O18" s="44">
        <f t="shared" si="1"/>
        <v>341.9059886930678</v>
      </c>
      <c r="P18" s="44">
        <f t="shared" si="1"/>
        <v>364.07876738757727</v>
      </c>
      <c r="Q18" s="44">
        <f t="shared" si="1"/>
        <v>386.19582366363551</v>
      </c>
      <c r="R18" s="44">
        <f t="shared" si="1"/>
        <v>408.25595703552477</v>
      </c>
      <c r="S18" s="44">
        <f t="shared" si="1"/>
        <v>430.25794317988823</v>
      </c>
      <c r="T18" s="44">
        <f t="shared" si="1"/>
        <v>452.20053345863153</v>
      </c>
      <c r="U18" s="44">
        <f t="shared" si="1"/>
        <v>474.08245443228577</v>
      </c>
      <c r="V18" s="44">
        <f t="shared" si="1"/>
        <v>468.79257403030454</v>
      </c>
      <c r="W18" s="44">
        <f t="shared" si="1"/>
        <v>463.43940104476462</v>
      </c>
      <c r="X18" s="44">
        <f t="shared" si="1"/>
        <v>458.02158461394652</v>
      </c>
      <c r="Y18" s="44">
        <f t="shared" si="1"/>
        <v>0</v>
      </c>
      <c r="Z18" s="44">
        <f t="shared" si="1"/>
        <v>0</v>
      </c>
      <c r="AA18" s="44">
        <f t="shared" si="1"/>
        <v>0</v>
      </c>
      <c r="AB18" s="44">
        <f t="shared" si="1"/>
        <v>0</v>
      </c>
      <c r="AC18" s="44">
        <f t="shared" si="1"/>
        <v>0</v>
      </c>
      <c r="AD18" s="44">
        <f t="shared" si="1"/>
        <v>0</v>
      </c>
      <c r="AE18" s="44">
        <f t="shared" si="1"/>
        <v>0</v>
      </c>
      <c r="AF18" s="44">
        <f t="shared" si="1"/>
        <v>0</v>
      </c>
    </row>
    <row r="19" spans="1:32" ht="15" customHeight="1">
      <c r="A19" s="71" t="s">
        <v>411</v>
      </c>
      <c r="B19" s="71" t="s">
        <v>555</v>
      </c>
      <c r="C19" s="44">
        <f>0</f>
        <v>0</v>
      </c>
      <c r="D19" s="44">
        <f t="shared" ref="D19:AF19" si="2">C22</f>
        <v>0</v>
      </c>
      <c r="E19" s="44">
        <f t="shared" si="2"/>
        <v>0</v>
      </c>
      <c r="F19" s="44">
        <f t="shared" si="2"/>
        <v>0</v>
      </c>
      <c r="G19" s="44">
        <f t="shared" si="2"/>
        <v>0</v>
      </c>
      <c r="H19" s="44">
        <f t="shared" si="2"/>
        <v>0</v>
      </c>
      <c r="I19" s="44">
        <f t="shared" si="2"/>
        <v>0</v>
      </c>
      <c r="J19" s="44">
        <f t="shared" si="2"/>
        <v>0</v>
      </c>
      <c r="K19" s="44">
        <f t="shared" si="2"/>
        <v>0</v>
      </c>
      <c r="L19" s="44">
        <f t="shared" si="2"/>
        <v>0</v>
      </c>
      <c r="M19" s="44">
        <f t="shared" si="2"/>
        <v>0</v>
      </c>
      <c r="N19" s="44">
        <f t="shared" si="2"/>
        <v>0</v>
      </c>
      <c r="O19" s="44">
        <f t="shared" si="2"/>
        <v>0</v>
      </c>
      <c r="P19" s="44">
        <f t="shared" si="2"/>
        <v>0</v>
      </c>
      <c r="Q19" s="44">
        <f t="shared" si="2"/>
        <v>0</v>
      </c>
      <c r="R19" s="44">
        <f t="shared" si="2"/>
        <v>0</v>
      </c>
      <c r="S19" s="44">
        <f t="shared" si="2"/>
        <v>0</v>
      </c>
      <c r="T19" s="44">
        <f t="shared" si="2"/>
        <v>0</v>
      </c>
      <c r="U19" s="44">
        <f t="shared" si="2"/>
        <v>0</v>
      </c>
      <c r="V19" s="44">
        <f t="shared" si="2"/>
        <v>0</v>
      </c>
      <c r="W19" s="44">
        <f t="shared" si="2"/>
        <v>0</v>
      </c>
      <c r="X19" s="44">
        <f t="shared" si="2"/>
        <v>0</v>
      </c>
      <c r="Y19" s="44">
        <f t="shared" si="2"/>
        <v>0</v>
      </c>
      <c r="Z19" s="44">
        <f t="shared" si="2"/>
        <v>0</v>
      </c>
      <c r="AA19" s="44">
        <f t="shared" si="2"/>
        <v>0</v>
      </c>
      <c r="AB19" s="44">
        <f t="shared" si="2"/>
        <v>0</v>
      </c>
      <c r="AC19" s="44">
        <f t="shared" si="2"/>
        <v>0</v>
      </c>
      <c r="AD19" s="44">
        <f t="shared" si="2"/>
        <v>0</v>
      </c>
      <c r="AE19" s="44">
        <f t="shared" si="2"/>
        <v>0</v>
      </c>
      <c r="AF19" s="44">
        <f t="shared" si="2"/>
        <v>0</v>
      </c>
    </row>
    <row r="20" spans="1:32" ht="15" customHeight="1">
      <c r="A20" s="71" t="s">
        <v>556</v>
      </c>
      <c r="B20" s="71" t="s">
        <v>557</v>
      </c>
      <c r="C20" s="44">
        <f t="shared" ref="C20:AF20" si="3">MAX(0,-C18)</f>
        <v>0</v>
      </c>
      <c r="D20" s="44">
        <f t="shared" si="3"/>
        <v>0</v>
      </c>
      <c r="E20" s="44">
        <f t="shared" si="3"/>
        <v>0</v>
      </c>
      <c r="F20" s="44">
        <f t="shared" si="3"/>
        <v>0</v>
      </c>
      <c r="G20" s="44">
        <f t="shared" si="3"/>
        <v>0</v>
      </c>
      <c r="H20" s="44">
        <f t="shared" si="3"/>
        <v>0</v>
      </c>
      <c r="I20" s="44">
        <f t="shared" si="3"/>
        <v>0</v>
      </c>
      <c r="J20" s="44">
        <f t="shared" si="3"/>
        <v>0</v>
      </c>
      <c r="K20" s="44">
        <f t="shared" si="3"/>
        <v>0</v>
      </c>
      <c r="L20" s="44">
        <f t="shared" si="3"/>
        <v>0</v>
      </c>
      <c r="M20" s="44">
        <f t="shared" si="3"/>
        <v>0</v>
      </c>
      <c r="N20" s="44">
        <f t="shared" si="3"/>
        <v>0</v>
      </c>
      <c r="O20" s="44">
        <f t="shared" si="3"/>
        <v>0</v>
      </c>
      <c r="P20" s="44">
        <f t="shared" si="3"/>
        <v>0</v>
      </c>
      <c r="Q20" s="44">
        <f t="shared" si="3"/>
        <v>0</v>
      </c>
      <c r="R20" s="44">
        <f t="shared" si="3"/>
        <v>0</v>
      </c>
      <c r="S20" s="44">
        <f t="shared" si="3"/>
        <v>0</v>
      </c>
      <c r="T20" s="44">
        <f t="shared" si="3"/>
        <v>0</v>
      </c>
      <c r="U20" s="44">
        <f t="shared" si="3"/>
        <v>0</v>
      </c>
      <c r="V20" s="44">
        <f t="shared" si="3"/>
        <v>0</v>
      </c>
      <c r="W20" s="44">
        <f t="shared" si="3"/>
        <v>0</v>
      </c>
      <c r="X20" s="44">
        <f t="shared" si="3"/>
        <v>0</v>
      </c>
      <c r="Y20" s="44">
        <f t="shared" si="3"/>
        <v>0</v>
      </c>
      <c r="Z20" s="44">
        <f t="shared" si="3"/>
        <v>0</v>
      </c>
      <c r="AA20" s="44">
        <f t="shared" si="3"/>
        <v>0</v>
      </c>
      <c r="AB20" s="44">
        <f t="shared" si="3"/>
        <v>0</v>
      </c>
      <c r="AC20" s="44">
        <f t="shared" si="3"/>
        <v>0</v>
      </c>
      <c r="AD20" s="44">
        <f t="shared" si="3"/>
        <v>0</v>
      </c>
      <c r="AE20" s="44">
        <f t="shared" si="3"/>
        <v>0</v>
      </c>
      <c r="AF20" s="44">
        <f t="shared" si="3"/>
        <v>0</v>
      </c>
    </row>
    <row r="21" spans="1:32" ht="15" customHeight="1">
      <c r="A21" s="71" t="s">
        <v>558</v>
      </c>
      <c r="B21" s="71" t="s">
        <v>559</v>
      </c>
      <c r="C21" s="44">
        <f t="shared" ref="C21:AF21" si="4">MIN(C19,MAX(0,C18))</f>
        <v>0</v>
      </c>
      <c r="D21" s="44">
        <f t="shared" si="4"/>
        <v>0</v>
      </c>
      <c r="E21" s="44">
        <f t="shared" si="4"/>
        <v>0</v>
      </c>
      <c r="F21" s="44">
        <f t="shared" si="4"/>
        <v>0</v>
      </c>
      <c r="G21" s="44">
        <f t="shared" si="4"/>
        <v>0</v>
      </c>
      <c r="H21" s="44">
        <f t="shared" si="4"/>
        <v>0</v>
      </c>
      <c r="I21" s="44">
        <f t="shared" si="4"/>
        <v>0</v>
      </c>
      <c r="J21" s="44">
        <f t="shared" si="4"/>
        <v>0</v>
      </c>
      <c r="K21" s="44">
        <f t="shared" si="4"/>
        <v>0</v>
      </c>
      <c r="L21" s="44">
        <f t="shared" si="4"/>
        <v>0</v>
      </c>
      <c r="M21" s="44">
        <f t="shared" si="4"/>
        <v>0</v>
      </c>
      <c r="N21" s="44">
        <f t="shared" si="4"/>
        <v>0</v>
      </c>
      <c r="O21" s="44">
        <f t="shared" si="4"/>
        <v>0</v>
      </c>
      <c r="P21" s="44">
        <f t="shared" si="4"/>
        <v>0</v>
      </c>
      <c r="Q21" s="44">
        <f t="shared" si="4"/>
        <v>0</v>
      </c>
      <c r="R21" s="44">
        <f t="shared" si="4"/>
        <v>0</v>
      </c>
      <c r="S21" s="44">
        <f t="shared" si="4"/>
        <v>0</v>
      </c>
      <c r="T21" s="44">
        <f t="shared" si="4"/>
        <v>0</v>
      </c>
      <c r="U21" s="44">
        <f t="shared" si="4"/>
        <v>0</v>
      </c>
      <c r="V21" s="44">
        <f t="shared" si="4"/>
        <v>0</v>
      </c>
      <c r="W21" s="44">
        <f t="shared" si="4"/>
        <v>0</v>
      </c>
      <c r="X21" s="44">
        <f t="shared" si="4"/>
        <v>0</v>
      </c>
      <c r="Y21" s="44">
        <f t="shared" si="4"/>
        <v>0</v>
      </c>
      <c r="Z21" s="44">
        <f t="shared" si="4"/>
        <v>0</v>
      </c>
      <c r="AA21" s="44">
        <f t="shared" si="4"/>
        <v>0</v>
      </c>
      <c r="AB21" s="44">
        <f t="shared" si="4"/>
        <v>0</v>
      </c>
      <c r="AC21" s="44">
        <f t="shared" si="4"/>
        <v>0</v>
      </c>
      <c r="AD21" s="44">
        <f t="shared" si="4"/>
        <v>0</v>
      </c>
      <c r="AE21" s="44">
        <f t="shared" si="4"/>
        <v>0</v>
      </c>
      <c r="AF21" s="44">
        <f t="shared" si="4"/>
        <v>0</v>
      </c>
    </row>
    <row r="22" spans="1:32" ht="15" customHeight="1">
      <c r="A22" s="71" t="s">
        <v>560</v>
      </c>
      <c r="B22" s="71" t="s">
        <v>561</v>
      </c>
      <c r="C22" s="44">
        <f t="shared" ref="C22:AF22" si="5">MAX(0,C19+C20-C21)</f>
        <v>0</v>
      </c>
      <c r="D22" s="44">
        <f t="shared" si="5"/>
        <v>0</v>
      </c>
      <c r="E22" s="44">
        <f t="shared" si="5"/>
        <v>0</v>
      </c>
      <c r="F22" s="44">
        <f t="shared" si="5"/>
        <v>0</v>
      </c>
      <c r="G22" s="44">
        <f t="shared" si="5"/>
        <v>0</v>
      </c>
      <c r="H22" s="44">
        <f t="shared" si="5"/>
        <v>0</v>
      </c>
      <c r="I22" s="44">
        <f t="shared" si="5"/>
        <v>0</v>
      </c>
      <c r="J22" s="44">
        <f t="shared" si="5"/>
        <v>0</v>
      </c>
      <c r="K22" s="44">
        <f t="shared" si="5"/>
        <v>0</v>
      </c>
      <c r="L22" s="44">
        <f t="shared" si="5"/>
        <v>0</v>
      </c>
      <c r="M22" s="44">
        <f t="shared" si="5"/>
        <v>0</v>
      </c>
      <c r="N22" s="44">
        <f t="shared" si="5"/>
        <v>0</v>
      </c>
      <c r="O22" s="44">
        <f t="shared" si="5"/>
        <v>0</v>
      </c>
      <c r="P22" s="44">
        <f t="shared" si="5"/>
        <v>0</v>
      </c>
      <c r="Q22" s="44">
        <f t="shared" si="5"/>
        <v>0</v>
      </c>
      <c r="R22" s="44">
        <f t="shared" si="5"/>
        <v>0</v>
      </c>
      <c r="S22" s="44">
        <f t="shared" si="5"/>
        <v>0</v>
      </c>
      <c r="T22" s="44">
        <f t="shared" si="5"/>
        <v>0</v>
      </c>
      <c r="U22" s="44">
        <f t="shared" si="5"/>
        <v>0</v>
      </c>
      <c r="V22" s="44">
        <f t="shared" si="5"/>
        <v>0</v>
      </c>
      <c r="W22" s="44">
        <f t="shared" si="5"/>
        <v>0</v>
      </c>
      <c r="X22" s="44">
        <f t="shared" si="5"/>
        <v>0</v>
      </c>
      <c r="Y22" s="44">
        <f t="shared" si="5"/>
        <v>0</v>
      </c>
      <c r="Z22" s="44">
        <f t="shared" si="5"/>
        <v>0</v>
      </c>
      <c r="AA22" s="44">
        <f t="shared" si="5"/>
        <v>0</v>
      </c>
      <c r="AB22" s="44">
        <f t="shared" si="5"/>
        <v>0</v>
      </c>
      <c r="AC22" s="44">
        <f t="shared" si="5"/>
        <v>0</v>
      </c>
      <c r="AD22" s="44">
        <f t="shared" si="5"/>
        <v>0</v>
      </c>
      <c r="AE22" s="44">
        <f t="shared" si="5"/>
        <v>0</v>
      </c>
      <c r="AF22" s="44">
        <f t="shared" si="5"/>
        <v>0</v>
      </c>
    </row>
    <row r="23" spans="1:32" ht="15" customHeight="1">
      <c r="A23" s="71" t="s">
        <v>562</v>
      </c>
      <c r="B23" s="71" t="s">
        <v>563</v>
      </c>
      <c r="C23" s="44">
        <f t="shared" ref="C23:AF23" si="6">MAX(0,C18-C21)</f>
        <v>0</v>
      </c>
      <c r="D23" s="44">
        <f t="shared" si="6"/>
        <v>0</v>
      </c>
      <c r="E23" s="44">
        <f t="shared" si="6"/>
        <v>144.47127449999999</v>
      </c>
      <c r="F23" s="44">
        <f t="shared" si="6"/>
        <v>140.03033867599999</v>
      </c>
      <c r="G23" s="44">
        <f t="shared" si="6"/>
        <v>162.6543060569814</v>
      </c>
      <c r="H23" s="44">
        <f t="shared" si="6"/>
        <v>185.23235692986748</v>
      </c>
      <c r="I23" s="44">
        <f t="shared" si="6"/>
        <v>207.76348536287435</v>
      </c>
      <c r="J23" s="44">
        <f t="shared" si="6"/>
        <v>230.24666548078579</v>
      </c>
      <c r="K23" s="44">
        <f t="shared" si="6"/>
        <v>252.68085106573432</v>
      </c>
      <c r="L23" s="44">
        <f t="shared" si="6"/>
        <v>275.06497514999808</v>
      </c>
      <c r="M23" s="44">
        <f t="shared" si="6"/>
        <v>297.3979496006541</v>
      </c>
      <c r="N23" s="44">
        <f t="shared" si="6"/>
        <v>319.67866469592826</v>
      </c>
      <c r="O23" s="44">
        <f t="shared" si="6"/>
        <v>341.9059886930678</v>
      </c>
      <c r="P23" s="44">
        <f t="shared" si="6"/>
        <v>364.07876738757727</v>
      </c>
      <c r="Q23" s="44">
        <f t="shared" si="6"/>
        <v>386.19582366363551</v>
      </c>
      <c r="R23" s="44">
        <f t="shared" si="6"/>
        <v>408.25595703552477</v>
      </c>
      <c r="S23" s="44">
        <f t="shared" si="6"/>
        <v>430.25794317988823</v>
      </c>
      <c r="T23" s="44">
        <f t="shared" si="6"/>
        <v>452.20053345863153</v>
      </c>
      <c r="U23" s="44">
        <f t="shared" si="6"/>
        <v>474.08245443228577</v>
      </c>
      <c r="V23" s="44">
        <f t="shared" si="6"/>
        <v>468.79257403030454</v>
      </c>
      <c r="W23" s="44">
        <f t="shared" si="6"/>
        <v>463.43940104476462</v>
      </c>
      <c r="X23" s="44">
        <f t="shared" si="6"/>
        <v>458.02158461394652</v>
      </c>
      <c r="Y23" s="44">
        <f t="shared" si="6"/>
        <v>0</v>
      </c>
      <c r="Z23" s="44">
        <f t="shared" si="6"/>
        <v>0</v>
      </c>
      <c r="AA23" s="44">
        <f t="shared" si="6"/>
        <v>0</v>
      </c>
      <c r="AB23" s="44">
        <f t="shared" si="6"/>
        <v>0</v>
      </c>
      <c r="AC23" s="44">
        <f t="shared" si="6"/>
        <v>0</v>
      </c>
      <c r="AD23" s="44">
        <f t="shared" si="6"/>
        <v>0</v>
      </c>
      <c r="AE23" s="44">
        <f t="shared" si="6"/>
        <v>0</v>
      </c>
      <c r="AF23" s="44">
        <f t="shared" si="6"/>
        <v>0</v>
      </c>
    </row>
    <row r="24" spans="1:32" ht="15" customHeight="1">
      <c r="A24" s="71" t="s">
        <v>564</v>
      </c>
      <c r="B24" s="71" t="s">
        <v>565</v>
      </c>
      <c r="C24" s="50">
        <f>IF(C$8=0,0,IF(C$8&lt;=Input!$D$73,0,IF(C$8&lt;=Input!$D$73+Input!$D$74,Input!$D$71*50%,IF(C$8&lt;=Input!$D$72,Input!$D$71,Input!$D$70))))</f>
        <v>0</v>
      </c>
      <c r="D24" s="50">
        <f>IF(D$8=0,0,IF(D$8&lt;=Input!$D$73,0,IF(D$8&lt;=Input!$D$73+Input!$D$74,Input!$D$71*50%,IF(D$8&lt;=Input!$D$72,Input!$D$71,Input!$D$70))))</f>
        <v>0</v>
      </c>
      <c r="E24" s="50">
        <f>IF(E$8=0,0,IF(E$8&lt;=Input!$D$73,0,IF(E$8&lt;=Input!$D$73+Input!$D$74,Input!$D$71*50%,IF(E$8&lt;=Input!$D$72,Input!$D$71,Input!$D$70))))</f>
        <v>0</v>
      </c>
      <c r="F24" s="50">
        <f>IF(F$8=0,0,IF(F$8&lt;=Input!$D$73,0,IF(F$8&lt;=Input!$D$73+Input!$D$74,Input!$D$71*50%,IF(F$8&lt;=Input!$D$72,Input!$D$71,Input!$D$70))))</f>
        <v>0</v>
      </c>
      <c r="G24" s="50">
        <f>IF(G$8=0,0,IF(G$8&lt;=Input!$D$73,0,IF(G$8&lt;=Input!$D$73+Input!$D$74,Input!$D$71*50%,IF(G$8&lt;=Input!$D$72,Input!$D$71,Input!$D$70))))</f>
        <v>0</v>
      </c>
      <c r="H24" s="50">
        <f>IF(H$8=0,0,IF(H$8&lt;=Input!$D$73,0,IF(H$8&lt;=Input!$D$73+Input!$D$74,Input!$D$71*50%,IF(H$8&lt;=Input!$D$72,Input!$D$71,Input!$D$70))))</f>
        <v>0</v>
      </c>
      <c r="I24" s="50">
        <f>IF(I$8=0,0,IF(I$8&lt;=Input!$D$73,0,IF(I$8&lt;=Input!$D$73+Input!$D$74,Input!$D$71*50%,IF(I$8&lt;=Input!$D$72,Input!$D$71,Input!$D$70))))</f>
        <v>0.05</v>
      </c>
      <c r="J24" s="50">
        <f>IF(J$8=0,0,IF(J$8&lt;=Input!$D$73,0,IF(J$8&lt;=Input!$D$73+Input!$D$74,Input!$D$71*50%,IF(J$8&lt;=Input!$D$72,Input!$D$71,Input!$D$70))))</f>
        <v>0.05</v>
      </c>
      <c r="K24" s="50">
        <f>IF(K$8=0,0,IF(K$8&lt;=Input!$D$73,0,IF(K$8&lt;=Input!$D$73+Input!$D$74,Input!$D$71*50%,IF(K$8&lt;=Input!$D$72,Input!$D$71,Input!$D$70))))</f>
        <v>0.05</v>
      </c>
      <c r="L24" s="50">
        <f>IF(L$8=0,0,IF(L$8&lt;=Input!$D$73,0,IF(L$8&lt;=Input!$D$73+Input!$D$74,Input!$D$71*50%,IF(L$8&lt;=Input!$D$72,Input!$D$71,Input!$D$70))))</f>
        <v>0.05</v>
      </c>
      <c r="M24" s="50">
        <f>IF(M$8=0,0,IF(M$8&lt;=Input!$D$73,0,IF(M$8&lt;=Input!$D$73+Input!$D$74,Input!$D$71*50%,IF(M$8&lt;=Input!$D$72,Input!$D$71,Input!$D$70))))</f>
        <v>0.05</v>
      </c>
      <c r="N24" s="50">
        <f>IF(N$8=0,0,IF(N$8&lt;=Input!$D$73,0,IF(N$8&lt;=Input!$D$73+Input!$D$74,Input!$D$71*50%,IF(N$8&lt;=Input!$D$72,Input!$D$71,Input!$D$70))))</f>
        <v>0.05</v>
      </c>
      <c r="O24" s="50">
        <f>IF(O$8=0,0,IF(O$8&lt;=Input!$D$73,0,IF(O$8&lt;=Input!$D$73+Input!$D$74,Input!$D$71*50%,IF(O$8&lt;=Input!$D$72,Input!$D$71,Input!$D$70))))</f>
        <v>0.05</v>
      </c>
      <c r="P24" s="50">
        <f>IF(P$8=0,0,IF(P$8&lt;=Input!$D$73,0,IF(P$8&lt;=Input!$D$73+Input!$D$74,Input!$D$71*50%,IF(P$8&lt;=Input!$D$72,Input!$D$71,Input!$D$70))))</f>
        <v>0.05</v>
      </c>
      <c r="Q24" s="50">
        <f>IF(Q$8=0,0,IF(Q$8&lt;=Input!$D$73,0,IF(Q$8&lt;=Input!$D$73+Input!$D$74,Input!$D$71*50%,IF(Q$8&lt;=Input!$D$72,Input!$D$71,Input!$D$70))))</f>
        <v>0.05</v>
      </c>
      <c r="R24" s="50">
        <f>IF(R$8=0,0,IF(R$8&lt;=Input!$D$73,0,IF(R$8&lt;=Input!$D$73+Input!$D$74,Input!$D$71*50%,IF(R$8&lt;=Input!$D$72,Input!$D$71,Input!$D$70))))</f>
        <v>0.1</v>
      </c>
      <c r="S24" s="50">
        <f>IF(S$8=0,0,IF(S$8&lt;=Input!$D$73,0,IF(S$8&lt;=Input!$D$73+Input!$D$74,Input!$D$71*50%,IF(S$8&lt;=Input!$D$72,Input!$D$71,Input!$D$70))))</f>
        <v>0.1</v>
      </c>
      <c r="T24" s="50">
        <f>IF(T$8=0,0,IF(T$8&lt;=Input!$D$73,0,IF(T$8&lt;=Input!$D$73+Input!$D$74,Input!$D$71*50%,IF(T$8&lt;=Input!$D$72,Input!$D$71,Input!$D$70))))</f>
        <v>0.2</v>
      </c>
      <c r="U24" s="50">
        <f>IF(U$8=0,0,IF(U$8&lt;=Input!$D$73,0,IF(U$8&lt;=Input!$D$73+Input!$D$74,Input!$D$71*50%,IF(U$8&lt;=Input!$D$72,Input!$D$71,Input!$D$70))))</f>
        <v>0.2</v>
      </c>
      <c r="V24" s="50">
        <f>IF(V$8=0,0,IF(V$8&lt;=Input!$D$73,0,IF(V$8&lt;=Input!$D$73+Input!$D$74,Input!$D$71*50%,IF(V$8&lt;=Input!$D$72,Input!$D$71,Input!$D$70))))</f>
        <v>0.2</v>
      </c>
      <c r="W24" s="50">
        <f>IF(W$8=0,0,IF(W$8&lt;=Input!$D$73,0,IF(W$8&lt;=Input!$D$73+Input!$D$74,Input!$D$71*50%,IF(W$8&lt;=Input!$D$72,Input!$D$71,Input!$D$70))))</f>
        <v>0.2</v>
      </c>
      <c r="X24" s="50">
        <f>IF(X$8=0,0,IF(X$8&lt;=Input!$D$73,0,IF(X$8&lt;=Input!$D$73+Input!$D$74,Input!$D$71*50%,IF(X$8&lt;=Input!$D$72,Input!$D$71,Input!$D$70))))</f>
        <v>0.2</v>
      </c>
      <c r="Y24" s="50">
        <f>IF(Y$8=0,0,IF(Y$8&lt;=Input!$D$73,0,IF(Y$8&lt;=Input!$D$73+Input!$D$74,Input!$D$71*50%,IF(Y$8&lt;=Input!$D$72,Input!$D$71,Input!$D$70))))</f>
        <v>0</v>
      </c>
      <c r="Z24" s="50">
        <f>IF(Z$8=0,0,IF(Z$8&lt;=Input!$D$73,0,IF(Z$8&lt;=Input!$D$73+Input!$D$74,Input!$D$71*50%,IF(Z$8&lt;=Input!$D$72,Input!$D$71,Input!$D$70))))</f>
        <v>0</v>
      </c>
      <c r="AA24" s="50">
        <f>IF(AA$8=0,0,IF(AA$8&lt;=Input!$D$73,0,IF(AA$8&lt;=Input!$D$73+Input!$D$74,Input!$D$71*50%,IF(AA$8&lt;=Input!$D$72,Input!$D$71,Input!$D$70))))</f>
        <v>0</v>
      </c>
      <c r="AB24" s="50">
        <f>IF(AB$8=0,0,IF(AB$8&lt;=Input!$D$73,0,IF(AB$8&lt;=Input!$D$73+Input!$D$74,Input!$D$71*50%,IF(AB$8&lt;=Input!$D$72,Input!$D$71,Input!$D$70))))</f>
        <v>0</v>
      </c>
      <c r="AC24" s="50">
        <f>IF(AC$8=0,0,IF(AC$8&lt;=Input!$D$73,0,IF(AC$8&lt;=Input!$D$73+Input!$D$74,Input!$D$71*50%,IF(AC$8&lt;=Input!$D$72,Input!$D$71,Input!$D$70))))</f>
        <v>0</v>
      </c>
      <c r="AD24" s="50">
        <f>IF(AD$8=0,0,IF(AD$8&lt;=Input!$D$73,0,IF(AD$8&lt;=Input!$D$73+Input!$D$74,Input!$D$71*50%,IF(AD$8&lt;=Input!$D$72,Input!$D$71,Input!$D$70))))</f>
        <v>0</v>
      </c>
      <c r="AE24" s="50">
        <f>IF(AE$8=0,0,IF(AE$8&lt;=Input!$D$73,0,IF(AE$8&lt;=Input!$D$73+Input!$D$74,Input!$D$71*50%,IF(AE$8&lt;=Input!$D$72,Input!$D$71,Input!$D$70))))</f>
        <v>0</v>
      </c>
      <c r="AF24" s="50">
        <f>IF(AF$8=0,0,IF(AF$8&lt;=Input!$D$73,0,IF(AF$8&lt;=Input!$D$73+Input!$D$74,Input!$D$71*50%,IF(AF$8&lt;=Input!$D$72,Input!$D$71,Input!$D$70))))</f>
        <v>0</v>
      </c>
    </row>
    <row r="25" spans="1:32" ht="15" customHeight="1">
      <c r="A25" s="71" t="s">
        <v>566</v>
      </c>
      <c r="B25" s="72" t="s">
        <v>567</v>
      </c>
      <c r="C25" s="43">
        <f t="shared" ref="C25:AF25" si="7">C23*C24</f>
        <v>0</v>
      </c>
      <c r="D25" s="43">
        <f t="shared" si="7"/>
        <v>0</v>
      </c>
      <c r="E25" s="43">
        <f t="shared" si="7"/>
        <v>0</v>
      </c>
      <c r="F25" s="43">
        <f t="shared" si="7"/>
        <v>0</v>
      </c>
      <c r="G25" s="43">
        <f t="shared" si="7"/>
        <v>0</v>
      </c>
      <c r="H25" s="43">
        <f t="shared" si="7"/>
        <v>0</v>
      </c>
      <c r="I25" s="43">
        <f t="shared" si="7"/>
        <v>10.388174268143718</v>
      </c>
      <c r="J25" s="43">
        <f t="shared" si="7"/>
        <v>11.512333274039291</v>
      </c>
      <c r="K25" s="43">
        <f t="shared" si="7"/>
        <v>12.634042553286717</v>
      </c>
      <c r="L25" s="43">
        <f t="shared" si="7"/>
        <v>13.753248757499904</v>
      </c>
      <c r="M25" s="43">
        <f t="shared" si="7"/>
        <v>14.869897480032705</v>
      </c>
      <c r="N25" s="43">
        <f t="shared" si="7"/>
        <v>15.983933234796414</v>
      </c>
      <c r="O25" s="43">
        <f t="shared" si="7"/>
        <v>17.095299434653391</v>
      </c>
      <c r="P25" s="43">
        <f t="shared" si="7"/>
        <v>18.203938369378864</v>
      </c>
      <c r="Q25" s="43">
        <f t="shared" si="7"/>
        <v>19.309791183181776</v>
      </c>
      <c r="R25" s="43">
        <f t="shared" si="7"/>
        <v>40.82559570355248</v>
      </c>
      <c r="S25" s="43">
        <f t="shared" si="7"/>
        <v>43.025794317988826</v>
      </c>
      <c r="T25" s="43">
        <f t="shared" si="7"/>
        <v>90.440106691726314</v>
      </c>
      <c r="U25" s="43">
        <f t="shared" si="7"/>
        <v>94.81649088645716</v>
      </c>
      <c r="V25" s="43">
        <f t="shared" si="7"/>
        <v>93.758514806060916</v>
      </c>
      <c r="W25" s="43">
        <f t="shared" si="7"/>
        <v>92.687880208952933</v>
      </c>
      <c r="X25" s="43">
        <f t="shared" si="7"/>
        <v>91.604316922789309</v>
      </c>
      <c r="Y25" s="43">
        <f t="shared" si="7"/>
        <v>0</v>
      </c>
      <c r="Z25" s="43">
        <f t="shared" si="7"/>
        <v>0</v>
      </c>
      <c r="AA25" s="43">
        <f t="shared" si="7"/>
        <v>0</v>
      </c>
      <c r="AB25" s="43">
        <f t="shared" si="7"/>
        <v>0</v>
      </c>
      <c r="AC25" s="43">
        <f t="shared" si="7"/>
        <v>0</v>
      </c>
      <c r="AD25" s="43">
        <f t="shared" si="7"/>
        <v>0</v>
      </c>
      <c r="AE25" s="43">
        <f t="shared" si="7"/>
        <v>0</v>
      </c>
      <c r="AF25" s="43">
        <f t="shared" si="7"/>
        <v>0</v>
      </c>
    </row>
    <row r="26" spans="1:32" ht="15" customHeight="1">
      <c r="A26" s="71" t="s">
        <v>568</v>
      </c>
      <c r="B26" s="72" t="s">
        <v>569</v>
      </c>
      <c r="C26" s="43">
        <f t="shared" ref="C26:AF26" si="8">C18-C25</f>
        <v>0</v>
      </c>
      <c r="D26" s="43">
        <f t="shared" si="8"/>
        <v>0</v>
      </c>
      <c r="E26" s="43">
        <f t="shared" si="8"/>
        <v>144.47127449999999</v>
      </c>
      <c r="F26" s="43">
        <f t="shared" si="8"/>
        <v>140.03033867599999</v>
      </c>
      <c r="G26" s="43">
        <f t="shared" si="8"/>
        <v>162.6543060569814</v>
      </c>
      <c r="H26" s="43">
        <f t="shared" si="8"/>
        <v>185.23235692986748</v>
      </c>
      <c r="I26" s="43">
        <f t="shared" si="8"/>
        <v>197.37531109473062</v>
      </c>
      <c r="J26" s="43">
        <f t="shared" si="8"/>
        <v>218.7343322067465</v>
      </c>
      <c r="K26" s="43">
        <f t="shared" si="8"/>
        <v>240.0468085124476</v>
      </c>
      <c r="L26" s="43">
        <f t="shared" si="8"/>
        <v>261.31172639249814</v>
      </c>
      <c r="M26" s="43">
        <f t="shared" si="8"/>
        <v>282.5280521206214</v>
      </c>
      <c r="N26" s="43">
        <f t="shared" si="8"/>
        <v>303.69473146113182</v>
      </c>
      <c r="O26" s="43">
        <f t="shared" si="8"/>
        <v>324.81068925841441</v>
      </c>
      <c r="P26" s="43">
        <f t="shared" si="8"/>
        <v>345.8748290181984</v>
      </c>
      <c r="Q26" s="43">
        <f t="shared" si="8"/>
        <v>366.88603248045371</v>
      </c>
      <c r="R26" s="43">
        <f t="shared" si="8"/>
        <v>367.43036133197228</v>
      </c>
      <c r="S26" s="43">
        <f t="shared" si="8"/>
        <v>387.23214886189942</v>
      </c>
      <c r="T26" s="43">
        <f t="shared" si="8"/>
        <v>361.7604267669052</v>
      </c>
      <c r="U26" s="43">
        <f t="shared" si="8"/>
        <v>379.26596354582864</v>
      </c>
      <c r="V26" s="43">
        <f t="shared" si="8"/>
        <v>375.03405922424361</v>
      </c>
      <c r="W26" s="43">
        <f t="shared" si="8"/>
        <v>370.75152083581168</v>
      </c>
      <c r="X26" s="43">
        <f t="shared" si="8"/>
        <v>366.41726769115724</v>
      </c>
      <c r="Y26" s="43">
        <f t="shared" si="8"/>
        <v>0</v>
      </c>
      <c r="Z26" s="43">
        <f t="shared" si="8"/>
        <v>0</v>
      </c>
      <c r="AA26" s="43">
        <f t="shared" si="8"/>
        <v>0</v>
      </c>
      <c r="AB26" s="43">
        <f t="shared" si="8"/>
        <v>0</v>
      </c>
      <c r="AC26" s="43">
        <f t="shared" si="8"/>
        <v>0</v>
      </c>
      <c r="AD26" s="43">
        <f t="shared" si="8"/>
        <v>0</v>
      </c>
      <c r="AE26" s="43">
        <f t="shared" si="8"/>
        <v>0</v>
      </c>
      <c r="AF26" s="43">
        <f t="shared" si="8"/>
        <v>0</v>
      </c>
    </row>
    <row r="27" spans="1:32" ht="15" customHeight="1">
      <c r="A27" s="69"/>
      <c r="B27" s="69"/>
      <c r="C27" s="64"/>
      <c r="D27" s="64"/>
      <c r="E27" s="64"/>
      <c r="F27" s="64"/>
      <c r="G27" s="64"/>
      <c r="H27" s="64"/>
      <c r="I27" s="64"/>
      <c r="J27" s="64"/>
      <c r="K27" s="64"/>
      <c r="L27" s="64"/>
      <c r="M27" s="64"/>
      <c r="N27" s="64"/>
      <c r="O27" s="64"/>
      <c r="P27" s="64"/>
      <c r="Q27" s="64"/>
      <c r="R27" s="64"/>
      <c r="S27" s="64"/>
      <c r="T27" s="64"/>
      <c r="U27" s="64"/>
      <c r="V27" s="64"/>
      <c r="W27" s="64"/>
      <c r="X27" s="64"/>
      <c r="Y27" s="64"/>
      <c r="Z27" s="64"/>
      <c r="AA27" s="64"/>
      <c r="AB27" s="64"/>
      <c r="AC27" s="64"/>
      <c r="AD27" s="64"/>
      <c r="AE27" s="64"/>
      <c r="AF27" s="64"/>
    </row>
    <row r="28" spans="1:32" ht="15" customHeight="1">
      <c r="A28" s="69"/>
      <c r="B28" s="69"/>
      <c r="C28" s="64"/>
      <c r="D28" s="64"/>
      <c r="E28" s="64"/>
      <c r="F28" s="64"/>
      <c r="G28" s="64"/>
      <c r="H28" s="64"/>
      <c r="I28" s="64"/>
      <c r="J28" s="64"/>
      <c r="K28" s="64"/>
      <c r="L28" s="64"/>
      <c r="M28" s="64"/>
      <c r="N28" s="64"/>
      <c r="O28" s="64"/>
      <c r="P28" s="64"/>
      <c r="Q28" s="64"/>
      <c r="R28" s="64"/>
      <c r="S28" s="64"/>
      <c r="T28" s="64"/>
      <c r="U28" s="64"/>
      <c r="V28" s="64"/>
      <c r="W28" s="64"/>
      <c r="X28" s="64"/>
      <c r="Y28" s="64"/>
      <c r="Z28" s="64"/>
      <c r="AA28" s="64"/>
      <c r="AB28" s="64"/>
      <c r="AC28" s="64"/>
      <c r="AD28" s="64"/>
      <c r="AE28" s="64"/>
      <c r="AF28" s="64"/>
    </row>
    <row r="29" spans="1:32">
      <c r="A29" s="142" t="s">
        <v>570</v>
      </c>
      <c r="B29" s="142"/>
      <c r="C29" s="142"/>
      <c r="D29" s="142"/>
      <c r="E29" s="142"/>
      <c r="F29" s="142"/>
      <c r="G29" s="142"/>
      <c r="H29" s="142"/>
      <c r="I29" s="142"/>
      <c r="J29" s="142"/>
      <c r="K29" s="142"/>
      <c r="L29" s="142"/>
      <c r="M29" s="142"/>
      <c r="N29" s="142"/>
      <c r="O29" s="142"/>
      <c r="P29" s="142"/>
      <c r="Q29" s="142"/>
      <c r="R29" s="142"/>
      <c r="S29" s="142"/>
      <c r="T29" s="142"/>
      <c r="U29" s="142"/>
      <c r="V29" s="142"/>
      <c r="W29" s="142"/>
      <c r="X29" s="142"/>
      <c r="Y29" s="142"/>
      <c r="Z29" s="142"/>
      <c r="AA29" s="142"/>
      <c r="AB29" s="142"/>
      <c r="AC29" s="142"/>
      <c r="AD29" s="142"/>
      <c r="AE29" s="142"/>
      <c r="AF29" s="142"/>
    </row>
    <row r="30" spans="1:32">
      <c r="A30" s="142"/>
      <c r="B30" s="142"/>
      <c r="C30" s="142"/>
      <c r="D30" s="142"/>
      <c r="E30" s="142"/>
      <c r="F30" s="142"/>
      <c r="G30" s="142"/>
      <c r="H30" s="142"/>
      <c r="I30" s="142"/>
      <c r="J30" s="142"/>
      <c r="K30" s="142"/>
      <c r="L30" s="142"/>
      <c r="M30" s="142"/>
      <c r="N30" s="142"/>
      <c r="O30" s="142"/>
      <c r="P30" s="142"/>
      <c r="Q30" s="142"/>
      <c r="R30" s="142"/>
      <c r="S30" s="142"/>
      <c r="T30" s="142"/>
      <c r="U30" s="142"/>
      <c r="V30" s="142"/>
      <c r="W30" s="142"/>
      <c r="X30" s="142"/>
      <c r="Y30" s="142"/>
      <c r="Z30" s="142"/>
      <c r="AA30" s="142"/>
      <c r="AB30" s="142"/>
      <c r="AC30" s="142"/>
      <c r="AD30" s="142"/>
      <c r="AE30" s="142"/>
      <c r="AF30" s="142"/>
    </row>
    <row r="31" spans="1:32" ht="15" customHeight="1">
      <c r="A31" s="69"/>
      <c r="B31" s="69"/>
      <c r="C31" s="64"/>
      <c r="D31" s="64"/>
      <c r="E31" s="64"/>
      <c r="F31" s="64"/>
      <c r="G31" s="64"/>
      <c r="H31" s="64"/>
      <c r="I31" s="64"/>
      <c r="J31" s="64"/>
      <c r="K31" s="64"/>
      <c r="L31" s="64"/>
      <c r="M31" s="64"/>
      <c r="N31" s="64"/>
      <c r="O31" s="64"/>
      <c r="P31" s="64"/>
      <c r="Q31" s="64"/>
      <c r="R31" s="64"/>
      <c r="S31" s="64"/>
      <c r="T31" s="64"/>
      <c r="U31" s="64"/>
      <c r="V31" s="64"/>
      <c r="W31" s="64"/>
      <c r="X31" s="64"/>
      <c r="Y31" s="64"/>
      <c r="Z31" s="64"/>
      <c r="AA31" s="64"/>
      <c r="AB31" s="64"/>
      <c r="AC31" s="64"/>
      <c r="AD31" s="64"/>
      <c r="AE31" s="64"/>
      <c r="AF31" s="64"/>
    </row>
    <row r="32" spans="1:32" ht="15" customHeight="1">
      <c r="A32" s="69"/>
      <c r="B32" s="69"/>
      <c r="C32" s="64"/>
      <c r="D32" s="64"/>
      <c r="E32" s="64"/>
      <c r="F32" s="64"/>
      <c r="G32" s="64"/>
      <c r="H32" s="64"/>
      <c r="I32" s="64"/>
      <c r="J32" s="64"/>
      <c r="K32" s="64"/>
      <c r="L32" s="64"/>
      <c r="M32" s="64"/>
      <c r="N32" s="64"/>
      <c r="O32" s="64"/>
      <c r="P32" s="64"/>
      <c r="Q32" s="64"/>
      <c r="R32" s="64"/>
      <c r="S32" s="64"/>
      <c r="T32" s="64"/>
      <c r="U32" s="64"/>
      <c r="V32" s="64"/>
      <c r="W32" s="64"/>
      <c r="X32" s="64"/>
      <c r="Y32" s="64"/>
      <c r="Z32" s="64"/>
      <c r="AA32" s="64"/>
      <c r="AB32" s="64"/>
      <c r="AC32" s="64"/>
      <c r="AD32" s="64"/>
      <c r="AE32" s="64"/>
      <c r="AF32" s="64"/>
    </row>
    <row r="33" spans="1:32" ht="15" customHeight="1">
      <c r="A33" s="69"/>
      <c r="B33" s="69"/>
      <c r="C33" s="64"/>
      <c r="D33" s="64"/>
      <c r="E33" s="64"/>
      <c r="F33" s="64"/>
      <c r="G33" s="64"/>
      <c r="H33" s="64"/>
      <c r="I33" s="64"/>
      <c r="J33" s="64"/>
      <c r="K33" s="64"/>
      <c r="L33" s="64"/>
      <c r="M33" s="64"/>
      <c r="N33" s="64"/>
      <c r="O33" s="64"/>
      <c r="P33" s="64"/>
      <c r="Q33" s="64"/>
      <c r="R33" s="64"/>
      <c r="S33" s="64"/>
      <c r="T33" s="64"/>
      <c r="U33" s="64"/>
      <c r="V33" s="64"/>
      <c r="W33" s="64"/>
      <c r="X33" s="64"/>
      <c r="Y33" s="64"/>
      <c r="Z33" s="64"/>
      <c r="AA33" s="64"/>
      <c r="AB33" s="64"/>
      <c r="AC33" s="64"/>
      <c r="AD33" s="64"/>
      <c r="AE33" s="64"/>
      <c r="AF33" s="64"/>
    </row>
    <row r="34" spans="1:32" ht="15" customHeight="1">
      <c r="A34" s="69"/>
      <c r="B34" s="69"/>
      <c r="C34" s="64"/>
      <c r="D34" s="64"/>
      <c r="E34" s="64"/>
      <c r="F34" s="64"/>
      <c r="G34" s="64"/>
      <c r="H34" s="64"/>
      <c r="I34" s="64"/>
      <c r="J34" s="64"/>
      <c r="K34" s="64"/>
      <c r="L34" s="64"/>
      <c r="M34" s="64"/>
      <c r="N34" s="64"/>
      <c r="O34" s="64"/>
      <c r="P34" s="64"/>
      <c r="Q34" s="64"/>
      <c r="R34" s="64"/>
      <c r="S34" s="64"/>
      <c r="T34" s="64"/>
      <c r="U34" s="64"/>
      <c r="V34" s="64"/>
      <c r="W34" s="64"/>
      <c r="X34" s="64"/>
      <c r="Y34" s="64"/>
      <c r="Z34" s="64"/>
      <c r="AA34" s="64"/>
      <c r="AB34" s="64"/>
      <c r="AC34" s="64"/>
      <c r="AD34" s="64"/>
      <c r="AE34" s="64"/>
      <c r="AF34" s="64"/>
    </row>
    <row r="35" spans="1:32" ht="15" customHeight="1">
      <c r="A35" s="69"/>
      <c r="B35" s="69"/>
      <c r="C35" s="64"/>
      <c r="D35" s="64"/>
      <c r="E35" s="64"/>
      <c r="F35" s="64"/>
      <c r="G35" s="64"/>
      <c r="H35" s="64"/>
      <c r="I35" s="64"/>
      <c r="J35" s="64"/>
      <c r="K35" s="64"/>
      <c r="L35" s="64"/>
      <c r="M35" s="64"/>
      <c r="N35" s="64"/>
      <c r="O35" s="64"/>
      <c r="P35" s="64"/>
      <c r="Q35" s="64"/>
      <c r="R35" s="64"/>
      <c r="S35" s="64"/>
      <c r="T35" s="64"/>
      <c r="U35" s="64"/>
      <c r="V35" s="64"/>
      <c r="W35" s="64"/>
      <c r="X35" s="64"/>
      <c r="Y35" s="64"/>
      <c r="Z35" s="64"/>
      <c r="AA35" s="64"/>
      <c r="AB35" s="64"/>
      <c r="AC35" s="64"/>
      <c r="AD35" s="64"/>
      <c r="AE35" s="64"/>
      <c r="AF35" s="64"/>
    </row>
    <row r="36" spans="1:32" ht="15" customHeight="1">
      <c r="A36" s="69"/>
      <c r="B36" s="69"/>
      <c r="C36" s="64"/>
      <c r="D36" s="64"/>
      <c r="E36" s="64"/>
      <c r="F36" s="64"/>
      <c r="G36" s="64"/>
      <c r="H36" s="64"/>
      <c r="I36" s="64"/>
      <c r="J36" s="64"/>
      <c r="K36" s="64"/>
      <c r="L36" s="64"/>
      <c r="M36" s="64"/>
      <c r="N36" s="64"/>
      <c r="O36" s="64"/>
      <c r="P36" s="64"/>
      <c r="Q36" s="64"/>
      <c r="R36" s="64"/>
      <c r="S36" s="64"/>
      <c r="T36" s="64"/>
      <c r="U36" s="64"/>
      <c r="V36" s="64"/>
      <c r="W36" s="64"/>
      <c r="X36" s="64"/>
      <c r="Y36" s="64"/>
      <c r="Z36" s="64"/>
      <c r="AA36" s="64"/>
      <c r="AB36" s="64"/>
      <c r="AC36" s="64"/>
      <c r="AD36" s="64"/>
      <c r="AE36" s="64"/>
      <c r="AF36" s="64"/>
    </row>
    <row r="37" spans="1:32" ht="15" customHeight="1">
      <c r="A37" s="69"/>
      <c r="B37" s="69"/>
      <c r="C37" s="64"/>
      <c r="D37" s="64"/>
      <c r="E37" s="64"/>
      <c r="F37" s="64"/>
      <c r="G37" s="64"/>
      <c r="H37" s="64"/>
      <c r="I37" s="64"/>
      <c r="J37" s="64"/>
      <c r="K37" s="64"/>
      <c r="L37" s="64"/>
      <c r="M37" s="64"/>
      <c r="N37" s="64"/>
      <c r="O37" s="64"/>
      <c r="P37" s="64"/>
      <c r="Q37" s="64"/>
      <c r="R37" s="64"/>
      <c r="S37" s="64"/>
      <c r="T37" s="64"/>
      <c r="U37" s="64"/>
      <c r="V37" s="64"/>
      <c r="W37" s="64"/>
      <c r="X37" s="64"/>
      <c r="Y37" s="64"/>
      <c r="Z37" s="64"/>
      <c r="AA37" s="64"/>
      <c r="AB37" s="64"/>
      <c r="AC37" s="64"/>
      <c r="AD37" s="64"/>
      <c r="AE37" s="64"/>
      <c r="AF37" s="64"/>
    </row>
    <row r="38" spans="1:32" ht="15" customHeight="1">
      <c r="A38" s="69"/>
      <c r="B38" s="69"/>
      <c r="C38" s="64"/>
      <c r="D38" s="64"/>
      <c r="E38" s="64"/>
      <c r="F38" s="64"/>
      <c r="G38" s="64"/>
      <c r="H38" s="64"/>
      <c r="I38" s="64"/>
      <c r="J38" s="64"/>
      <c r="K38" s="64"/>
      <c r="L38" s="64"/>
      <c r="M38" s="64"/>
      <c r="N38" s="64"/>
      <c r="O38" s="64"/>
      <c r="P38" s="64"/>
      <c r="Q38" s="64"/>
      <c r="R38" s="64"/>
      <c r="S38" s="64"/>
      <c r="T38" s="64"/>
      <c r="U38" s="64"/>
      <c r="V38" s="64"/>
      <c r="W38" s="64"/>
      <c r="X38" s="64"/>
      <c r="Y38" s="64"/>
      <c r="Z38" s="64"/>
      <c r="AA38" s="64"/>
      <c r="AB38" s="64"/>
      <c r="AC38" s="64"/>
      <c r="AD38" s="64"/>
      <c r="AE38" s="64"/>
      <c r="AF38" s="64"/>
    </row>
    <row r="39" spans="1:32" ht="15" customHeight="1">
      <c r="A39" s="69"/>
      <c r="B39" s="69"/>
      <c r="C39" s="64"/>
      <c r="D39" s="64"/>
      <c r="E39" s="64"/>
      <c r="F39" s="64"/>
      <c r="G39" s="64"/>
      <c r="H39" s="64"/>
      <c r="I39" s="64"/>
      <c r="J39" s="64"/>
      <c r="K39" s="64"/>
      <c r="L39" s="64"/>
      <c r="M39" s="64"/>
      <c r="N39" s="64"/>
      <c r="O39" s="64"/>
      <c r="P39" s="64"/>
      <c r="Q39" s="64"/>
      <c r="R39" s="64"/>
      <c r="S39" s="64"/>
      <c r="T39" s="64"/>
      <c r="U39" s="64"/>
      <c r="V39" s="64"/>
      <c r="W39" s="64"/>
      <c r="X39" s="64"/>
      <c r="Y39" s="64"/>
      <c r="Z39" s="64"/>
      <c r="AA39" s="64"/>
      <c r="AB39" s="64"/>
      <c r="AC39" s="64"/>
      <c r="AD39" s="64"/>
      <c r="AE39" s="64"/>
      <c r="AF39" s="64"/>
    </row>
    <row r="40" spans="1:32" ht="15" customHeight="1">
      <c r="A40" s="69"/>
      <c r="B40" s="69"/>
      <c r="C40" s="64"/>
      <c r="D40" s="64"/>
      <c r="E40" s="64"/>
      <c r="F40" s="64"/>
      <c r="G40" s="64"/>
      <c r="H40" s="64"/>
      <c r="I40" s="64"/>
      <c r="J40" s="64"/>
      <c r="K40" s="64"/>
      <c r="L40" s="64"/>
      <c r="M40" s="64"/>
      <c r="N40" s="64"/>
      <c r="O40" s="64"/>
      <c r="P40" s="64"/>
      <c r="Q40" s="64"/>
      <c r="R40" s="64"/>
      <c r="S40" s="64"/>
      <c r="T40" s="64"/>
      <c r="U40" s="64"/>
      <c r="V40" s="64"/>
      <c r="W40" s="64"/>
      <c r="X40" s="64"/>
      <c r="Y40" s="64"/>
      <c r="Z40" s="64"/>
      <c r="AA40" s="64"/>
      <c r="AB40" s="64"/>
      <c r="AC40" s="64"/>
      <c r="AD40" s="64"/>
      <c r="AE40" s="64"/>
      <c r="AF40" s="64"/>
    </row>
    <row r="41" spans="1:32">
      <c r="A41" s="40"/>
      <c r="B41" s="40"/>
      <c r="C41" s="40"/>
      <c r="D41" s="40"/>
      <c r="E41" s="40"/>
      <c r="F41" s="40"/>
      <c r="G41" s="40"/>
      <c r="H41" s="40"/>
      <c r="I41" s="40"/>
      <c r="J41" s="40"/>
      <c r="K41" s="40"/>
      <c r="L41" s="40"/>
      <c r="M41" s="40"/>
      <c r="N41" s="40"/>
      <c r="O41" s="40"/>
      <c r="P41" s="40"/>
      <c r="Q41" s="40"/>
      <c r="R41" s="40"/>
      <c r="S41" s="40"/>
      <c r="T41" s="40"/>
      <c r="U41" s="40"/>
      <c r="V41" s="40"/>
      <c r="W41" s="40"/>
      <c r="X41" s="40"/>
      <c r="Y41" s="40"/>
      <c r="Z41" s="40"/>
      <c r="AA41" s="40"/>
      <c r="AB41" s="40"/>
      <c r="AC41" s="40"/>
      <c r="AD41" s="40"/>
      <c r="AE41" s="40"/>
      <c r="AF41" s="40"/>
    </row>
    <row r="42" spans="1:32">
      <c r="A42" s="40"/>
      <c r="B42" s="40"/>
      <c r="C42" s="40"/>
      <c r="D42" s="40"/>
      <c r="E42" s="40"/>
      <c r="F42" s="40"/>
      <c r="G42" s="40"/>
      <c r="H42" s="40"/>
      <c r="I42" s="40"/>
      <c r="J42" s="40"/>
      <c r="K42" s="40"/>
      <c r="L42" s="40"/>
      <c r="M42" s="40"/>
      <c r="N42" s="40"/>
      <c r="O42" s="40"/>
      <c r="P42" s="40"/>
      <c r="Q42" s="40"/>
      <c r="R42" s="40"/>
      <c r="S42" s="40"/>
      <c r="T42" s="40"/>
      <c r="U42" s="40"/>
      <c r="V42" s="40"/>
      <c r="W42" s="40"/>
      <c r="X42" s="40"/>
      <c r="Y42" s="40"/>
      <c r="Z42" s="40"/>
      <c r="AA42" s="40"/>
      <c r="AB42" s="40"/>
      <c r="AC42" s="40"/>
      <c r="AD42" s="40"/>
      <c r="AE42" s="40"/>
      <c r="AF42" s="40"/>
    </row>
    <row r="43" spans="1:32">
      <c r="A43" s="40"/>
      <c r="B43" s="40"/>
      <c r="C43" s="40"/>
      <c r="D43" s="40"/>
      <c r="E43" s="40"/>
      <c r="F43" s="40"/>
      <c r="G43" s="40"/>
      <c r="H43" s="40"/>
      <c r="I43" s="40"/>
      <c r="J43" s="40"/>
      <c r="K43" s="40"/>
      <c r="L43" s="40"/>
      <c r="M43" s="40"/>
      <c r="N43" s="40"/>
      <c r="O43" s="40"/>
      <c r="P43" s="40"/>
      <c r="Q43" s="40"/>
      <c r="R43" s="40"/>
      <c r="S43" s="40"/>
      <c r="T43" s="40"/>
      <c r="U43" s="40"/>
      <c r="V43" s="40"/>
      <c r="W43" s="40"/>
      <c r="X43" s="40"/>
      <c r="Y43" s="40"/>
      <c r="Z43" s="40"/>
      <c r="AA43" s="40"/>
      <c r="AB43" s="40"/>
      <c r="AC43" s="40"/>
      <c r="AD43" s="40"/>
      <c r="AE43" s="40"/>
      <c r="AF43" s="40"/>
    </row>
    <row r="44" spans="1:32">
      <c r="A44" s="40"/>
      <c r="B44" s="40"/>
      <c r="C44" s="40"/>
      <c r="D44" s="40"/>
      <c r="E44" s="40"/>
      <c r="F44" s="40"/>
      <c r="G44" s="40"/>
      <c r="H44" s="40"/>
      <c r="I44" s="40"/>
      <c r="J44" s="40"/>
      <c r="K44" s="40"/>
      <c r="L44" s="40"/>
      <c r="M44" s="40"/>
      <c r="N44" s="40"/>
      <c r="O44" s="40"/>
      <c r="P44" s="40"/>
      <c r="Q44" s="40"/>
      <c r="R44" s="40"/>
      <c r="S44" s="40"/>
      <c r="T44" s="40"/>
      <c r="U44" s="40"/>
      <c r="V44" s="40"/>
      <c r="W44" s="40"/>
      <c r="X44" s="40"/>
      <c r="Y44" s="40"/>
      <c r="Z44" s="40"/>
      <c r="AA44" s="40"/>
      <c r="AB44" s="40"/>
      <c r="AC44" s="40"/>
      <c r="AD44" s="40"/>
      <c r="AE44" s="40"/>
      <c r="AF44" s="40"/>
    </row>
    <row r="45" spans="1:32">
      <c r="A45" s="40"/>
      <c r="B45" s="40"/>
      <c r="C45" s="40"/>
      <c r="D45" s="40"/>
      <c r="E45" s="40"/>
      <c r="F45" s="40"/>
      <c r="G45" s="40"/>
      <c r="H45" s="40"/>
      <c r="I45" s="40"/>
      <c r="J45" s="40"/>
      <c r="K45" s="40"/>
      <c r="L45" s="40"/>
      <c r="M45" s="40"/>
      <c r="N45" s="40"/>
      <c r="O45" s="40"/>
      <c r="P45" s="40"/>
      <c r="Q45" s="40"/>
      <c r="R45" s="40"/>
      <c r="S45" s="40"/>
      <c r="T45" s="40"/>
      <c r="U45" s="40"/>
      <c r="V45" s="40"/>
      <c r="W45" s="40"/>
      <c r="X45" s="40"/>
      <c r="Y45" s="40"/>
      <c r="Z45" s="40"/>
      <c r="AA45" s="40"/>
      <c r="AB45" s="40"/>
      <c r="AC45" s="40"/>
      <c r="AD45" s="40"/>
      <c r="AE45" s="40"/>
      <c r="AF45" s="40"/>
    </row>
    <row r="46" spans="1:32">
      <c r="A46" s="40"/>
      <c r="B46" s="40"/>
      <c r="C46" s="40"/>
      <c r="D46" s="40"/>
      <c r="E46" s="40"/>
      <c r="F46" s="40"/>
      <c r="G46" s="40"/>
      <c r="H46" s="40"/>
      <c r="I46" s="40"/>
      <c r="J46" s="40"/>
      <c r="K46" s="40"/>
      <c r="L46" s="40"/>
      <c r="M46" s="40"/>
      <c r="N46" s="40"/>
      <c r="O46" s="40"/>
      <c r="P46" s="40"/>
      <c r="Q46" s="40"/>
      <c r="R46" s="40"/>
      <c r="S46" s="40"/>
      <c r="T46" s="40"/>
      <c r="U46" s="40"/>
      <c r="V46" s="40"/>
      <c r="W46" s="40"/>
      <c r="X46" s="40"/>
      <c r="Y46" s="40"/>
      <c r="Z46" s="40"/>
      <c r="AA46" s="40"/>
      <c r="AB46" s="40"/>
      <c r="AC46" s="40"/>
      <c r="AD46" s="40"/>
      <c r="AE46" s="40"/>
      <c r="AF46" s="40"/>
    </row>
    <row r="47" spans="1:32">
      <c r="A47" s="40"/>
      <c r="B47" s="40"/>
      <c r="C47" s="40"/>
      <c r="D47" s="40"/>
      <c r="E47" s="40"/>
      <c r="F47" s="40"/>
      <c r="G47" s="40"/>
      <c r="H47" s="40"/>
      <c r="I47" s="40"/>
      <c r="J47" s="40"/>
      <c r="K47" s="40"/>
      <c r="L47" s="40"/>
      <c r="M47" s="40"/>
      <c r="N47" s="40"/>
      <c r="O47" s="40"/>
      <c r="P47" s="40"/>
      <c r="Q47" s="40"/>
      <c r="R47" s="40"/>
      <c r="S47" s="40"/>
      <c r="T47" s="40"/>
      <c r="U47" s="40"/>
      <c r="V47" s="40"/>
      <c r="W47" s="40"/>
      <c r="X47" s="40"/>
      <c r="Y47" s="40"/>
      <c r="Z47" s="40"/>
      <c r="AA47" s="40"/>
      <c r="AB47" s="40"/>
      <c r="AC47" s="40"/>
      <c r="AD47" s="40"/>
      <c r="AE47" s="40"/>
      <c r="AF47" s="40"/>
    </row>
    <row r="48" spans="1:32">
      <c r="A48" s="40"/>
      <c r="B48" s="40"/>
      <c r="C48" s="40"/>
      <c r="D48" s="40"/>
      <c r="E48" s="40"/>
      <c r="F48" s="40"/>
      <c r="G48" s="40"/>
      <c r="H48" s="40"/>
      <c r="I48" s="40"/>
      <c r="J48" s="40"/>
      <c r="K48" s="40"/>
      <c r="L48" s="40"/>
      <c r="M48" s="40"/>
      <c r="N48" s="40"/>
      <c r="O48" s="40"/>
      <c r="P48" s="40"/>
      <c r="Q48" s="40"/>
      <c r="R48" s="40"/>
      <c r="S48" s="40"/>
      <c r="T48" s="40"/>
      <c r="U48" s="40"/>
      <c r="V48" s="40"/>
      <c r="W48" s="40"/>
      <c r="X48" s="40"/>
      <c r="Y48" s="40"/>
      <c r="Z48" s="40"/>
      <c r="AA48" s="40"/>
      <c r="AB48" s="40"/>
      <c r="AC48" s="40"/>
      <c r="AD48" s="40"/>
      <c r="AE48" s="40"/>
      <c r="AF48" s="40"/>
    </row>
    <row r="49" spans="1:32">
      <c r="A49" s="40"/>
      <c r="B49" s="40"/>
      <c r="C49" s="40"/>
      <c r="D49" s="40"/>
      <c r="E49" s="40"/>
      <c r="F49" s="40"/>
      <c r="G49" s="40"/>
      <c r="H49" s="40"/>
      <c r="I49" s="40"/>
      <c r="J49" s="40"/>
      <c r="K49" s="40"/>
      <c r="L49" s="40"/>
      <c r="M49" s="40"/>
      <c r="N49" s="40"/>
      <c r="O49" s="40"/>
      <c r="P49" s="40"/>
      <c r="Q49" s="40"/>
      <c r="R49" s="40"/>
      <c r="S49" s="40"/>
      <c r="T49" s="40"/>
      <c r="U49" s="40"/>
      <c r="V49" s="40"/>
      <c r="W49" s="40"/>
      <c r="X49" s="40"/>
      <c r="Y49" s="40"/>
      <c r="Z49" s="40"/>
      <c r="AA49" s="40"/>
      <c r="AB49" s="40"/>
      <c r="AC49" s="40"/>
      <c r="AD49" s="40"/>
      <c r="AE49" s="40"/>
      <c r="AF49" s="40"/>
    </row>
    <row r="50" spans="1:32">
      <c r="A50" s="40"/>
      <c r="B50" s="40"/>
      <c r="C50" s="40"/>
      <c r="D50" s="40"/>
      <c r="E50" s="40"/>
      <c r="F50" s="40"/>
      <c r="G50" s="40"/>
      <c r="H50" s="40"/>
      <c r="I50" s="40"/>
      <c r="J50" s="40"/>
      <c r="K50" s="40"/>
      <c r="L50" s="40"/>
      <c r="M50" s="40"/>
      <c r="N50" s="40"/>
      <c r="O50" s="40"/>
      <c r="P50" s="40"/>
      <c r="Q50" s="40"/>
      <c r="R50" s="40"/>
      <c r="S50" s="40"/>
      <c r="T50" s="40"/>
      <c r="U50" s="40"/>
      <c r="V50" s="40"/>
      <c r="W50" s="40"/>
      <c r="X50" s="40"/>
      <c r="Y50" s="40"/>
      <c r="Z50" s="40"/>
      <c r="AA50" s="40"/>
      <c r="AB50" s="40"/>
      <c r="AC50" s="40"/>
      <c r="AD50" s="40"/>
      <c r="AE50" s="40"/>
      <c r="AF50" s="40"/>
    </row>
    <row r="51" spans="1:32">
      <c r="A51" s="40"/>
      <c r="B51" s="40"/>
      <c r="C51" s="40"/>
      <c r="D51" s="40"/>
      <c r="E51" s="40"/>
      <c r="F51" s="40"/>
      <c r="G51" s="40"/>
      <c r="H51" s="40"/>
      <c r="I51" s="40"/>
      <c r="J51" s="40"/>
      <c r="K51" s="40"/>
      <c r="L51" s="40"/>
      <c r="M51" s="40"/>
      <c r="N51" s="40"/>
      <c r="O51" s="40"/>
      <c r="P51" s="40"/>
      <c r="Q51" s="40"/>
      <c r="R51" s="40"/>
      <c r="S51" s="40"/>
      <c r="T51" s="40"/>
      <c r="U51" s="40"/>
      <c r="V51" s="40"/>
      <c r="W51" s="40"/>
      <c r="X51" s="40"/>
      <c r="Y51" s="40"/>
      <c r="Z51" s="40"/>
      <c r="AA51" s="40"/>
      <c r="AB51" s="40"/>
      <c r="AC51" s="40"/>
      <c r="AD51" s="40"/>
      <c r="AE51" s="40"/>
      <c r="AF51" s="40"/>
    </row>
    <row r="52" spans="1:32">
      <c r="A52" s="40"/>
      <c r="B52" s="40"/>
      <c r="C52" s="40"/>
      <c r="D52" s="40"/>
      <c r="E52" s="40"/>
      <c r="F52" s="40"/>
      <c r="G52" s="40"/>
      <c r="H52" s="40"/>
      <c r="I52" s="40"/>
      <c r="J52" s="40"/>
      <c r="K52" s="40"/>
      <c r="L52" s="40"/>
      <c r="M52" s="40"/>
      <c r="N52" s="40"/>
      <c r="O52" s="40"/>
      <c r="P52" s="40"/>
      <c r="Q52" s="40"/>
      <c r="R52" s="40"/>
      <c r="S52" s="40"/>
      <c r="T52" s="40"/>
      <c r="U52" s="40"/>
      <c r="V52" s="40"/>
      <c r="W52" s="40"/>
      <c r="X52" s="40"/>
      <c r="Y52" s="40"/>
      <c r="Z52" s="40"/>
      <c r="AA52" s="40"/>
      <c r="AB52" s="40"/>
      <c r="AC52" s="40"/>
      <c r="AD52" s="40"/>
      <c r="AE52" s="40"/>
      <c r="AF52" s="40"/>
    </row>
    <row r="53" spans="1:32">
      <c r="A53" s="40"/>
      <c r="B53" s="40"/>
      <c r="C53" s="40"/>
      <c r="D53" s="40"/>
      <c r="E53" s="40"/>
      <c r="F53" s="40"/>
      <c r="G53" s="40"/>
      <c r="H53" s="40"/>
      <c r="I53" s="40"/>
      <c r="J53" s="40"/>
      <c r="K53" s="40"/>
      <c r="L53" s="40"/>
      <c r="M53" s="40"/>
      <c r="N53" s="40"/>
      <c r="O53" s="40"/>
      <c r="P53" s="40"/>
      <c r="Q53" s="40"/>
      <c r="R53" s="40"/>
      <c r="S53" s="40"/>
      <c r="T53" s="40"/>
      <c r="U53" s="40"/>
      <c r="V53" s="40"/>
      <c r="W53" s="40"/>
      <c r="X53" s="40"/>
      <c r="Y53" s="40"/>
      <c r="Z53" s="40"/>
      <c r="AA53" s="40"/>
      <c r="AB53" s="40"/>
      <c r="AC53" s="40"/>
      <c r="AD53" s="40"/>
      <c r="AE53" s="40"/>
      <c r="AF53" s="40"/>
    </row>
    <row r="54" spans="1:32">
      <c r="A54" s="40"/>
      <c r="B54" s="40"/>
      <c r="C54" s="40"/>
      <c r="D54" s="40"/>
      <c r="E54" s="40"/>
      <c r="F54" s="40"/>
      <c r="G54" s="40"/>
      <c r="H54" s="40"/>
      <c r="I54" s="40"/>
      <c r="J54" s="40"/>
      <c r="K54" s="40"/>
      <c r="L54" s="40"/>
      <c r="M54" s="40"/>
      <c r="N54" s="40"/>
      <c r="O54" s="40"/>
      <c r="P54" s="40"/>
      <c r="Q54" s="40"/>
      <c r="R54" s="40"/>
      <c r="S54" s="40"/>
      <c r="T54" s="40"/>
      <c r="U54" s="40"/>
      <c r="V54" s="40"/>
      <c r="W54" s="40"/>
      <c r="X54" s="40"/>
      <c r="Y54" s="40"/>
      <c r="Z54" s="40"/>
      <c r="AA54" s="40"/>
      <c r="AB54" s="40"/>
      <c r="AC54" s="40"/>
      <c r="AD54" s="40"/>
      <c r="AE54" s="40"/>
      <c r="AF54" s="40"/>
    </row>
    <row r="55" spans="1:32">
      <c r="A55" s="40"/>
      <c r="B55" s="40"/>
      <c r="C55" s="40"/>
      <c r="D55" s="40"/>
      <c r="E55" s="40"/>
      <c r="F55" s="40"/>
      <c r="G55" s="40"/>
      <c r="H55" s="40"/>
      <c r="I55" s="40"/>
      <c r="J55" s="40"/>
      <c r="K55" s="40"/>
      <c r="L55" s="40"/>
      <c r="M55" s="40"/>
      <c r="N55" s="40"/>
      <c r="O55" s="40"/>
      <c r="P55" s="40"/>
      <c r="Q55" s="40"/>
      <c r="R55" s="40"/>
      <c r="S55" s="40"/>
      <c r="T55" s="40"/>
      <c r="U55" s="40"/>
      <c r="V55" s="40"/>
      <c r="W55" s="40"/>
      <c r="X55" s="40"/>
      <c r="Y55" s="40"/>
      <c r="Z55" s="40"/>
      <c r="AA55" s="40"/>
      <c r="AB55" s="40"/>
      <c r="AC55" s="40"/>
      <c r="AD55" s="40"/>
      <c r="AE55" s="40"/>
      <c r="AF55" s="40"/>
    </row>
    <row r="56" spans="1:32">
      <c r="A56" s="40"/>
      <c r="B56" s="40"/>
      <c r="C56" s="40"/>
      <c r="D56" s="40"/>
      <c r="E56" s="40"/>
      <c r="F56" s="40"/>
      <c r="G56" s="40"/>
      <c r="H56" s="40"/>
      <c r="I56" s="40"/>
      <c r="J56" s="40"/>
      <c r="K56" s="40"/>
      <c r="L56" s="40"/>
      <c r="M56" s="40"/>
      <c r="N56" s="40"/>
      <c r="O56" s="40"/>
      <c r="P56" s="40"/>
      <c r="Q56" s="40"/>
      <c r="R56" s="40"/>
      <c r="S56" s="40"/>
      <c r="T56" s="40"/>
      <c r="U56" s="40"/>
      <c r="V56" s="40"/>
      <c r="W56" s="40"/>
      <c r="X56" s="40"/>
      <c r="Y56" s="40"/>
      <c r="Z56" s="40"/>
      <c r="AA56" s="40"/>
      <c r="AB56" s="40"/>
      <c r="AC56" s="40"/>
      <c r="AD56" s="40"/>
      <c r="AE56" s="40"/>
      <c r="AF56" s="40"/>
    </row>
    <row r="57" spans="1:32">
      <c r="A57" s="40"/>
      <c r="B57" s="40"/>
      <c r="C57" s="40"/>
      <c r="D57" s="40"/>
      <c r="E57" s="40"/>
      <c r="F57" s="40"/>
      <c r="G57" s="40"/>
      <c r="H57" s="40"/>
      <c r="I57" s="40"/>
      <c r="J57" s="40"/>
      <c r="K57" s="40"/>
      <c r="L57" s="40"/>
      <c r="M57" s="40"/>
      <c r="N57" s="40"/>
      <c r="O57" s="40"/>
      <c r="P57" s="40"/>
      <c r="Q57" s="40"/>
      <c r="R57" s="40"/>
      <c r="S57" s="40"/>
      <c r="T57" s="40"/>
      <c r="U57" s="40"/>
      <c r="V57" s="40"/>
      <c r="W57" s="40"/>
      <c r="X57" s="40"/>
      <c r="Y57" s="40"/>
      <c r="Z57" s="40"/>
      <c r="AA57" s="40"/>
      <c r="AB57" s="40"/>
      <c r="AC57" s="40"/>
      <c r="AD57" s="40"/>
      <c r="AE57" s="40"/>
      <c r="AF57" s="40"/>
    </row>
    <row r="58" spans="1:32">
      <c r="A58" s="40"/>
      <c r="B58" s="40"/>
      <c r="C58" s="40"/>
      <c r="D58" s="40"/>
      <c r="E58" s="40"/>
      <c r="F58" s="40"/>
      <c r="G58" s="40"/>
      <c r="H58" s="40"/>
      <c r="I58" s="40"/>
      <c r="J58" s="40"/>
      <c r="K58" s="40"/>
      <c r="L58" s="40"/>
      <c r="M58" s="40"/>
      <c r="N58" s="40"/>
      <c r="O58" s="40"/>
      <c r="P58" s="40"/>
      <c r="Q58" s="40"/>
      <c r="R58" s="40"/>
      <c r="S58" s="40"/>
      <c r="T58" s="40"/>
      <c r="U58" s="40"/>
      <c r="V58" s="40"/>
      <c r="W58" s="40"/>
      <c r="X58" s="40"/>
      <c r="Y58" s="40"/>
      <c r="Z58" s="40"/>
      <c r="AA58" s="40"/>
      <c r="AB58" s="40"/>
      <c r="AC58" s="40"/>
      <c r="AD58" s="40"/>
      <c r="AE58" s="40"/>
      <c r="AF58" s="40"/>
    </row>
    <row r="59" spans="1:32">
      <c r="A59" s="40"/>
      <c r="B59" s="40"/>
      <c r="C59" s="40"/>
      <c r="D59" s="40"/>
      <c r="E59" s="40"/>
      <c r="F59" s="40"/>
      <c r="G59" s="40"/>
      <c r="H59" s="40"/>
      <c r="I59" s="40"/>
      <c r="J59" s="40"/>
      <c r="K59" s="40"/>
      <c r="L59" s="40"/>
      <c r="M59" s="40"/>
      <c r="N59" s="40"/>
      <c r="O59" s="40"/>
      <c r="P59" s="40"/>
      <c r="Q59" s="40"/>
      <c r="R59" s="40"/>
      <c r="S59" s="40"/>
      <c r="T59" s="40"/>
      <c r="U59" s="40"/>
      <c r="V59" s="40"/>
      <c r="W59" s="40"/>
      <c r="X59" s="40"/>
      <c r="Y59" s="40"/>
      <c r="Z59" s="40"/>
      <c r="AA59" s="40"/>
      <c r="AB59" s="40"/>
      <c r="AC59" s="40"/>
      <c r="AD59" s="40"/>
      <c r="AE59" s="40"/>
      <c r="AF59" s="40"/>
    </row>
    <row r="60" spans="1:32">
      <c r="A60" s="40"/>
      <c r="B60" s="40"/>
      <c r="C60" s="40"/>
      <c r="D60" s="40"/>
      <c r="E60" s="40"/>
      <c r="F60" s="40"/>
      <c r="G60" s="40"/>
      <c r="H60" s="40"/>
      <c r="I60" s="40"/>
      <c r="J60" s="40"/>
      <c r="K60" s="40"/>
      <c r="L60" s="40"/>
      <c r="M60" s="40"/>
      <c r="N60" s="40"/>
      <c r="O60" s="40"/>
      <c r="P60" s="40"/>
      <c r="Q60" s="40"/>
      <c r="R60" s="40"/>
      <c r="S60" s="40"/>
      <c r="T60" s="40"/>
      <c r="U60" s="40"/>
      <c r="V60" s="40"/>
      <c r="W60" s="40"/>
      <c r="X60" s="40"/>
      <c r="Y60" s="40"/>
      <c r="Z60" s="40"/>
      <c r="AA60" s="40"/>
      <c r="AB60" s="40"/>
      <c r="AC60" s="40"/>
      <c r="AD60" s="40"/>
      <c r="AE60" s="40"/>
      <c r="AF60" s="40"/>
    </row>
    <row r="61" spans="1:32">
      <c r="A61" s="40"/>
      <c r="B61" s="40"/>
      <c r="C61" s="40"/>
      <c r="D61" s="40"/>
      <c r="E61" s="40"/>
      <c r="F61" s="40"/>
      <c r="G61" s="40"/>
      <c r="H61" s="40"/>
      <c r="I61" s="40"/>
      <c r="J61" s="40"/>
      <c r="K61" s="40"/>
      <c r="L61" s="40"/>
      <c r="M61" s="40"/>
      <c r="N61" s="40"/>
      <c r="O61" s="40"/>
      <c r="P61" s="40"/>
      <c r="Q61" s="40"/>
      <c r="R61" s="40"/>
      <c r="S61" s="40"/>
      <c r="T61" s="40"/>
      <c r="U61" s="40"/>
      <c r="V61" s="40"/>
      <c r="W61" s="40"/>
      <c r="X61" s="40"/>
      <c r="Y61" s="40"/>
      <c r="Z61" s="40"/>
      <c r="AA61" s="40"/>
      <c r="AB61" s="40"/>
      <c r="AC61" s="40"/>
      <c r="AD61" s="40"/>
      <c r="AE61" s="40"/>
      <c r="AF61" s="40"/>
    </row>
    <row r="62" spans="1:32">
      <c r="A62" s="40"/>
      <c r="B62" s="40"/>
      <c r="C62" s="40"/>
      <c r="D62" s="40"/>
      <c r="E62" s="40"/>
      <c r="F62" s="40"/>
      <c r="G62" s="40"/>
      <c r="H62" s="40"/>
      <c r="I62" s="40"/>
      <c r="J62" s="40"/>
      <c r="K62" s="40"/>
      <c r="L62" s="40"/>
      <c r="M62" s="40"/>
      <c r="N62" s="40"/>
      <c r="O62" s="40"/>
      <c r="P62" s="40"/>
      <c r="Q62" s="40"/>
      <c r="R62" s="40"/>
      <c r="S62" s="40"/>
      <c r="T62" s="40"/>
      <c r="U62" s="40"/>
      <c r="V62" s="40"/>
      <c r="W62" s="40"/>
      <c r="X62" s="40"/>
      <c r="Y62" s="40"/>
      <c r="Z62" s="40"/>
      <c r="AA62" s="40"/>
      <c r="AB62" s="40"/>
      <c r="AC62" s="40"/>
      <c r="AD62" s="40"/>
      <c r="AE62" s="40"/>
      <c r="AF62" s="40"/>
    </row>
    <row r="63" spans="1:32">
      <c r="A63" s="40"/>
      <c r="B63" s="40"/>
      <c r="C63" s="40"/>
      <c r="D63" s="40"/>
      <c r="E63" s="40"/>
      <c r="F63" s="40"/>
      <c r="G63" s="40"/>
      <c r="H63" s="40"/>
      <c r="I63" s="40"/>
      <c r="J63" s="40"/>
      <c r="K63" s="40"/>
      <c r="L63" s="40"/>
      <c r="M63" s="40"/>
      <c r="N63" s="40"/>
      <c r="O63" s="40"/>
      <c r="P63" s="40"/>
      <c r="Q63" s="40"/>
      <c r="R63" s="40"/>
      <c r="S63" s="40"/>
      <c r="T63" s="40"/>
      <c r="U63" s="40"/>
      <c r="V63" s="40"/>
      <c r="W63" s="40"/>
      <c r="X63" s="40"/>
      <c r="Y63" s="40"/>
      <c r="Z63" s="40"/>
      <c r="AA63" s="40"/>
      <c r="AB63" s="40"/>
      <c r="AC63" s="40"/>
      <c r="AD63" s="40"/>
      <c r="AE63" s="40"/>
      <c r="AF63" s="40"/>
    </row>
    <row r="64" spans="1:32">
      <c r="A64" s="40"/>
      <c r="B64" s="40"/>
      <c r="C64" s="40"/>
      <c r="D64" s="40"/>
      <c r="E64" s="40"/>
      <c r="F64" s="40"/>
      <c r="G64" s="40"/>
      <c r="H64" s="40"/>
      <c r="I64" s="40"/>
      <c r="J64" s="40"/>
      <c r="K64" s="40"/>
      <c r="L64" s="40"/>
      <c r="M64" s="40"/>
      <c r="N64" s="40"/>
      <c r="O64" s="40"/>
      <c r="P64" s="40"/>
      <c r="Q64" s="40"/>
      <c r="R64" s="40"/>
      <c r="S64" s="40"/>
      <c r="T64" s="40"/>
      <c r="U64" s="40"/>
      <c r="V64" s="40"/>
      <c r="W64" s="40"/>
      <c r="X64" s="40"/>
      <c r="Y64" s="40"/>
      <c r="Z64" s="40"/>
      <c r="AA64" s="40"/>
      <c r="AB64" s="40"/>
      <c r="AC64" s="40"/>
      <c r="AD64" s="40"/>
      <c r="AE64" s="40"/>
      <c r="AF64" s="40"/>
    </row>
    <row r="65" spans="1:32">
      <c r="A65" s="40"/>
      <c r="B65" s="40"/>
      <c r="C65" s="40"/>
      <c r="D65" s="40"/>
      <c r="E65" s="40"/>
      <c r="F65" s="40"/>
      <c r="G65" s="40"/>
      <c r="H65" s="40"/>
      <c r="I65" s="40"/>
      <c r="J65" s="40"/>
      <c r="K65" s="40"/>
      <c r="L65" s="40"/>
      <c r="M65" s="40"/>
      <c r="N65" s="40"/>
      <c r="O65" s="40"/>
      <c r="P65" s="40"/>
      <c r="Q65" s="40"/>
      <c r="R65" s="40"/>
      <c r="S65" s="40"/>
      <c r="T65" s="40"/>
      <c r="U65" s="40"/>
      <c r="V65" s="40"/>
      <c r="W65" s="40"/>
      <c r="X65" s="40"/>
      <c r="Y65" s="40"/>
      <c r="Z65" s="40"/>
      <c r="AA65" s="40"/>
      <c r="AB65" s="40"/>
      <c r="AC65" s="40"/>
      <c r="AD65" s="40"/>
      <c r="AE65" s="40"/>
      <c r="AF65" s="40"/>
    </row>
    <row r="66" spans="1:32">
      <c r="A66" s="40"/>
      <c r="B66" s="40"/>
      <c r="C66" s="40"/>
      <c r="D66" s="40"/>
      <c r="E66" s="40"/>
      <c r="F66" s="40"/>
      <c r="G66" s="40"/>
      <c r="H66" s="40"/>
      <c r="I66" s="40"/>
      <c r="J66" s="40"/>
      <c r="K66" s="40"/>
      <c r="L66" s="40"/>
      <c r="M66" s="40"/>
      <c r="N66" s="40"/>
      <c r="O66" s="40"/>
      <c r="P66" s="40"/>
      <c r="Q66" s="40"/>
      <c r="R66" s="40"/>
      <c r="S66" s="40"/>
      <c r="T66" s="40"/>
      <c r="U66" s="40"/>
      <c r="V66" s="40"/>
      <c r="W66" s="40"/>
      <c r="X66" s="40"/>
      <c r="Y66" s="40"/>
      <c r="Z66" s="40"/>
      <c r="AA66" s="40"/>
      <c r="AB66" s="40"/>
      <c r="AC66" s="40"/>
      <c r="AD66" s="40"/>
      <c r="AE66" s="40"/>
      <c r="AF66" s="40"/>
    </row>
    <row r="67" spans="1:32">
      <c r="A67" s="40"/>
      <c r="B67" s="40"/>
      <c r="C67" s="40"/>
      <c r="D67" s="40"/>
      <c r="E67" s="40"/>
      <c r="F67" s="40"/>
      <c r="G67" s="40"/>
      <c r="H67" s="40"/>
      <c r="I67" s="40"/>
      <c r="J67" s="40"/>
      <c r="K67" s="40"/>
      <c r="L67" s="40"/>
      <c r="M67" s="40"/>
      <c r="N67" s="40"/>
      <c r="O67" s="40"/>
      <c r="P67" s="40"/>
      <c r="Q67" s="40"/>
      <c r="R67" s="40"/>
      <c r="S67" s="40"/>
      <c r="T67" s="40"/>
      <c r="U67" s="40"/>
      <c r="V67" s="40"/>
      <c r="W67" s="40"/>
      <c r="X67" s="40"/>
      <c r="Y67" s="40"/>
      <c r="Z67" s="40"/>
      <c r="AA67" s="40"/>
      <c r="AB67" s="40"/>
      <c r="AC67" s="40"/>
      <c r="AD67" s="40"/>
      <c r="AE67" s="40"/>
      <c r="AF67" s="40"/>
    </row>
    <row r="68" spans="1:32">
      <c r="A68" s="40"/>
      <c r="B68" s="40"/>
      <c r="C68" s="40"/>
      <c r="D68" s="40"/>
      <c r="E68" s="40"/>
      <c r="F68" s="40"/>
      <c r="G68" s="40"/>
      <c r="H68" s="40"/>
      <c r="I68" s="40"/>
      <c r="J68" s="40"/>
      <c r="K68" s="40"/>
      <c r="L68" s="40"/>
      <c r="M68" s="40"/>
      <c r="N68" s="40"/>
      <c r="O68" s="40"/>
      <c r="P68" s="40"/>
      <c r="Q68" s="40"/>
      <c r="R68" s="40"/>
      <c r="S68" s="40"/>
      <c r="T68" s="40"/>
      <c r="U68" s="40"/>
      <c r="V68" s="40"/>
      <c r="W68" s="40"/>
      <c r="X68" s="40"/>
      <c r="Y68" s="40"/>
      <c r="Z68" s="40"/>
      <c r="AA68" s="40"/>
      <c r="AB68" s="40"/>
      <c r="AC68" s="40"/>
      <c r="AD68" s="40"/>
      <c r="AE68" s="40"/>
      <c r="AF68" s="40"/>
    </row>
    <row r="69" spans="1:32">
      <c r="A69" s="40"/>
      <c r="B69" s="40"/>
      <c r="C69" s="40"/>
      <c r="D69" s="40"/>
      <c r="E69" s="40"/>
      <c r="F69" s="40"/>
      <c r="G69" s="40"/>
      <c r="H69" s="40"/>
      <c r="I69" s="40"/>
      <c r="J69" s="40"/>
      <c r="K69" s="40"/>
      <c r="L69" s="40"/>
      <c r="M69" s="40"/>
      <c r="N69" s="40"/>
      <c r="O69" s="40"/>
      <c r="P69" s="40"/>
      <c r="Q69" s="40"/>
      <c r="R69" s="40"/>
      <c r="S69" s="40"/>
      <c r="T69" s="40"/>
      <c r="U69" s="40"/>
      <c r="V69" s="40"/>
      <c r="W69" s="40"/>
      <c r="X69" s="40"/>
      <c r="Y69" s="40"/>
      <c r="Z69" s="40"/>
      <c r="AA69" s="40"/>
      <c r="AB69" s="40"/>
      <c r="AC69" s="40"/>
      <c r="AD69" s="40"/>
      <c r="AE69" s="40"/>
      <c r="AF69" s="40"/>
    </row>
    <row r="70" spans="1:32">
      <c r="A70" s="40"/>
      <c r="B70" s="40"/>
      <c r="C70" s="40"/>
      <c r="D70" s="40"/>
      <c r="E70" s="40"/>
      <c r="F70" s="40"/>
      <c r="G70" s="40"/>
      <c r="H70" s="40"/>
      <c r="I70" s="40"/>
      <c r="J70" s="40"/>
      <c r="K70" s="40"/>
      <c r="L70" s="40"/>
      <c r="M70" s="40"/>
      <c r="N70" s="40"/>
      <c r="O70" s="40"/>
      <c r="P70" s="40"/>
      <c r="Q70" s="40"/>
      <c r="R70" s="40"/>
      <c r="S70" s="40"/>
      <c r="T70" s="40"/>
      <c r="U70" s="40"/>
      <c r="V70" s="40"/>
      <c r="W70" s="40"/>
      <c r="X70" s="40"/>
      <c r="Y70" s="40"/>
      <c r="Z70" s="40"/>
      <c r="AA70" s="40"/>
      <c r="AB70" s="40"/>
      <c r="AC70" s="40"/>
      <c r="AD70" s="40"/>
      <c r="AE70" s="40"/>
      <c r="AF70" s="40"/>
    </row>
    <row r="71" spans="1:32">
      <c r="A71" s="40"/>
      <c r="B71" s="40"/>
      <c r="C71" s="40"/>
      <c r="D71" s="40"/>
      <c r="E71" s="40"/>
      <c r="F71" s="40"/>
      <c r="G71" s="40"/>
      <c r="H71" s="40"/>
      <c r="I71" s="40"/>
      <c r="J71" s="40"/>
      <c r="K71" s="40"/>
      <c r="L71" s="40"/>
      <c r="M71" s="40"/>
      <c r="N71" s="40"/>
      <c r="O71" s="40"/>
      <c r="P71" s="40"/>
      <c r="Q71" s="40"/>
      <c r="R71" s="40"/>
      <c r="S71" s="40"/>
      <c r="T71" s="40"/>
      <c r="U71" s="40"/>
      <c r="V71" s="40"/>
      <c r="W71" s="40"/>
      <c r="X71" s="40"/>
      <c r="Y71" s="40"/>
      <c r="Z71" s="40"/>
      <c r="AA71" s="40"/>
      <c r="AB71" s="40"/>
      <c r="AC71" s="40"/>
      <c r="AD71" s="40"/>
      <c r="AE71" s="40"/>
      <c r="AF71" s="40"/>
    </row>
    <row r="72" spans="1:32">
      <c r="A72" s="40"/>
      <c r="B72" s="40"/>
      <c r="C72" s="40"/>
      <c r="D72" s="40"/>
      <c r="E72" s="40"/>
      <c r="F72" s="40"/>
      <c r="G72" s="40"/>
      <c r="H72" s="40"/>
      <c r="I72" s="40"/>
      <c r="J72" s="40"/>
      <c r="K72" s="40"/>
      <c r="L72" s="40"/>
      <c r="M72" s="40"/>
      <c r="N72" s="40"/>
      <c r="O72" s="40"/>
      <c r="P72" s="40"/>
      <c r="Q72" s="40"/>
      <c r="R72" s="40"/>
      <c r="S72" s="40"/>
      <c r="T72" s="40"/>
      <c r="U72" s="40"/>
      <c r="V72" s="40"/>
      <c r="W72" s="40"/>
      <c r="X72" s="40"/>
      <c r="Y72" s="40"/>
      <c r="Z72" s="40"/>
      <c r="AA72" s="40"/>
      <c r="AB72" s="40"/>
      <c r="AC72" s="40"/>
      <c r="AD72" s="40"/>
      <c r="AE72" s="40"/>
      <c r="AF72" s="40"/>
    </row>
    <row r="73" spans="1:32">
      <c r="A73" s="40"/>
      <c r="B73" s="40"/>
      <c r="C73" s="40"/>
      <c r="D73" s="40"/>
      <c r="E73" s="40"/>
      <c r="F73" s="40"/>
      <c r="G73" s="40"/>
      <c r="H73" s="40"/>
      <c r="I73" s="40"/>
      <c r="J73" s="40"/>
      <c r="K73" s="40"/>
      <c r="L73" s="40"/>
      <c r="M73" s="40"/>
      <c r="N73" s="40"/>
      <c r="O73" s="40"/>
      <c r="P73" s="40"/>
      <c r="Q73" s="40"/>
      <c r="R73" s="40"/>
      <c r="S73" s="40"/>
      <c r="T73" s="40"/>
      <c r="U73" s="40"/>
      <c r="V73" s="40"/>
      <c r="W73" s="40"/>
      <c r="X73" s="40"/>
      <c r="Y73" s="40"/>
      <c r="Z73" s="40"/>
      <c r="AA73" s="40"/>
      <c r="AB73" s="40"/>
      <c r="AC73" s="40"/>
      <c r="AD73" s="40"/>
      <c r="AE73" s="40"/>
      <c r="AF73" s="40"/>
    </row>
    <row r="74" spans="1:32">
      <c r="A74" s="40"/>
      <c r="B74" s="40"/>
      <c r="C74" s="40"/>
      <c r="D74" s="40"/>
      <c r="E74" s="40"/>
      <c r="F74" s="40"/>
      <c r="G74" s="40"/>
      <c r="H74" s="40"/>
      <c r="I74" s="40"/>
      <c r="J74" s="40"/>
      <c r="K74" s="40"/>
      <c r="L74" s="40"/>
      <c r="M74" s="40"/>
      <c r="N74" s="40"/>
      <c r="O74" s="40"/>
      <c r="P74" s="40"/>
      <c r="Q74" s="40"/>
      <c r="R74" s="40"/>
      <c r="S74" s="40"/>
      <c r="T74" s="40"/>
      <c r="U74" s="40"/>
      <c r="V74" s="40"/>
      <c r="W74" s="40"/>
      <c r="X74" s="40"/>
      <c r="Y74" s="40"/>
      <c r="Z74" s="40"/>
      <c r="AA74" s="40"/>
      <c r="AB74" s="40"/>
      <c r="AC74" s="40"/>
      <c r="AD74" s="40"/>
      <c r="AE74" s="40"/>
      <c r="AF74" s="40"/>
    </row>
    <row r="75" spans="1:32">
      <c r="A75" s="40"/>
      <c r="B75" s="40"/>
      <c r="C75" s="40"/>
      <c r="D75" s="40"/>
      <c r="E75" s="40"/>
      <c r="F75" s="40"/>
      <c r="G75" s="40"/>
      <c r="H75" s="40"/>
      <c r="I75" s="40"/>
      <c r="J75" s="40"/>
      <c r="K75" s="40"/>
      <c r="L75" s="40"/>
      <c r="M75" s="40"/>
      <c r="N75" s="40"/>
      <c r="O75" s="40"/>
      <c r="P75" s="40"/>
      <c r="Q75" s="40"/>
      <c r="R75" s="40"/>
      <c r="S75" s="40"/>
      <c r="T75" s="40"/>
      <c r="U75" s="40"/>
      <c r="V75" s="40"/>
      <c r="W75" s="40"/>
      <c r="X75" s="40"/>
      <c r="Y75" s="40"/>
      <c r="Z75" s="40"/>
      <c r="AA75" s="40"/>
      <c r="AB75" s="40"/>
      <c r="AC75" s="40"/>
      <c r="AD75" s="40"/>
      <c r="AE75" s="40"/>
      <c r="AF75" s="40"/>
    </row>
    <row r="76" spans="1:32">
      <c r="A76" s="40"/>
      <c r="B76" s="40"/>
      <c r="C76" s="40"/>
      <c r="D76" s="40"/>
      <c r="E76" s="40"/>
      <c r="F76" s="40"/>
      <c r="G76" s="40"/>
      <c r="H76" s="40"/>
      <c r="I76" s="40"/>
      <c r="J76" s="40"/>
      <c r="K76" s="40"/>
      <c r="L76" s="40"/>
      <c r="M76" s="40"/>
      <c r="N76" s="40"/>
      <c r="O76" s="40"/>
      <c r="P76" s="40"/>
      <c r="Q76" s="40"/>
      <c r="R76" s="40"/>
      <c r="S76" s="40"/>
      <c r="T76" s="40"/>
      <c r="U76" s="40"/>
      <c r="V76" s="40"/>
      <c r="W76" s="40"/>
      <c r="X76" s="40"/>
      <c r="Y76" s="40"/>
      <c r="Z76" s="40"/>
      <c r="AA76" s="40"/>
      <c r="AB76" s="40"/>
      <c r="AC76" s="40"/>
      <c r="AD76" s="40"/>
      <c r="AE76" s="40"/>
      <c r="AF76" s="40"/>
    </row>
    <row r="77" spans="1:32">
      <c r="A77" s="40"/>
      <c r="B77" s="40"/>
      <c r="C77" s="40"/>
      <c r="D77" s="40"/>
      <c r="E77" s="40"/>
      <c r="F77" s="40"/>
      <c r="G77" s="40"/>
      <c r="H77" s="40"/>
      <c r="I77" s="40"/>
      <c r="J77" s="40"/>
      <c r="K77" s="40"/>
      <c r="L77" s="40"/>
      <c r="M77" s="40"/>
      <c r="N77" s="40"/>
      <c r="O77" s="40"/>
      <c r="P77" s="40"/>
      <c r="Q77" s="40"/>
      <c r="R77" s="40"/>
      <c r="S77" s="40"/>
      <c r="T77" s="40"/>
      <c r="U77" s="40"/>
      <c r="V77" s="40"/>
      <c r="W77" s="40"/>
      <c r="X77" s="40"/>
      <c r="Y77" s="40"/>
      <c r="Z77" s="40"/>
      <c r="AA77" s="40"/>
      <c r="AB77" s="40"/>
      <c r="AC77" s="40"/>
      <c r="AD77" s="40"/>
      <c r="AE77" s="40"/>
      <c r="AF77" s="40"/>
    </row>
    <row r="78" spans="1:32">
      <c r="A78" s="40"/>
      <c r="B78" s="40"/>
      <c r="C78" s="40"/>
      <c r="D78" s="40"/>
      <c r="E78" s="40"/>
      <c r="F78" s="40"/>
      <c r="G78" s="40"/>
      <c r="H78" s="40"/>
      <c r="I78" s="40"/>
      <c r="J78" s="40"/>
      <c r="K78" s="40"/>
      <c r="L78" s="40"/>
      <c r="M78" s="40"/>
      <c r="N78" s="40"/>
      <c r="O78" s="40"/>
      <c r="P78" s="40"/>
      <c r="Q78" s="40"/>
      <c r="R78" s="40"/>
      <c r="S78" s="40"/>
      <c r="T78" s="40"/>
      <c r="U78" s="40"/>
      <c r="V78" s="40"/>
      <c r="W78" s="40"/>
      <c r="X78" s="40"/>
      <c r="Y78" s="40"/>
      <c r="Z78" s="40"/>
      <c r="AA78" s="40"/>
      <c r="AB78" s="40"/>
      <c r="AC78" s="40"/>
      <c r="AD78" s="40"/>
      <c r="AE78" s="40"/>
      <c r="AF78" s="40"/>
    </row>
    <row r="79" spans="1:32">
      <c r="A79" s="40"/>
      <c r="B79" s="40"/>
      <c r="C79" s="40"/>
      <c r="D79" s="40"/>
      <c r="E79" s="40"/>
      <c r="F79" s="40"/>
      <c r="G79" s="40"/>
      <c r="H79" s="40"/>
      <c r="I79" s="40"/>
      <c r="J79" s="40"/>
      <c r="K79" s="40"/>
      <c r="L79" s="40"/>
      <c r="M79" s="40"/>
      <c r="N79" s="40"/>
      <c r="O79" s="40"/>
      <c r="P79" s="40"/>
      <c r="Q79" s="40"/>
      <c r="R79" s="40"/>
      <c r="S79" s="40"/>
      <c r="T79" s="40"/>
      <c r="U79" s="40"/>
      <c r="V79" s="40"/>
      <c r="W79" s="40"/>
      <c r="X79" s="40"/>
      <c r="Y79" s="40"/>
      <c r="Z79" s="40"/>
      <c r="AA79" s="40"/>
      <c r="AB79" s="40"/>
      <c r="AC79" s="40"/>
      <c r="AD79" s="40"/>
      <c r="AE79" s="40"/>
      <c r="AF79" s="40"/>
    </row>
    <row r="80" spans="1:32">
      <c r="A80" s="40"/>
      <c r="B80" s="40"/>
      <c r="C80" s="40"/>
      <c r="D80" s="40"/>
      <c r="E80" s="40"/>
      <c r="F80" s="40"/>
      <c r="G80" s="40"/>
      <c r="H80" s="40"/>
      <c r="I80" s="40"/>
      <c r="J80" s="40"/>
      <c r="K80" s="40"/>
      <c r="L80" s="40"/>
      <c r="M80" s="40"/>
      <c r="N80" s="40"/>
      <c r="O80" s="40"/>
      <c r="P80" s="40"/>
      <c r="Q80" s="40"/>
      <c r="R80" s="40"/>
      <c r="S80" s="40"/>
      <c r="T80" s="40"/>
      <c r="U80" s="40"/>
      <c r="V80" s="40"/>
      <c r="W80" s="40"/>
      <c r="X80" s="40"/>
      <c r="Y80" s="40"/>
      <c r="Z80" s="40"/>
      <c r="AA80" s="40"/>
      <c r="AB80" s="40"/>
      <c r="AC80" s="40"/>
      <c r="AD80" s="40"/>
      <c r="AE80" s="40"/>
      <c r="AF80" s="40"/>
    </row>
  </sheetData>
  <mergeCells count="6">
    <mergeCell ref="A29:AF30"/>
    <mergeCell ref="A1:AF1"/>
    <mergeCell ref="A2:AF2"/>
    <mergeCell ref="A3:AF3"/>
    <mergeCell ref="A10:AF10"/>
    <mergeCell ref="A14:AF14"/>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F80"/>
  <sheetViews>
    <sheetView showGridLines="0" workbookViewId="0"/>
  </sheetViews>
  <sheetFormatPr defaultRowHeight="14"/>
  <cols>
    <col min="1" max="1" width="10" customWidth="1"/>
    <col min="2" max="2" width="34" customWidth="1"/>
    <col min="3" max="32" width="12" customWidth="1"/>
  </cols>
  <sheetData>
    <row r="1" spans="1:32" ht="15" customHeight="1">
      <c r="A1" s="135" t="s">
        <v>571</v>
      </c>
      <c r="B1" s="135"/>
      <c r="C1" s="136"/>
      <c r="D1" s="136"/>
      <c r="E1" s="136"/>
      <c r="F1" s="136"/>
      <c r="G1" s="136"/>
      <c r="H1" s="136"/>
      <c r="I1" s="136"/>
      <c r="J1" s="136"/>
      <c r="K1" s="136"/>
      <c r="L1" s="136"/>
      <c r="M1" s="136"/>
      <c r="N1" s="136"/>
      <c r="O1" s="136"/>
      <c r="P1" s="136"/>
      <c r="Q1" s="136"/>
      <c r="R1" s="136"/>
      <c r="S1" s="136"/>
      <c r="T1" s="136"/>
      <c r="U1" s="136"/>
      <c r="V1" s="136"/>
      <c r="W1" s="136"/>
      <c r="X1" s="136"/>
      <c r="Y1" s="136"/>
      <c r="Z1" s="136"/>
      <c r="AA1" s="136"/>
      <c r="AB1" s="136"/>
      <c r="AC1" s="136"/>
      <c r="AD1" s="136"/>
      <c r="AE1" s="136"/>
      <c r="AF1" s="136"/>
    </row>
    <row r="2" spans="1:32" ht="15" customHeight="1">
      <c r="A2" s="137" t="s">
        <v>572</v>
      </c>
      <c r="B2" s="137"/>
      <c r="C2" s="137"/>
      <c r="D2" s="137"/>
      <c r="E2" s="137"/>
      <c r="F2" s="137"/>
      <c r="G2" s="137"/>
      <c r="H2" s="137"/>
      <c r="I2" s="137"/>
      <c r="J2" s="137"/>
      <c r="K2" s="137"/>
      <c r="L2" s="137"/>
      <c r="M2" s="137"/>
      <c r="N2" s="137"/>
      <c r="O2" s="137"/>
      <c r="P2" s="137"/>
      <c r="Q2" s="137"/>
      <c r="R2" s="137"/>
      <c r="S2" s="137"/>
      <c r="T2" s="137"/>
      <c r="U2" s="137"/>
      <c r="V2" s="137"/>
      <c r="W2" s="137"/>
      <c r="X2" s="137"/>
      <c r="Y2" s="137"/>
      <c r="Z2" s="137"/>
      <c r="AA2" s="137"/>
      <c r="AB2" s="137"/>
      <c r="AC2" s="137"/>
      <c r="AD2" s="137"/>
      <c r="AE2" s="137"/>
      <c r="AF2" s="137"/>
    </row>
    <row r="3" spans="1:32" ht="15" customHeight="1">
      <c r="A3" s="138" t="s">
        <v>467</v>
      </c>
      <c r="B3" s="138"/>
      <c r="C3" s="139"/>
      <c r="D3" s="139"/>
      <c r="E3" s="139"/>
      <c r="F3" s="139"/>
      <c r="G3" s="139"/>
      <c r="H3" s="139"/>
      <c r="I3" s="139"/>
      <c r="J3" s="139"/>
      <c r="K3" s="139"/>
      <c r="L3" s="139"/>
      <c r="M3" s="139"/>
      <c r="N3" s="139"/>
      <c r="O3" s="139"/>
      <c r="P3" s="139"/>
      <c r="Q3" s="139"/>
      <c r="R3" s="139"/>
      <c r="S3" s="139"/>
      <c r="T3" s="139"/>
      <c r="U3" s="139"/>
      <c r="V3" s="139"/>
      <c r="W3" s="139"/>
      <c r="X3" s="139"/>
      <c r="Y3" s="139"/>
      <c r="Z3" s="139"/>
      <c r="AA3" s="139"/>
      <c r="AB3" s="139"/>
      <c r="AC3" s="139"/>
      <c r="AD3" s="139"/>
      <c r="AE3" s="139"/>
      <c r="AF3" s="139"/>
    </row>
    <row r="4" spans="1:32" ht="15" customHeight="1">
      <c r="A4" s="69"/>
      <c r="B4" s="69"/>
      <c r="C4" s="64"/>
      <c r="D4" s="64"/>
      <c r="E4" s="64"/>
      <c r="F4" s="64"/>
      <c r="G4" s="64"/>
      <c r="H4" s="64"/>
      <c r="I4" s="64"/>
      <c r="J4" s="64"/>
      <c r="K4" s="64"/>
      <c r="L4" s="64"/>
      <c r="M4" s="64"/>
      <c r="N4" s="64"/>
      <c r="O4" s="64"/>
      <c r="P4" s="64"/>
      <c r="Q4" s="64"/>
      <c r="R4" s="64"/>
      <c r="S4" s="64"/>
      <c r="T4" s="64"/>
      <c r="U4" s="64"/>
      <c r="V4" s="64"/>
      <c r="W4" s="64"/>
      <c r="X4" s="64"/>
      <c r="Y4" s="64"/>
      <c r="Z4" s="64"/>
      <c r="AA4" s="64"/>
      <c r="AB4" s="64"/>
      <c r="AC4" s="64"/>
      <c r="AD4" s="64"/>
      <c r="AE4" s="64"/>
      <c r="AF4" s="64"/>
    </row>
    <row r="5" spans="1:32" ht="15" customHeight="1">
      <c r="A5" s="69"/>
      <c r="B5" s="69"/>
      <c r="C5" s="64"/>
      <c r="D5" s="64"/>
      <c r="E5" s="64"/>
      <c r="F5" s="64"/>
      <c r="G5" s="64"/>
      <c r="H5" s="64"/>
      <c r="I5" s="64"/>
      <c r="J5" s="64"/>
      <c r="K5" s="64"/>
      <c r="L5" s="64"/>
      <c r="M5" s="64"/>
      <c r="N5" s="64"/>
      <c r="O5" s="64"/>
      <c r="P5" s="64"/>
      <c r="Q5" s="64"/>
      <c r="R5" s="64"/>
      <c r="S5" s="64"/>
      <c r="T5" s="64"/>
      <c r="U5" s="64"/>
      <c r="V5" s="64"/>
      <c r="W5" s="64"/>
      <c r="X5" s="64"/>
      <c r="Y5" s="64"/>
      <c r="Z5" s="64"/>
      <c r="AA5" s="64"/>
      <c r="AB5" s="64"/>
      <c r="AC5" s="64"/>
      <c r="AD5" s="64"/>
      <c r="AE5" s="64"/>
      <c r="AF5" s="64"/>
    </row>
    <row r="6" spans="1:32" ht="15" customHeight="1">
      <c r="A6" s="70"/>
      <c r="B6" s="70" t="s">
        <v>161</v>
      </c>
      <c r="C6" s="41">
        <f>CAPEX!C6</f>
        <v>2026</v>
      </c>
      <c r="D6" s="41">
        <f>CAPEX!D6</f>
        <v>2027</v>
      </c>
      <c r="E6" s="41">
        <f>CAPEX!E6</f>
        <v>2028</v>
      </c>
      <c r="F6" s="41">
        <f>CAPEX!F6</f>
        <v>2029</v>
      </c>
      <c r="G6" s="41">
        <f>CAPEX!G6</f>
        <v>2030</v>
      </c>
      <c r="H6" s="41">
        <f>CAPEX!H6</f>
        <v>2031</v>
      </c>
      <c r="I6" s="41">
        <f>CAPEX!I6</f>
        <v>2032</v>
      </c>
      <c r="J6" s="41">
        <f>CAPEX!J6</f>
        <v>2033</v>
      </c>
      <c r="K6" s="41">
        <f>CAPEX!K6</f>
        <v>2034</v>
      </c>
      <c r="L6" s="41">
        <f>CAPEX!L6</f>
        <v>2035</v>
      </c>
      <c r="M6" s="41">
        <f>CAPEX!M6</f>
        <v>2036</v>
      </c>
      <c r="N6" s="41">
        <f>CAPEX!N6</f>
        <v>2037</v>
      </c>
      <c r="O6" s="41">
        <f>CAPEX!O6</f>
        <v>2038</v>
      </c>
      <c r="P6" s="41">
        <f>CAPEX!P6</f>
        <v>2039</v>
      </c>
      <c r="Q6" s="41">
        <f>CAPEX!Q6</f>
        <v>2040</v>
      </c>
      <c r="R6" s="41">
        <f>CAPEX!R6</f>
        <v>2041</v>
      </c>
      <c r="S6" s="41">
        <f>CAPEX!S6</f>
        <v>2042</v>
      </c>
      <c r="T6" s="41">
        <f>CAPEX!T6</f>
        <v>2043</v>
      </c>
      <c r="U6" s="41">
        <f>CAPEX!U6</f>
        <v>2044</v>
      </c>
      <c r="V6" s="41">
        <f>CAPEX!V6</f>
        <v>2045</v>
      </c>
      <c r="W6" s="41">
        <f>CAPEX!W6</f>
        <v>2046</v>
      </c>
      <c r="X6" s="41">
        <f>CAPEX!X6</f>
        <v>2047</v>
      </c>
      <c r="Y6" s="41">
        <f>CAPEX!Y6</f>
        <v>2048</v>
      </c>
      <c r="Z6" s="41">
        <f>CAPEX!Z6</f>
        <v>2049</v>
      </c>
      <c r="AA6" s="41">
        <f>CAPEX!AA6</f>
        <v>2050</v>
      </c>
      <c r="AB6" s="41">
        <f>CAPEX!AB6</f>
        <v>2051</v>
      </c>
      <c r="AC6" s="41">
        <f>CAPEX!AC6</f>
        <v>2052</v>
      </c>
      <c r="AD6" s="41">
        <f>CAPEX!AD6</f>
        <v>2053</v>
      </c>
      <c r="AE6" s="41">
        <f>CAPEX!AE6</f>
        <v>2054</v>
      </c>
      <c r="AF6" s="41">
        <f>CAPEX!AF6</f>
        <v>2055</v>
      </c>
    </row>
    <row r="7" spans="1:32" ht="15" customHeight="1">
      <c r="A7" s="69"/>
      <c r="B7" s="69" t="s">
        <v>468</v>
      </c>
      <c r="C7" s="65">
        <f>CAPEX!C7</f>
        <v>0</v>
      </c>
      <c r="D7" s="65">
        <f>CAPEX!D7</f>
        <v>1</v>
      </c>
      <c r="E7" s="65">
        <f>CAPEX!E7</f>
        <v>2</v>
      </c>
      <c r="F7" s="65">
        <f>CAPEX!F7</f>
        <v>3</v>
      </c>
      <c r="G7" s="65">
        <f>CAPEX!G7</f>
        <v>4</v>
      </c>
      <c r="H7" s="65">
        <f>CAPEX!H7</f>
        <v>5</v>
      </c>
      <c r="I7" s="65">
        <f>CAPEX!I7</f>
        <v>6</v>
      </c>
      <c r="J7" s="65">
        <f>CAPEX!J7</f>
        <v>7</v>
      </c>
      <c r="K7" s="65">
        <f>CAPEX!K7</f>
        <v>8</v>
      </c>
      <c r="L7" s="65">
        <f>CAPEX!L7</f>
        <v>9</v>
      </c>
      <c r="M7" s="65">
        <f>CAPEX!M7</f>
        <v>10</v>
      </c>
      <c r="N7" s="65">
        <f>CAPEX!N7</f>
        <v>11</v>
      </c>
      <c r="O7" s="65">
        <f>CAPEX!O7</f>
        <v>12</v>
      </c>
      <c r="P7" s="65">
        <f>CAPEX!P7</f>
        <v>13</v>
      </c>
      <c r="Q7" s="65">
        <f>CAPEX!Q7</f>
        <v>14</v>
      </c>
      <c r="R7" s="65">
        <f>CAPEX!R7</f>
        <v>15</v>
      </c>
      <c r="S7" s="65">
        <f>CAPEX!S7</f>
        <v>16</v>
      </c>
      <c r="T7" s="65">
        <f>CAPEX!T7</f>
        <v>17</v>
      </c>
      <c r="U7" s="65">
        <f>CAPEX!U7</f>
        <v>18</v>
      </c>
      <c r="V7" s="65">
        <f>CAPEX!V7</f>
        <v>19</v>
      </c>
      <c r="W7" s="65">
        <f>CAPEX!W7</f>
        <v>20</v>
      </c>
      <c r="X7" s="65">
        <f>CAPEX!X7</f>
        <v>21</v>
      </c>
      <c r="Y7" s="65">
        <f>CAPEX!Y7</f>
        <v>22</v>
      </c>
      <c r="Z7" s="65">
        <f>CAPEX!Z7</f>
        <v>23</v>
      </c>
      <c r="AA7" s="65">
        <f>CAPEX!AA7</f>
        <v>24</v>
      </c>
      <c r="AB7" s="65">
        <f>CAPEX!AB7</f>
        <v>25</v>
      </c>
      <c r="AC7" s="65">
        <f>CAPEX!AC7</f>
        <v>26</v>
      </c>
      <c r="AD7" s="65">
        <f>CAPEX!AD7</f>
        <v>27</v>
      </c>
      <c r="AE7" s="65">
        <f>CAPEX!AE7</f>
        <v>28</v>
      </c>
      <c r="AF7" s="65">
        <f>CAPEX!AF7</f>
        <v>29</v>
      </c>
    </row>
    <row r="8" spans="1:32" ht="15" customHeight="1">
      <c r="A8" s="69"/>
      <c r="B8" s="69" t="s">
        <v>470</v>
      </c>
      <c r="C8" s="65">
        <f>CAPEX!C9</f>
        <v>0</v>
      </c>
      <c r="D8" s="65">
        <f>CAPEX!D9</f>
        <v>0</v>
      </c>
      <c r="E8" s="65">
        <f>CAPEX!E9</f>
        <v>1</v>
      </c>
      <c r="F8" s="65">
        <f>CAPEX!F9</f>
        <v>2</v>
      </c>
      <c r="G8" s="65">
        <f>CAPEX!G9</f>
        <v>3</v>
      </c>
      <c r="H8" s="65">
        <f>CAPEX!H9</f>
        <v>4</v>
      </c>
      <c r="I8" s="65">
        <f>CAPEX!I9</f>
        <v>5</v>
      </c>
      <c r="J8" s="65">
        <f>CAPEX!J9</f>
        <v>6</v>
      </c>
      <c r="K8" s="65">
        <f>CAPEX!K9</f>
        <v>7</v>
      </c>
      <c r="L8" s="65">
        <f>CAPEX!L9</f>
        <v>8</v>
      </c>
      <c r="M8" s="65">
        <f>CAPEX!M9</f>
        <v>9</v>
      </c>
      <c r="N8" s="65">
        <f>CAPEX!N9</f>
        <v>10</v>
      </c>
      <c r="O8" s="65">
        <f>CAPEX!O9</f>
        <v>11</v>
      </c>
      <c r="P8" s="65">
        <f>CAPEX!P9</f>
        <v>12</v>
      </c>
      <c r="Q8" s="65">
        <f>CAPEX!Q9</f>
        <v>13</v>
      </c>
      <c r="R8" s="65">
        <f>CAPEX!R9</f>
        <v>14</v>
      </c>
      <c r="S8" s="65">
        <f>CAPEX!S9</f>
        <v>15</v>
      </c>
      <c r="T8" s="65">
        <f>CAPEX!T9</f>
        <v>16</v>
      </c>
      <c r="U8" s="65">
        <f>CAPEX!U9</f>
        <v>17</v>
      </c>
      <c r="V8" s="65">
        <f>CAPEX!V9</f>
        <v>18</v>
      </c>
      <c r="W8" s="65">
        <f>CAPEX!W9</f>
        <v>19</v>
      </c>
      <c r="X8" s="65">
        <f>CAPEX!X9</f>
        <v>20</v>
      </c>
      <c r="Y8" s="65">
        <f>CAPEX!Y9</f>
        <v>0</v>
      </c>
      <c r="Z8" s="65">
        <f>CAPEX!Z9</f>
        <v>0</v>
      </c>
      <c r="AA8" s="65">
        <f>CAPEX!AA9</f>
        <v>0</v>
      </c>
      <c r="AB8" s="65">
        <f>CAPEX!AB9</f>
        <v>0</v>
      </c>
      <c r="AC8" s="65">
        <f>CAPEX!AC9</f>
        <v>0</v>
      </c>
      <c r="AD8" s="65">
        <f>CAPEX!AD9</f>
        <v>0</v>
      </c>
      <c r="AE8" s="65">
        <f>CAPEX!AE9</f>
        <v>0</v>
      </c>
      <c r="AF8" s="65">
        <f>CAPEX!AF9</f>
        <v>0</v>
      </c>
    </row>
    <row r="9" spans="1:32" ht="15" customHeight="1">
      <c r="A9" s="69"/>
      <c r="B9" s="69"/>
      <c r="C9" s="64"/>
      <c r="D9" s="64"/>
      <c r="E9" s="64"/>
      <c r="F9" s="64"/>
      <c r="G9" s="64"/>
      <c r="H9" s="64"/>
      <c r="I9" s="64"/>
      <c r="J9" s="64"/>
      <c r="K9" s="64"/>
      <c r="L9" s="64"/>
      <c r="M9" s="64"/>
      <c r="N9" s="64"/>
      <c r="O9" s="64"/>
      <c r="P9" s="64"/>
      <c r="Q9" s="64"/>
      <c r="R9" s="64"/>
      <c r="S9" s="64"/>
      <c r="T9" s="64"/>
      <c r="U9" s="64"/>
      <c r="V9" s="64"/>
      <c r="W9" s="64"/>
      <c r="X9" s="64"/>
      <c r="Y9" s="64"/>
      <c r="Z9" s="64"/>
      <c r="AA9" s="64"/>
      <c r="AB9" s="64"/>
      <c r="AC9" s="64"/>
      <c r="AD9" s="64"/>
      <c r="AE9" s="64"/>
      <c r="AF9" s="64"/>
    </row>
    <row r="10" spans="1:32" ht="15" customHeight="1">
      <c r="A10" s="140" t="s">
        <v>573</v>
      </c>
      <c r="B10" s="140"/>
      <c r="C10" s="141"/>
      <c r="D10" s="141"/>
      <c r="E10" s="141"/>
      <c r="F10" s="141"/>
      <c r="G10" s="141"/>
      <c r="H10" s="141"/>
      <c r="I10" s="141"/>
      <c r="J10" s="141"/>
      <c r="K10" s="141"/>
      <c r="L10" s="141"/>
      <c r="M10" s="141"/>
      <c r="N10" s="141"/>
      <c r="O10" s="141"/>
      <c r="P10" s="141"/>
      <c r="Q10" s="141"/>
      <c r="R10" s="141"/>
      <c r="S10" s="141"/>
      <c r="T10" s="141"/>
      <c r="U10" s="141"/>
      <c r="V10" s="141"/>
      <c r="W10" s="141"/>
      <c r="X10" s="141"/>
      <c r="Y10" s="141"/>
      <c r="Z10" s="141"/>
      <c r="AA10" s="141"/>
      <c r="AB10" s="141"/>
      <c r="AC10" s="141"/>
      <c r="AD10" s="141"/>
      <c r="AE10" s="141"/>
      <c r="AF10" s="141"/>
    </row>
    <row r="11" spans="1:32" ht="15" customHeight="1">
      <c r="A11" s="71" t="s">
        <v>574</v>
      </c>
      <c r="B11" s="72" t="s">
        <v>499</v>
      </c>
      <c r="C11" s="43">
        <f>Energy_Revenue!C16</f>
        <v>0</v>
      </c>
      <c r="D11" s="43">
        <f>Energy_Revenue!D16</f>
        <v>0</v>
      </c>
      <c r="E11" s="43">
        <f>Energy_Revenue!E16</f>
        <v>997.46791199999996</v>
      </c>
      <c r="F11" s="43">
        <f>Energy_Revenue!F16</f>
        <v>995.47297617599997</v>
      </c>
      <c r="G11" s="43">
        <f>Energy_Revenue!G16</f>
        <v>993.48203022364805</v>
      </c>
      <c r="H11" s="43">
        <f>Energy_Revenue!H16</f>
        <v>991.49506616320082</v>
      </c>
      <c r="I11" s="43">
        <f>Energy_Revenue!I16</f>
        <v>989.51207603087437</v>
      </c>
      <c r="J11" s="43">
        <f>Energy_Revenue!J16</f>
        <v>987.53305187881244</v>
      </c>
      <c r="K11" s="43">
        <f>Energy_Revenue!K16</f>
        <v>985.55798577505482</v>
      </c>
      <c r="L11" s="43">
        <f>Energy_Revenue!L16</f>
        <v>983.5868698035049</v>
      </c>
      <c r="M11" s="43">
        <f>Energy_Revenue!M16</f>
        <v>981.61969606389778</v>
      </c>
      <c r="N11" s="43">
        <f>Energy_Revenue!N16</f>
        <v>979.65645667177012</v>
      </c>
      <c r="O11" s="43">
        <f>Energy_Revenue!O16</f>
        <v>977.69714375842648</v>
      </c>
      <c r="P11" s="43">
        <f>Energy_Revenue!P16</f>
        <v>975.74174947090978</v>
      </c>
      <c r="Q11" s="43">
        <f>Energy_Revenue!Q16</f>
        <v>973.79026597196798</v>
      </c>
      <c r="R11" s="43">
        <f>Energy_Revenue!R16</f>
        <v>971.84268544002396</v>
      </c>
      <c r="S11" s="43">
        <f>Energy_Revenue!S16</f>
        <v>969.89900006914399</v>
      </c>
      <c r="T11" s="43">
        <f>Energy_Revenue!T16</f>
        <v>967.95920206900576</v>
      </c>
      <c r="U11" s="43">
        <f>Energy_Revenue!U16</f>
        <v>966.02328366486768</v>
      </c>
      <c r="V11" s="43">
        <f>Energy_Revenue!V16</f>
        <v>964.09123709753806</v>
      </c>
      <c r="W11" s="43">
        <f>Energy_Revenue!W16</f>
        <v>962.16305462334276</v>
      </c>
      <c r="X11" s="43">
        <f>Energy_Revenue!X16</f>
        <v>960.23872851409624</v>
      </c>
      <c r="Y11" s="43">
        <f>Energy_Revenue!Y16</f>
        <v>0</v>
      </c>
      <c r="Z11" s="43">
        <f>Energy_Revenue!Z16</f>
        <v>0</v>
      </c>
      <c r="AA11" s="43">
        <f>Energy_Revenue!AA16</f>
        <v>0</v>
      </c>
      <c r="AB11" s="43">
        <f>Energy_Revenue!AB16</f>
        <v>0</v>
      </c>
      <c r="AC11" s="43">
        <f>Energy_Revenue!AC16</f>
        <v>0</v>
      </c>
      <c r="AD11" s="43">
        <f>Energy_Revenue!AD16</f>
        <v>0</v>
      </c>
      <c r="AE11" s="43">
        <f>Energy_Revenue!AE16</f>
        <v>0</v>
      </c>
      <c r="AF11" s="43">
        <f>Energy_Revenue!AF16</f>
        <v>0</v>
      </c>
    </row>
    <row r="12" spans="1:32" ht="15" customHeight="1">
      <c r="A12" s="71" t="s">
        <v>575</v>
      </c>
      <c r="B12" s="71" t="s">
        <v>501</v>
      </c>
      <c r="C12" s="44">
        <f>Energy_Revenue!C19</f>
        <v>0</v>
      </c>
      <c r="D12" s="44">
        <f>Energy_Revenue!D19</f>
        <v>0</v>
      </c>
      <c r="E12" s="44">
        <f>Energy_Revenue!E19</f>
        <v>122.3</v>
      </c>
      <c r="F12" s="44">
        <f>Energy_Revenue!F19</f>
        <v>124.746</v>
      </c>
      <c r="G12" s="44">
        <f>Energy_Revenue!G19</f>
        <v>127.24092</v>
      </c>
      <c r="H12" s="44">
        <f>Energy_Revenue!H19</f>
        <v>129.78573839999999</v>
      </c>
      <c r="I12" s="44">
        <f>Energy_Revenue!I19</f>
        <v>132.38145316800001</v>
      </c>
      <c r="J12" s="44">
        <f>Energy_Revenue!J19</f>
        <v>135.02908223136001</v>
      </c>
      <c r="K12" s="44">
        <f>Energy_Revenue!K19</f>
        <v>137.7296638759872</v>
      </c>
      <c r="L12" s="44">
        <f>Energy_Revenue!L19</f>
        <v>140.48425715350692</v>
      </c>
      <c r="M12" s="44">
        <f>Energy_Revenue!M19</f>
        <v>143.29394229657706</v>
      </c>
      <c r="N12" s="44">
        <f>Energy_Revenue!N19</f>
        <v>146.1598211425086</v>
      </c>
      <c r="O12" s="44">
        <f>Energy_Revenue!O19</f>
        <v>149.0830175653588</v>
      </c>
      <c r="P12" s="44">
        <f>Energy_Revenue!P19</f>
        <v>152.06467791666594</v>
      </c>
      <c r="Q12" s="44">
        <f>Energy_Revenue!Q19</f>
        <v>155.10597147499928</v>
      </c>
      <c r="R12" s="44">
        <f>Energy_Revenue!R19</f>
        <v>158.20809090449927</v>
      </c>
      <c r="S12" s="44">
        <f>Energy_Revenue!S19</f>
        <v>161.37225272258925</v>
      </c>
      <c r="T12" s="44">
        <f>Energy_Revenue!T19</f>
        <v>164.599697777041</v>
      </c>
      <c r="U12" s="44">
        <f>Energy_Revenue!U19</f>
        <v>167.89169173258185</v>
      </c>
      <c r="V12" s="44">
        <f>Energy_Revenue!V19</f>
        <v>171.24952556723349</v>
      </c>
      <c r="W12" s="44">
        <f>Energy_Revenue!W19</f>
        <v>174.67451607857814</v>
      </c>
      <c r="X12" s="44">
        <f>Energy_Revenue!X19</f>
        <v>178.16800640014969</v>
      </c>
      <c r="Y12" s="44">
        <f>Energy_Revenue!Y19</f>
        <v>0</v>
      </c>
      <c r="Z12" s="44">
        <f>Energy_Revenue!Z19</f>
        <v>0</v>
      </c>
      <c r="AA12" s="44">
        <f>Energy_Revenue!AA19</f>
        <v>0</v>
      </c>
      <c r="AB12" s="44">
        <f>Energy_Revenue!AB19</f>
        <v>0</v>
      </c>
      <c r="AC12" s="44">
        <f>Energy_Revenue!AC19</f>
        <v>0</v>
      </c>
      <c r="AD12" s="44">
        <f>Energy_Revenue!AD19</f>
        <v>0</v>
      </c>
      <c r="AE12" s="44">
        <f>Energy_Revenue!AE19</f>
        <v>0</v>
      </c>
      <c r="AF12" s="44">
        <f>Energy_Revenue!AF19</f>
        <v>0</v>
      </c>
    </row>
    <row r="13" spans="1:32" ht="15" customHeight="1">
      <c r="A13" s="71" t="s">
        <v>576</v>
      </c>
      <c r="B13" s="72" t="s">
        <v>47</v>
      </c>
      <c r="C13" s="43">
        <f t="shared" ref="C13:AF13" si="0">C11-C12</f>
        <v>0</v>
      </c>
      <c r="D13" s="43">
        <f t="shared" si="0"/>
        <v>0</v>
      </c>
      <c r="E13" s="43">
        <f t="shared" si="0"/>
        <v>875.167912</v>
      </c>
      <c r="F13" s="43">
        <f t="shared" si="0"/>
        <v>870.72697617599999</v>
      </c>
      <c r="G13" s="43">
        <f t="shared" si="0"/>
        <v>866.24111022364809</v>
      </c>
      <c r="H13" s="43">
        <f t="shared" si="0"/>
        <v>861.7093277632008</v>
      </c>
      <c r="I13" s="43">
        <f t="shared" si="0"/>
        <v>857.13062286287436</v>
      </c>
      <c r="J13" s="43">
        <f t="shared" si="0"/>
        <v>852.50396964745244</v>
      </c>
      <c r="K13" s="43">
        <f t="shared" si="0"/>
        <v>847.82832189906765</v>
      </c>
      <c r="L13" s="43">
        <f t="shared" si="0"/>
        <v>843.10261264999804</v>
      </c>
      <c r="M13" s="43">
        <f t="shared" si="0"/>
        <v>838.32575376732075</v>
      </c>
      <c r="N13" s="43">
        <f t="shared" si="0"/>
        <v>833.49663552926154</v>
      </c>
      <c r="O13" s="43">
        <f t="shared" si="0"/>
        <v>828.6141261930677</v>
      </c>
      <c r="P13" s="43">
        <f t="shared" si="0"/>
        <v>823.67707155424387</v>
      </c>
      <c r="Q13" s="43">
        <f t="shared" si="0"/>
        <v>818.68429449696873</v>
      </c>
      <c r="R13" s="43">
        <f t="shared" si="0"/>
        <v>813.63459453552468</v>
      </c>
      <c r="S13" s="43">
        <f t="shared" si="0"/>
        <v>808.52674734655477</v>
      </c>
      <c r="T13" s="43">
        <f t="shared" si="0"/>
        <v>803.35950429196475</v>
      </c>
      <c r="U13" s="43">
        <f t="shared" si="0"/>
        <v>798.1315919322858</v>
      </c>
      <c r="V13" s="43">
        <f t="shared" si="0"/>
        <v>792.84171153030456</v>
      </c>
      <c r="W13" s="43">
        <f t="shared" si="0"/>
        <v>787.48853854476465</v>
      </c>
      <c r="X13" s="43">
        <f t="shared" si="0"/>
        <v>782.07072211394654</v>
      </c>
      <c r="Y13" s="43">
        <f t="shared" si="0"/>
        <v>0</v>
      </c>
      <c r="Z13" s="43">
        <f t="shared" si="0"/>
        <v>0</v>
      </c>
      <c r="AA13" s="43">
        <f t="shared" si="0"/>
        <v>0</v>
      </c>
      <c r="AB13" s="43">
        <f t="shared" si="0"/>
        <v>0</v>
      </c>
      <c r="AC13" s="43">
        <f t="shared" si="0"/>
        <v>0</v>
      </c>
      <c r="AD13" s="43">
        <f t="shared" si="0"/>
        <v>0</v>
      </c>
      <c r="AE13" s="43">
        <f t="shared" si="0"/>
        <v>0</v>
      </c>
      <c r="AF13" s="43">
        <f t="shared" si="0"/>
        <v>0</v>
      </c>
    </row>
    <row r="14" spans="1:32" ht="15" customHeight="1">
      <c r="A14" s="71" t="s">
        <v>577</v>
      </c>
      <c r="B14" s="71" t="s">
        <v>37</v>
      </c>
      <c r="C14" s="44">
        <f>Dep_Tax!C12</f>
        <v>0</v>
      </c>
      <c r="D14" s="44">
        <f>Dep_Tax!D12</f>
        <v>0</v>
      </c>
      <c r="E14" s="44">
        <f>Dep_Tax!E12</f>
        <v>324.04913750000003</v>
      </c>
      <c r="F14" s="44">
        <f>Dep_Tax!F12</f>
        <v>324.04913750000003</v>
      </c>
      <c r="G14" s="44">
        <f>Dep_Tax!G12</f>
        <v>324.04913750000003</v>
      </c>
      <c r="H14" s="44">
        <f>Dep_Tax!H12</f>
        <v>324.04913750000003</v>
      </c>
      <c r="I14" s="44">
        <f>Dep_Tax!I12</f>
        <v>324.04913750000003</v>
      </c>
      <c r="J14" s="44">
        <f>Dep_Tax!J12</f>
        <v>324.04913750000003</v>
      </c>
      <c r="K14" s="44">
        <f>Dep_Tax!K12</f>
        <v>324.04913750000003</v>
      </c>
      <c r="L14" s="44">
        <f>Dep_Tax!L12</f>
        <v>324.04913750000003</v>
      </c>
      <c r="M14" s="44">
        <f>Dep_Tax!M12</f>
        <v>324.04913750000003</v>
      </c>
      <c r="N14" s="44">
        <f>Dep_Tax!N12</f>
        <v>324.04913750000003</v>
      </c>
      <c r="O14" s="44">
        <f>Dep_Tax!O12</f>
        <v>324.04913750000003</v>
      </c>
      <c r="P14" s="44">
        <f>Dep_Tax!P12</f>
        <v>324.04913750000003</v>
      </c>
      <c r="Q14" s="44">
        <f>Dep_Tax!Q12</f>
        <v>324.04913750000003</v>
      </c>
      <c r="R14" s="44">
        <f>Dep_Tax!R12</f>
        <v>324.04913750000003</v>
      </c>
      <c r="S14" s="44">
        <f>Dep_Tax!S12</f>
        <v>324.04913750000003</v>
      </c>
      <c r="T14" s="44">
        <f>Dep_Tax!T12</f>
        <v>324.04913750000003</v>
      </c>
      <c r="U14" s="44">
        <f>Dep_Tax!U12</f>
        <v>324.04913750000003</v>
      </c>
      <c r="V14" s="44">
        <f>Dep_Tax!V12</f>
        <v>324.04913750000003</v>
      </c>
      <c r="W14" s="44">
        <f>Dep_Tax!W12</f>
        <v>324.04913750000003</v>
      </c>
      <c r="X14" s="44">
        <f>Dep_Tax!X12</f>
        <v>324.04913750000003</v>
      </c>
      <c r="Y14" s="44">
        <f>Dep_Tax!Y12</f>
        <v>0</v>
      </c>
      <c r="Z14" s="44">
        <f>Dep_Tax!Z12</f>
        <v>0</v>
      </c>
      <c r="AA14" s="44">
        <f>Dep_Tax!AA12</f>
        <v>0</v>
      </c>
      <c r="AB14" s="44">
        <f>Dep_Tax!AB12</f>
        <v>0</v>
      </c>
      <c r="AC14" s="44">
        <f>Dep_Tax!AC12</f>
        <v>0</v>
      </c>
      <c r="AD14" s="44">
        <f>Dep_Tax!AD12</f>
        <v>0</v>
      </c>
      <c r="AE14" s="44">
        <f>Dep_Tax!AE12</f>
        <v>0</v>
      </c>
      <c r="AF14" s="44">
        <f>Dep_Tax!AF12</f>
        <v>0</v>
      </c>
    </row>
    <row r="15" spans="1:32" ht="15" customHeight="1">
      <c r="A15" s="71" t="s">
        <v>578</v>
      </c>
      <c r="B15" s="72" t="s">
        <v>43</v>
      </c>
      <c r="C15" s="43">
        <f t="shared" ref="C15:AF15" si="1">C13-C14</f>
        <v>0</v>
      </c>
      <c r="D15" s="43">
        <f t="shared" si="1"/>
        <v>0</v>
      </c>
      <c r="E15" s="43">
        <f t="shared" si="1"/>
        <v>551.11877449999997</v>
      </c>
      <c r="F15" s="43">
        <f t="shared" si="1"/>
        <v>546.67783867599996</v>
      </c>
      <c r="G15" s="43">
        <f t="shared" si="1"/>
        <v>542.19197272364806</v>
      </c>
      <c r="H15" s="43">
        <f t="shared" si="1"/>
        <v>537.66019026320078</v>
      </c>
      <c r="I15" s="43">
        <f t="shared" si="1"/>
        <v>533.08148536287433</v>
      </c>
      <c r="J15" s="43">
        <f t="shared" si="1"/>
        <v>528.45483214745241</v>
      </c>
      <c r="K15" s="43">
        <f t="shared" si="1"/>
        <v>523.77918439906762</v>
      </c>
      <c r="L15" s="43">
        <f t="shared" si="1"/>
        <v>519.05347514999801</v>
      </c>
      <c r="M15" s="43">
        <f t="shared" si="1"/>
        <v>514.27661626732072</v>
      </c>
      <c r="N15" s="43">
        <f t="shared" si="1"/>
        <v>509.44749802926151</v>
      </c>
      <c r="O15" s="43">
        <f t="shared" si="1"/>
        <v>504.56498869306768</v>
      </c>
      <c r="P15" s="43">
        <f t="shared" si="1"/>
        <v>499.62793405424384</v>
      </c>
      <c r="Q15" s="43">
        <f t="shared" si="1"/>
        <v>494.6351569969687</v>
      </c>
      <c r="R15" s="43">
        <f t="shared" si="1"/>
        <v>489.58545703552466</v>
      </c>
      <c r="S15" s="43">
        <f t="shared" si="1"/>
        <v>484.47760984655474</v>
      </c>
      <c r="T15" s="43">
        <f t="shared" si="1"/>
        <v>479.31036679196473</v>
      </c>
      <c r="U15" s="43">
        <f t="shared" si="1"/>
        <v>474.08245443228577</v>
      </c>
      <c r="V15" s="43">
        <f t="shared" si="1"/>
        <v>468.79257403030454</v>
      </c>
      <c r="W15" s="43">
        <f t="shared" si="1"/>
        <v>463.43940104476462</v>
      </c>
      <c r="X15" s="43">
        <f t="shared" si="1"/>
        <v>458.02158461394652</v>
      </c>
      <c r="Y15" s="43">
        <f t="shared" si="1"/>
        <v>0</v>
      </c>
      <c r="Z15" s="43">
        <f t="shared" si="1"/>
        <v>0</v>
      </c>
      <c r="AA15" s="43">
        <f t="shared" si="1"/>
        <v>0</v>
      </c>
      <c r="AB15" s="43">
        <f t="shared" si="1"/>
        <v>0</v>
      </c>
      <c r="AC15" s="43">
        <f t="shared" si="1"/>
        <v>0</v>
      </c>
      <c r="AD15" s="43">
        <f t="shared" si="1"/>
        <v>0</v>
      </c>
      <c r="AE15" s="43">
        <f t="shared" si="1"/>
        <v>0</v>
      </c>
      <c r="AF15" s="43">
        <f t="shared" si="1"/>
        <v>0</v>
      </c>
    </row>
    <row r="16" spans="1:32" ht="15" customHeight="1">
      <c r="A16" s="71" t="s">
        <v>579</v>
      </c>
      <c r="B16" s="71" t="s">
        <v>525</v>
      </c>
      <c r="C16" s="44">
        <f>Dep_Tax!C17</f>
        <v>0</v>
      </c>
      <c r="D16" s="44">
        <f>Dep_Tax!D17</f>
        <v>0</v>
      </c>
      <c r="E16" s="44">
        <f>Dep_Tax!E17</f>
        <v>406.64749999999998</v>
      </c>
      <c r="F16" s="44">
        <f>Dep_Tax!F17</f>
        <v>406.64749999999998</v>
      </c>
      <c r="G16" s="44">
        <f>Dep_Tax!G17</f>
        <v>379.53766666666667</v>
      </c>
      <c r="H16" s="44">
        <f>Dep_Tax!H17</f>
        <v>352.4278333333333</v>
      </c>
      <c r="I16" s="44">
        <f>Dep_Tax!I17</f>
        <v>325.31799999999998</v>
      </c>
      <c r="J16" s="44">
        <f>Dep_Tax!J17</f>
        <v>298.20816666666661</v>
      </c>
      <c r="K16" s="44">
        <f>Dep_Tax!K17</f>
        <v>271.0983333333333</v>
      </c>
      <c r="L16" s="44">
        <f>Dep_Tax!L17</f>
        <v>243.98849999999993</v>
      </c>
      <c r="M16" s="44">
        <f>Dep_Tax!M17</f>
        <v>216.87866666666659</v>
      </c>
      <c r="N16" s="44">
        <f>Dep_Tax!N17</f>
        <v>189.76883333333325</v>
      </c>
      <c r="O16" s="44">
        <f>Dep_Tax!O17</f>
        <v>162.65899999999991</v>
      </c>
      <c r="P16" s="44">
        <f>Dep_Tax!P17</f>
        <v>135.54916666666657</v>
      </c>
      <c r="Q16" s="44">
        <f>Dep_Tax!Q17</f>
        <v>108.43933333333321</v>
      </c>
      <c r="R16" s="44">
        <f>Dep_Tax!R17</f>
        <v>81.329499999999868</v>
      </c>
      <c r="S16" s="44">
        <f>Dep_Tax!S17</f>
        <v>54.219666666666541</v>
      </c>
      <c r="T16" s="44">
        <f>Dep_Tax!T17</f>
        <v>27.109833333333206</v>
      </c>
      <c r="U16" s="44">
        <f>Dep_Tax!U17</f>
        <v>0</v>
      </c>
      <c r="V16" s="44">
        <f>Dep_Tax!V17</f>
        <v>0</v>
      </c>
      <c r="W16" s="44">
        <f>Dep_Tax!W17</f>
        <v>0</v>
      </c>
      <c r="X16" s="44">
        <f>Dep_Tax!X17</f>
        <v>0</v>
      </c>
      <c r="Y16" s="44">
        <f>Dep_Tax!Y17</f>
        <v>0</v>
      </c>
      <c r="Z16" s="44">
        <f>Dep_Tax!Z17</f>
        <v>0</v>
      </c>
      <c r="AA16" s="44">
        <f>Dep_Tax!AA17</f>
        <v>0</v>
      </c>
      <c r="AB16" s="44">
        <f>Dep_Tax!AB17</f>
        <v>0</v>
      </c>
      <c r="AC16" s="44">
        <f>Dep_Tax!AC17</f>
        <v>0</v>
      </c>
      <c r="AD16" s="44">
        <f>Dep_Tax!AD17</f>
        <v>0</v>
      </c>
      <c r="AE16" s="44">
        <f>Dep_Tax!AE17</f>
        <v>0</v>
      </c>
      <c r="AF16" s="44">
        <f>Dep_Tax!AF17</f>
        <v>0</v>
      </c>
    </row>
    <row r="17" spans="1:32" ht="15" customHeight="1">
      <c r="A17" s="71" t="s">
        <v>580</v>
      </c>
      <c r="B17" s="72" t="s">
        <v>581</v>
      </c>
      <c r="C17" s="43">
        <f t="shared" ref="C17:AF17" si="2">C15-C16</f>
        <v>0</v>
      </c>
      <c r="D17" s="43">
        <f t="shared" si="2"/>
        <v>0</v>
      </c>
      <c r="E17" s="43">
        <f t="shared" si="2"/>
        <v>144.47127449999999</v>
      </c>
      <c r="F17" s="43">
        <f t="shared" si="2"/>
        <v>140.03033867599999</v>
      </c>
      <c r="G17" s="43">
        <f t="shared" si="2"/>
        <v>162.6543060569814</v>
      </c>
      <c r="H17" s="43">
        <f t="shared" si="2"/>
        <v>185.23235692986748</v>
      </c>
      <c r="I17" s="43">
        <f t="shared" si="2"/>
        <v>207.76348536287435</v>
      </c>
      <c r="J17" s="43">
        <f t="shared" si="2"/>
        <v>230.24666548078579</v>
      </c>
      <c r="K17" s="43">
        <f t="shared" si="2"/>
        <v>252.68085106573432</v>
      </c>
      <c r="L17" s="43">
        <f t="shared" si="2"/>
        <v>275.06497514999808</v>
      </c>
      <c r="M17" s="43">
        <f t="shared" si="2"/>
        <v>297.3979496006541</v>
      </c>
      <c r="N17" s="43">
        <f t="shared" si="2"/>
        <v>319.67866469592826</v>
      </c>
      <c r="O17" s="43">
        <f t="shared" si="2"/>
        <v>341.9059886930678</v>
      </c>
      <c r="P17" s="43">
        <f t="shared" si="2"/>
        <v>364.07876738757727</v>
      </c>
      <c r="Q17" s="43">
        <f t="shared" si="2"/>
        <v>386.19582366363551</v>
      </c>
      <c r="R17" s="43">
        <f t="shared" si="2"/>
        <v>408.25595703552477</v>
      </c>
      <c r="S17" s="43">
        <f t="shared" si="2"/>
        <v>430.25794317988823</v>
      </c>
      <c r="T17" s="43">
        <f t="shared" si="2"/>
        <v>452.20053345863153</v>
      </c>
      <c r="U17" s="43">
        <f t="shared" si="2"/>
        <v>474.08245443228577</v>
      </c>
      <c r="V17" s="43">
        <f t="shared" si="2"/>
        <v>468.79257403030454</v>
      </c>
      <c r="W17" s="43">
        <f t="shared" si="2"/>
        <v>463.43940104476462</v>
      </c>
      <c r="X17" s="43">
        <f t="shared" si="2"/>
        <v>458.02158461394652</v>
      </c>
      <c r="Y17" s="43">
        <f t="shared" si="2"/>
        <v>0</v>
      </c>
      <c r="Z17" s="43">
        <f t="shared" si="2"/>
        <v>0</v>
      </c>
      <c r="AA17" s="43">
        <f t="shared" si="2"/>
        <v>0</v>
      </c>
      <c r="AB17" s="43">
        <f t="shared" si="2"/>
        <v>0</v>
      </c>
      <c r="AC17" s="43">
        <f t="shared" si="2"/>
        <v>0</v>
      </c>
      <c r="AD17" s="43">
        <f t="shared" si="2"/>
        <v>0</v>
      </c>
      <c r="AE17" s="43">
        <f t="shared" si="2"/>
        <v>0</v>
      </c>
      <c r="AF17" s="43">
        <f t="shared" si="2"/>
        <v>0</v>
      </c>
    </row>
    <row r="18" spans="1:32" ht="15" customHeight="1">
      <c r="A18" s="71" t="s">
        <v>582</v>
      </c>
      <c r="B18" s="71" t="s">
        <v>559</v>
      </c>
      <c r="C18" s="44">
        <f>Dep_Tax!C21</f>
        <v>0</v>
      </c>
      <c r="D18" s="44">
        <f>Dep_Tax!D21</f>
        <v>0</v>
      </c>
      <c r="E18" s="44">
        <f>Dep_Tax!E21</f>
        <v>0</v>
      </c>
      <c r="F18" s="44">
        <f>Dep_Tax!F21</f>
        <v>0</v>
      </c>
      <c r="G18" s="44">
        <f>Dep_Tax!G21</f>
        <v>0</v>
      </c>
      <c r="H18" s="44">
        <f>Dep_Tax!H21</f>
        <v>0</v>
      </c>
      <c r="I18" s="44">
        <f>Dep_Tax!I21</f>
        <v>0</v>
      </c>
      <c r="J18" s="44">
        <f>Dep_Tax!J21</f>
        <v>0</v>
      </c>
      <c r="K18" s="44">
        <f>Dep_Tax!K21</f>
        <v>0</v>
      </c>
      <c r="L18" s="44">
        <f>Dep_Tax!L21</f>
        <v>0</v>
      </c>
      <c r="M18" s="44">
        <f>Dep_Tax!M21</f>
        <v>0</v>
      </c>
      <c r="N18" s="44">
        <f>Dep_Tax!N21</f>
        <v>0</v>
      </c>
      <c r="O18" s="44">
        <f>Dep_Tax!O21</f>
        <v>0</v>
      </c>
      <c r="P18" s="44">
        <f>Dep_Tax!P21</f>
        <v>0</v>
      </c>
      <c r="Q18" s="44">
        <f>Dep_Tax!Q21</f>
        <v>0</v>
      </c>
      <c r="R18" s="44">
        <f>Dep_Tax!R21</f>
        <v>0</v>
      </c>
      <c r="S18" s="44">
        <f>Dep_Tax!S21</f>
        <v>0</v>
      </c>
      <c r="T18" s="44">
        <f>Dep_Tax!T21</f>
        <v>0</v>
      </c>
      <c r="U18" s="44">
        <f>Dep_Tax!U21</f>
        <v>0</v>
      </c>
      <c r="V18" s="44">
        <f>Dep_Tax!V21</f>
        <v>0</v>
      </c>
      <c r="W18" s="44">
        <f>Dep_Tax!W21</f>
        <v>0</v>
      </c>
      <c r="X18" s="44">
        <f>Dep_Tax!X21</f>
        <v>0</v>
      </c>
      <c r="Y18" s="44">
        <f>Dep_Tax!Y21</f>
        <v>0</v>
      </c>
      <c r="Z18" s="44">
        <f>Dep_Tax!Z21</f>
        <v>0</v>
      </c>
      <c r="AA18" s="44">
        <f>Dep_Tax!AA21</f>
        <v>0</v>
      </c>
      <c r="AB18" s="44">
        <f>Dep_Tax!AB21</f>
        <v>0</v>
      </c>
      <c r="AC18" s="44">
        <f>Dep_Tax!AC21</f>
        <v>0</v>
      </c>
      <c r="AD18" s="44">
        <f>Dep_Tax!AD21</f>
        <v>0</v>
      </c>
      <c r="AE18" s="44">
        <f>Dep_Tax!AE21</f>
        <v>0</v>
      </c>
      <c r="AF18" s="44">
        <f>Dep_Tax!AF21</f>
        <v>0</v>
      </c>
    </row>
    <row r="19" spans="1:32" ht="15" customHeight="1">
      <c r="A19" s="71" t="s">
        <v>583</v>
      </c>
      <c r="B19" s="71" t="s">
        <v>563</v>
      </c>
      <c r="C19" s="44">
        <f>Dep_Tax!C23</f>
        <v>0</v>
      </c>
      <c r="D19" s="44">
        <f>Dep_Tax!D23</f>
        <v>0</v>
      </c>
      <c r="E19" s="44">
        <f>Dep_Tax!E23</f>
        <v>144.47127449999999</v>
      </c>
      <c r="F19" s="44">
        <f>Dep_Tax!F23</f>
        <v>140.03033867599999</v>
      </c>
      <c r="G19" s="44">
        <f>Dep_Tax!G23</f>
        <v>162.6543060569814</v>
      </c>
      <c r="H19" s="44">
        <f>Dep_Tax!H23</f>
        <v>185.23235692986748</v>
      </c>
      <c r="I19" s="44">
        <f>Dep_Tax!I23</f>
        <v>207.76348536287435</v>
      </c>
      <c r="J19" s="44">
        <f>Dep_Tax!J23</f>
        <v>230.24666548078579</v>
      </c>
      <c r="K19" s="44">
        <f>Dep_Tax!K23</f>
        <v>252.68085106573432</v>
      </c>
      <c r="L19" s="44">
        <f>Dep_Tax!L23</f>
        <v>275.06497514999808</v>
      </c>
      <c r="M19" s="44">
        <f>Dep_Tax!M23</f>
        <v>297.3979496006541</v>
      </c>
      <c r="N19" s="44">
        <f>Dep_Tax!N23</f>
        <v>319.67866469592826</v>
      </c>
      <c r="O19" s="44">
        <f>Dep_Tax!O23</f>
        <v>341.9059886930678</v>
      </c>
      <c r="P19" s="44">
        <f>Dep_Tax!P23</f>
        <v>364.07876738757727</v>
      </c>
      <c r="Q19" s="44">
        <f>Dep_Tax!Q23</f>
        <v>386.19582366363551</v>
      </c>
      <c r="R19" s="44">
        <f>Dep_Tax!R23</f>
        <v>408.25595703552477</v>
      </c>
      <c r="S19" s="44">
        <f>Dep_Tax!S23</f>
        <v>430.25794317988823</v>
      </c>
      <c r="T19" s="44">
        <f>Dep_Tax!T23</f>
        <v>452.20053345863153</v>
      </c>
      <c r="U19" s="44">
        <f>Dep_Tax!U23</f>
        <v>474.08245443228577</v>
      </c>
      <c r="V19" s="44">
        <f>Dep_Tax!V23</f>
        <v>468.79257403030454</v>
      </c>
      <c r="W19" s="44">
        <f>Dep_Tax!W23</f>
        <v>463.43940104476462</v>
      </c>
      <c r="X19" s="44">
        <f>Dep_Tax!X23</f>
        <v>458.02158461394652</v>
      </c>
      <c r="Y19" s="44">
        <f>Dep_Tax!Y23</f>
        <v>0</v>
      </c>
      <c r="Z19" s="44">
        <f>Dep_Tax!Z23</f>
        <v>0</v>
      </c>
      <c r="AA19" s="44">
        <f>Dep_Tax!AA23</f>
        <v>0</v>
      </c>
      <c r="AB19" s="44">
        <f>Dep_Tax!AB23</f>
        <v>0</v>
      </c>
      <c r="AC19" s="44">
        <f>Dep_Tax!AC23</f>
        <v>0</v>
      </c>
      <c r="AD19" s="44">
        <f>Dep_Tax!AD23</f>
        <v>0</v>
      </c>
      <c r="AE19" s="44">
        <f>Dep_Tax!AE23</f>
        <v>0</v>
      </c>
      <c r="AF19" s="44">
        <f>Dep_Tax!AF23</f>
        <v>0</v>
      </c>
    </row>
    <row r="20" spans="1:32" ht="15" customHeight="1">
      <c r="A20" s="71" t="s">
        <v>584</v>
      </c>
      <c r="B20" s="71" t="s">
        <v>585</v>
      </c>
      <c r="C20" s="44">
        <f>Dep_Tax!C25</f>
        <v>0</v>
      </c>
      <c r="D20" s="44">
        <f>Dep_Tax!D25</f>
        <v>0</v>
      </c>
      <c r="E20" s="44">
        <f>Dep_Tax!E25</f>
        <v>0</v>
      </c>
      <c r="F20" s="44">
        <f>Dep_Tax!F25</f>
        <v>0</v>
      </c>
      <c r="G20" s="44">
        <f>Dep_Tax!G25</f>
        <v>0</v>
      </c>
      <c r="H20" s="44">
        <f>Dep_Tax!H25</f>
        <v>0</v>
      </c>
      <c r="I20" s="44">
        <f>Dep_Tax!I25</f>
        <v>10.388174268143718</v>
      </c>
      <c r="J20" s="44">
        <f>Dep_Tax!J25</f>
        <v>11.512333274039291</v>
      </c>
      <c r="K20" s="44">
        <f>Dep_Tax!K25</f>
        <v>12.634042553286717</v>
      </c>
      <c r="L20" s="44">
        <f>Dep_Tax!L25</f>
        <v>13.753248757499904</v>
      </c>
      <c r="M20" s="44">
        <f>Dep_Tax!M25</f>
        <v>14.869897480032705</v>
      </c>
      <c r="N20" s="44">
        <f>Dep_Tax!N25</f>
        <v>15.983933234796414</v>
      </c>
      <c r="O20" s="44">
        <f>Dep_Tax!O25</f>
        <v>17.095299434653391</v>
      </c>
      <c r="P20" s="44">
        <f>Dep_Tax!P25</f>
        <v>18.203938369378864</v>
      </c>
      <c r="Q20" s="44">
        <f>Dep_Tax!Q25</f>
        <v>19.309791183181776</v>
      </c>
      <c r="R20" s="44">
        <f>Dep_Tax!R25</f>
        <v>40.82559570355248</v>
      </c>
      <c r="S20" s="44">
        <f>Dep_Tax!S25</f>
        <v>43.025794317988826</v>
      </c>
      <c r="T20" s="44">
        <f>Dep_Tax!T25</f>
        <v>90.440106691726314</v>
      </c>
      <c r="U20" s="44">
        <f>Dep_Tax!U25</f>
        <v>94.81649088645716</v>
      </c>
      <c r="V20" s="44">
        <f>Dep_Tax!V25</f>
        <v>93.758514806060916</v>
      </c>
      <c r="W20" s="44">
        <f>Dep_Tax!W25</f>
        <v>92.687880208952933</v>
      </c>
      <c r="X20" s="44">
        <f>Dep_Tax!X25</f>
        <v>91.604316922789309</v>
      </c>
      <c r="Y20" s="44">
        <f>Dep_Tax!Y25</f>
        <v>0</v>
      </c>
      <c r="Z20" s="44">
        <f>Dep_Tax!Z25</f>
        <v>0</v>
      </c>
      <c r="AA20" s="44">
        <f>Dep_Tax!AA25</f>
        <v>0</v>
      </c>
      <c r="AB20" s="44">
        <f>Dep_Tax!AB25</f>
        <v>0</v>
      </c>
      <c r="AC20" s="44">
        <f>Dep_Tax!AC25</f>
        <v>0</v>
      </c>
      <c r="AD20" s="44">
        <f>Dep_Tax!AD25</f>
        <v>0</v>
      </c>
      <c r="AE20" s="44">
        <f>Dep_Tax!AE25</f>
        <v>0</v>
      </c>
      <c r="AF20" s="44">
        <f>Dep_Tax!AF25</f>
        <v>0</v>
      </c>
    </row>
    <row r="21" spans="1:32" ht="15" customHeight="1">
      <c r="A21" s="71" t="s">
        <v>586</v>
      </c>
      <c r="B21" s="72" t="s">
        <v>569</v>
      </c>
      <c r="C21" s="43">
        <f t="shared" ref="C21:AF21" si="3">C17-C20</f>
        <v>0</v>
      </c>
      <c r="D21" s="43">
        <f t="shared" si="3"/>
        <v>0</v>
      </c>
      <c r="E21" s="43">
        <f t="shared" si="3"/>
        <v>144.47127449999999</v>
      </c>
      <c r="F21" s="43">
        <f t="shared" si="3"/>
        <v>140.03033867599999</v>
      </c>
      <c r="G21" s="43">
        <f t="shared" si="3"/>
        <v>162.6543060569814</v>
      </c>
      <c r="H21" s="43">
        <f t="shared" si="3"/>
        <v>185.23235692986748</v>
      </c>
      <c r="I21" s="43">
        <f t="shared" si="3"/>
        <v>197.37531109473062</v>
      </c>
      <c r="J21" s="43">
        <f t="shared" si="3"/>
        <v>218.7343322067465</v>
      </c>
      <c r="K21" s="43">
        <f t="shared" si="3"/>
        <v>240.0468085124476</v>
      </c>
      <c r="L21" s="43">
        <f t="shared" si="3"/>
        <v>261.31172639249814</v>
      </c>
      <c r="M21" s="43">
        <f t="shared" si="3"/>
        <v>282.5280521206214</v>
      </c>
      <c r="N21" s="43">
        <f t="shared" si="3"/>
        <v>303.69473146113182</v>
      </c>
      <c r="O21" s="43">
        <f t="shared" si="3"/>
        <v>324.81068925841441</v>
      </c>
      <c r="P21" s="43">
        <f t="shared" si="3"/>
        <v>345.8748290181984</v>
      </c>
      <c r="Q21" s="43">
        <f t="shared" si="3"/>
        <v>366.88603248045371</v>
      </c>
      <c r="R21" s="43">
        <f t="shared" si="3"/>
        <v>367.43036133197228</v>
      </c>
      <c r="S21" s="43">
        <f t="shared" si="3"/>
        <v>387.23214886189942</v>
      </c>
      <c r="T21" s="43">
        <f t="shared" si="3"/>
        <v>361.7604267669052</v>
      </c>
      <c r="U21" s="43">
        <f t="shared" si="3"/>
        <v>379.26596354582864</v>
      </c>
      <c r="V21" s="43">
        <f t="shared" si="3"/>
        <v>375.03405922424361</v>
      </c>
      <c r="W21" s="43">
        <f t="shared" si="3"/>
        <v>370.75152083581168</v>
      </c>
      <c r="X21" s="43">
        <f t="shared" si="3"/>
        <v>366.41726769115724</v>
      </c>
      <c r="Y21" s="43">
        <f t="shared" si="3"/>
        <v>0</v>
      </c>
      <c r="Z21" s="43">
        <f t="shared" si="3"/>
        <v>0</v>
      </c>
      <c r="AA21" s="43">
        <f t="shared" si="3"/>
        <v>0</v>
      </c>
      <c r="AB21" s="43">
        <f t="shared" si="3"/>
        <v>0</v>
      </c>
      <c r="AC21" s="43">
        <f t="shared" si="3"/>
        <v>0</v>
      </c>
      <c r="AD21" s="43">
        <f t="shared" si="3"/>
        <v>0</v>
      </c>
      <c r="AE21" s="43">
        <f t="shared" si="3"/>
        <v>0</v>
      </c>
      <c r="AF21" s="43">
        <f t="shared" si="3"/>
        <v>0</v>
      </c>
    </row>
    <row r="22" spans="1:32" ht="15" customHeight="1">
      <c r="A22" s="69"/>
      <c r="B22" s="69"/>
      <c r="C22" s="64"/>
      <c r="D22" s="64"/>
      <c r="E22" s="64"/>
      <c r="F22" s="64"/>
      <c r="G22" s="64"/>
      <c r="H22" s="64"/>
      <c r="I22" s="64"/>
      <c r="J22" s="64"/>
      <c r="K22" s="64"/>
      <c r="L22" s="64"/>
      <c r="M22" s="64"/>
      <c r="N22" s="64"/>
      <c r="O22" s="64"/>
      <c r="P22" s="64"/>
      <c r="Q22" s="64"/>
      <c r="R22" s="64"/>
      <c r="S22" s="64"/>
      <c r="T22" s="64"/>
      <c r="U22" s="64"/>
      <c r="V22" s="64"/>
      <c r="W22" s="64"/>
      <c r="X22" s="64"/>
      <c r="Y22" s="64"/>
      <c r="Z22" s="64"/>
      <c r="AA22" s="64"/>
      <c r="AB22" s="64"/>
      <c r="AC22" s="64"/>
      <c r="AD22" s="64"/>
      <c r="AE22" s="64"/>
      <c r="AF22" s="64"/>
    </row>
    <row r="23" spans="1:32" ht="15" customHeight="1">
      <c r="A23" s="140" t="s">
        <v>587</v>
      </c>
      <c r="B23" s="140"/>
      <c r="C23" s="141"/>
      <c r="D23" s="141"/>
      <c r="E23" s="141"/>
      <c r="F23" s="141"/>
      <c r="G23" s="141"/>
      <c r="H23" s="141"/>
      <c r="I23" s="141"/>
      <c r="J23" s="141"/>
      <c r="K23" s="141"/>
      <c r="L23" s="141"/>
      <c r="M23" s="141"/>
      <c r="N23" s="141"/>
      <c r="O23" s="141"/>
      <c r="P23" s="141"/>
      <c r="Q23" s="141"/>
      <c r="R23" s="141"/>
      <c r="S23" s="141"/>
      <c r="T23" s="141"/>
      <c r="U23" s="141"/>
      <c r="V23" s="141"/>
      <c r="W23" s="141"/>
      <c r="X23" s="141"/>
      <c r="Y23" s="141"/>
      <c r="Z23" s="141"/>
      <c r="AA23" s="141"/>
      <c r="AB23" s="141"/>
      <c r="AC23" s="141"/>
      <c r="AD23" s="141"/>
      <c r="AE23" s="141"/>
      <c r="AF23" s="141"/>
    </row>
    <row r="24" spans="1:32" ht="15" customHeight="1">
      <c r="A24" s="69" t="s">
        <v>588</v>
      </c>
      <c r="B24" s="69" t="s">
        <v>499</v>
      </c>
      <c r="C24" s="67">
        <f>SUM(C11:AF11)</f>
        <v>19574.830471466088</v>
      </c>
      <c r="D24" s="64"/>
      <c r="E24" s="64"/>
      <c r="F24" s="64"/>
      <c r="G24" s="64"/>
      <c r="H24" s="64"/>
      <c r="I24" s="64"/>
      <c r="J24" s="64"/>
      <c r="K24" s="64"/>
      <c r="L24" s="64"/>
      <c r="M24" s="64"/>
      <c r="N24" s="64"/>
      <c r="O24" s="64"/>
      <c r="P24" s="64"/>
      <c r="Q24" s="64"/>
      <c r="R24" s="64"/>
      <c r="S24" s="64"/>
      <c r="T24" s="64"/>
      <c r="U24" s="64"/>
      <c r="V24" s="64"/>
      <c r="W24" s="64"/>
      <c r="X24" s="64"/>
      <c r="Y24" s="64"/>
      <c r="Z24" s="64"/>
      <c r="AA24" s="64"/>
      <c r="AB24" s="64"/>
      <c r="AC24" s="64"/>
      <c r="AD24" s="64"/>
      <c r="AE24" s="64"/>
      <c r="AF24" s="64"/>
    </row>
    <row r="25" spans="1:32" ht="15" customHeight="1">
      <c r="A25" s="69" t="s">
        <v>589</v>
      </c>
      <c r="B25" s="69" t="s">
        <v>590</v>
      </c>
      <c r="C25" s="67">
        <f>SUM(C13:AF13)</f>
        <v>16603.262145058452</v>
      </c>
      <c r="D25" s="64"/>
      <c r="E25" s="64"/>
      <c r="F25" s="64"/>
      <c r="G25" s="64"/>
      <c r="H25" s="64"/>
      <c r="I25" s="64"/>
      <c r="J25" s="64"/>
      <c r="K25" s="64"/>
      <c r="L25" s="64"/>
      <c r="M25" s="64"/>
      <c r="N25" s="64"/>
      <c r="O25" s="64"/>
      <c r="P25" s="64"/>
      <c r="Q25" s="64"/>
      <c r="R25" s="64"/>
      <c r="S25" s="64"/>
      <c r="T25" s="64"/>
      <c r="U25" s="64"/>
      <c r="V25" s="64"/>
      <c r="W25" s="64"/>
      <c r="X25" s="64"/>
      <c r="Y25" s="64"/>
      <c r="Z25" s="64"/>
      <c r="AA25" s="64"/>
      <c r="AB25" s="64"/>
      <c r="AC25" s="64"/>
      <c r="AD25" s="64"/>
      <c r="AE25" s="64"/>
      <c r="AF25" s="64"/>
    </row>
    <row r="26" spans="1:32" ht="15" customHeight="1">
      <c r="A26" s="69" t="s">
        <v>591</v>
      </c>
      <c r="B26" s="69" t="s">
        <v>437</v>
      </c>
      <c r="C26" s="67">
        <f>SUM(C20:AF20)</f>
        <v>680.90935809254074</v>
      </c>
      <c r="D26" s="64"/>
      <c r="E26" s="64"/>
      <c r="F26" s="64"/>
      <c r="G26" s="64"/>
      <c r="H26" s="64"/>
      <c r="I26" s="64"/>
      <c r="J26" s="64"/>
      <c r="K26" s="64"/>
      <c r="L26" s="64"/>
      <c r="M26" s="64"/>
      <c r="N26" s="64"/>
      <c r="O26" s="64"/>
      <c r="P26" s="64"/>
      <c r="Q26" s="64"/>
      <c r="R26" s="64"/>
      <c r="S26" s="64"/>
      <c r="T26" s="64"/>
      <c r="U26" s="64"/>
      <c r="V26" s="64"/>
      <c r="W26" s="64"/>
      <c r="X26" s="64"/>
      <c r="Y26" s="64"/>
      <c r="Z26" s="64"/>
      <c r="AA26" s="64"/>
      <c r="AB26" s="64"/>
      <c r="AC26" s="64"/>
      <c r="AD26" s="64"/>
      <c r="AE26" s="64"/>
      <c r="AF26" s="64"/>
    </row>
    <row r="27" spans="1:32" ht="15" customHeight="1">
      <c r="A27" s="69" t="s">
        <v>592</v>
      </c>
      <c r="B27" s="69" t="s">
        <v>593</v>
      </c>
      <c r="C27" s="67">
        <f>SUM(C21:AF21)</f>
        <v>5781.5425369659097</v>
      </c>
      <c r="D27" s="64"/>
      <c r="E27" s="64"/>
      <c r="F27" s="64"/>
      <c r="G27" s="64"/>
      <c r="H27" s="64"/>
      <c r="I27" s="64"/>
      <c r="J27" s="64"/>
      <c r="K27" s="64"/>
      <c r="L27" s="64"/>
      <c r="M27" s="64"/>
      <c r="N27" s="64"/>
      <c r="O27" s="64"/>
      <c r="P27" s="64"/>
      <c r="Q27" s="64"/>
      <c r="R27" s="64"/>
      <c r="S27" s="64"/>
      <c r="T27" s="64"/>
      <c r="U27" s="64"/>
      <c r="V27" s="64"/>
      <c r="W27" s="64"/>
      <c r="X27" s="64"/>
      <c r="Y27" s="64"/>
      <c r="Z27" s="64"/>
      <c r="AA27" s="64"/>
      <c r="AB27" s="64"/>
      <c r="AC27" s="64"/>
      <c r="AD27" s="64"/>
      <c r="AE27" s="64"/>
      <c r="AF27" s="64"/>
    </row>
    <row r="28" spans="1:32" ht="15" customHeight="1">
      <c r="A28" s="69"/>
      <c r="B28" s="69"/>
      <c r="C28" s="64"/>
      <c r="D28" s="64"/>
      <c r="E28" s="64"/>
      <c r="F28" s="64"/>
      <c r="G28" s="64"/>
      <c r="H28" s="64"/>
      <c r="I28" s="64"/>
      <c r="J28" s="64"/>
      <c r="K28" s="64"/>
      <c r="L28" s="64"/>
      <c r="M28" s="64"/>
      <c r="N28" s="64"/>
      <c r="O28" s="64"/>
      <c r="P28" s="64"/>
      <c r="Q28" s="64"/>
      <c r="R28" s="64"/>
      <c r="S28" s="64"/>
      <c r="T28" s="64"/>
      <c r="U28" s="64"/>
      <c r="V28" s="64"/>
      <c r="W28" s="64"/>
      <c r="X28" s="64"/>
      <c r="Y28" s="64"/>
      <c r="Z28" s="64"/>
      <c r="AA28" s="64"/>
      <c r="AB28" s="64"/>
      <c r="AC28" s="64"/>
      <c r="AD28" s="64"/>
      <c r="AE28" s="64"/>
      <c r="AF28" s="64"/>
    </row>
    <row r="29" spans="1:32" ht="15" customHeight="1">
      <c r="A29" s="69"/>
      <c r="B29" s="69"/>
      <c r="C29" s="64"/>
      <c r="D29" s="64"/>
      <c r="E29" s="64"/>
      <c r="F29" s="64"/>
      <c r="G29" s="64"/>
      <c r="H29" s="64"/>
      <c r="I29" s="64"/>
      <c r="J29" s="64"/>
      <c r="K29" s="64"/>
      <c r="L29" s="64"/>
      <c r="M29" s="64"/>
      <c r="N29" s="64"/>
      <c r="O29" s="64"/>
      <c r="P29" s="64"/>
      <c r="Q29" s="64"/>
      <c r="R29" s="64"/>
      <c r="S29" s="64"/>
      <c r="T29" s="64"/>
      <c r="U29" s="64"/>
      <c r="V29" s="64"/>
      <c r="W29" s="64"/>
      <c r="X29" s="64"/>
      <c r="Y29" s="64"/>
      <c r="Z29" s="64"/>
      <c r="AA29" s="64"/>
      <c r="AB29" s="64"/>
      <c r="AC29" s="64"/>
      <c r="AD29" s="64"/>
      <c r="AE29" s="64"/>
      <c r="AF29" s="64"/>
    </row>
    <row r="30" spans="1:32" ht="15" customHeight="1">
      <c r="A30" s="69"/>
      <c r="B30" s="69"/>
      <c r="C30" s="64"/>
      <c r="D30" s="64"/>
      <c r="E30" s="64"/>
      <c r="F30" s="64"/>
      <c r="G30" s="64"/>
      <c r="H30" s="64"/>
      <c r="I30" s="64"/>
      <c r="J30" s="64"/>
      <c r="K30" s="64"/>
      <c r="L30" s="64"/>
      <c r="M30" s="64"/>
      <c r="N30" s="64"/>
      <c r="O30" s="64"/>
      <c r="P30" s="64"/>
      <c r="Q30" s="64"/>
      <c r="R30" s="64"/>
      <c r="S30" s="64"/>
      <c r="T30" s="64"/>
      <c r="U30" s="64"/>
      <c r="V30" s="64"/>
      <c r="W30" s="64"/>
      <c r="X30" s="64"/>
      <c r="Y30" s="64"/>
      <c r="Z30" s="64"/>
      <c r="AA30" s="64"/>
      <c r="AB30" s="64"/>
      <c r="AC30" s="64"/>
      <c r="AD30" s="64"/>
      <c r="AE30" s="64"/>
      <c r="AF30" s="64"/>
    </row>
    <row r="31" spans="1:32" ht="15" customHeight="1">
      <c r="A31" s="69"/>
      <c r="B31" s="69"/>
      <c r="C31" s="64"/>
      <c r="D31" s="64"/>
      <c r="E31" s="64"/>
      <c r="F31" s="64"/>
      <c r="G31" s="64"/>
      <c r="H31" s="64"/>
      <c r="I31" s="64"/>
      <c r="J31" s="64"/>
      <c r="K31" s="64"/>
      <c r="L31" s="64"/>
      <c r="M31" s="64"/>
      <c r="N31" s="64"/>
      <c r="O31" s="64"/>
      <c r="P31" s="64"/>
      <c r="Q31" s="64"/>
      <c r="R31" s="64"/>
      <c r="S31" s="64"/>
      <c r="T31" s="64"/>
      <c r="U31" s="64"/>
      <c r="V31" s="64"/>
      <c r="W31" s="64"/>
      <c r="X31" s="64"/>
      <c r="Y31" s="64"/>
      <c r="Z31" s="64"/>
      <c r="AA31" s="64"/>
      <c r="AB31" s="64"/>
      <c r="AC31" s="64"/>
      <c r="AD31" s="64"/>
      <c r="AE31" s="64"/>
      <c r="AF31" s="64"/>
    </row>
    <row r="32" spans="1:32" ht="15" customHeight="1">
      <c r="A32" s="69"/>
      <c r="B32" s="69"/>
      <c r="C32" s="64"/>
      <c r="D32" s="64"/>
      <c r="E32" s="64"/>
      <c r="F32" s="64"/>
      <c r="G32" s="64"/>
      <c r="H32" s="64"/>
      <c r="I32" s="64"/>
      <c r="J32" s="64"/>
      <c r="K32" s="64"/>
      <c r="L32" s="64"/>
      <c r="M32" s="64"/>
      <c r="N32" s="64"/>
      <c r="O32" s="64"/>
      <c r="P32" s="64"/>
      <c r="Q32" s="64"/>
      <c r="R32" s="64"/>
      <c r="S32" s="64"/>
      <c r="T32" s="64"/>
      <c r="U32" s="64"/>
      <c r="V32" s="64"/>
      <c r="W32" s="64"/>
      <c r="X32" s="64"/>
      <c r="Y32" s="64"/>
      <c r="Z32" s="64"/>
      <c r="AA32" s="64"/>
      <c r="AB32" s="64"/>
      <c r="AC32" s="64"/>
      <c r="AD32" s="64"/>
      <c r="AE32" s="64"/>
      <c r="AF32" s="64"/>
    </row>
    <row r="33" spans="1:32" ht="15" customHeight="1">
      <c r="A33" s="69"/>
      <c r="B33" s="69"/>
      <c r="C33" s="64"/>
      <c r="D33" s="64"/>
      <c r="E33" s="64"/>
      <c r="F33" s="64"/>
      <c r="G33" s="64"/>
      <c r="H33" s="64"/>
      <c r="I33" s="64"/>
      <c r="J33" s="64"/>
      <c r="K33" s="64"/>
      <c r="L33" s="64"/>
      <c r="M33" s="64"/>
      <c r="N33" s="64"/>
      <c r="O33" s="64"/>
      <c r="P33" s="64"/>
      <c r="Q33" s="64"/>
      <c r="R33" s="64"/>
      <c r="S33" s="64"/>
      <c r="T33" s="64"/>
      <c r="U33" s="64"/>
      <c r="V33" s="64"/>
      <c r="W33" s="64"/>
      <c r="X33" s="64"/>
      <c r="Y33" s="64"/>
      <c r="Z33" s="64"/>
      <c r="AA33" s="64"/>
      <c r="AB33" s="64"/>
      <c r="AC33" s="64"/>
      <c r="AD33" s="64"/>
      <c r="AE33" s="64"/>
      <c r="AF33" s="64"/>
    </row>
    <row r="34" spans="1:32" ht="15" customHeight="1">
      <c r="A34" s="69"/>
      <c r="B34" s="69"/>
      <c r="C34" s="64"/>
      <c r="D34" s="64"/>
      <c r="E34" s="64"/>
      <c r="F34" s="64"/>
      <c r="G34" s="64"/>
      <c r="H34" s="64"/>
      <c r="I34" s="64"/>
      <c r="J34" s="64"/>
      <c r="K34" s="64"/>
      <c r="L34" s="64"/>
      <c r="M34" s="64"/>
      <c r="N34" s="64"/>
      <c r="O34" s="64"/>
      <c r="P34" s="64"/>
      <c r="Q34" s="64"/>
      <c r="R34" s="64"/>
      <c r="S34" s="64"/>
      <c r="T34" s="64"/>
      <c r="U34" s="64"/>
      <c r="V34" s="64"/>
      <c r="W34" s="64"/>
      <c r="X34" s="64"/>
      <c r="Y34" s="64"/>
      <c r="Z34" s="64"/>
      <c r="AA34" s="64"/>
      <c r="AB34" s="64"/>
      <c r="AC34" s="64"/>
      <c r="AD34" s="64"/>
      <c r="AE34" s="64"/>
      <c r="AF34" s="64"/>
    </row>
    <row r="35" spans="1:32" ht="15" customHeight="1">
      <c r="A35" s="69"/>
      <c r="B35" s="69"/>
      <c r="C35" s="64"/>
      <c r="D35" s="64"/>
      <c r="E35" s="64"/>
      <c r="F35" s="64"/>
      <c r="G35" s="64"/>
      <c r="H35" s="64"/>
      <c r="I35" s="64"/>
      <c r="J35" s="64"/>
      <c r="K35" s="64"/>
      <c r="L35" s="64"/>
      <c r="M35" s="64"/>
      <c r="N35" s="64"/>
      <c r="O35" s="64"/>
      <c r="P35" s="64"/>
      <c r="Q35" s="64"/>
      <c r="R35" s="64"/>
      <c r="S35" s="64"/>
      <c r="T35" s="64"/>
      <c r="U35" s="64"/>
      <c r="V35" s="64"/>
      <c r="W35" s="64"/>
      <c r="X35" s="64"/>
      <c r="Y35" s="64"/>
      <c r="Z35" s="64"/>
      <c r="AA35" s="64"/>
      <c r="AB35" s="64"/>
      <c r="AC35" s="64"/>
      <c r="AD35" s="64"/>
      <c r="AE35" s="64"/>
      <c r="AF35" s="64"/>
    </row>
    <row r="36" spans="1:32" ht="15" customHeight="1">
      <c r="A36" s="69"/>
      <c r="B36" s="69"/>
      <c r="C36" s="64"/>
      <c r="D36" s="64"/>
      <c r="E36" s="64"/>
      <c r="F36" s="64"/>
      <c r="G36" s="64"/>
      <c r="H36" s="64"/>
      <c r="I36" s="64"/>
      <c r="J36" s="64"/>
      <c r="K36" s="64"/>
      <c r="L36" s="64"/>
      <c r="M36" s="64"/>
      <c r="N36" s="64"/>
      <c r="O36" s="64"/>
      <c r="P36" s="64"/>
      <c r="Q36" s="64"/>
      <c r="R36" s="64"/>
      <c r="S36" s="64"/>
      <c r="T36" s="64"/>
      <c r="U36" s="64"/>
      <c r="V36" s="64"/>
      <c r="W36" s="64"/>
      <c r="X36" s="64"/>
      <c r="Y36" s="64"/>
      <c r="Z36" s="64"/>
      <c r="AA36" s="64"/>
      <c r="AB36" s="64"/>
      <c r="AC36" s="64"/>
      <c r="AD36" s="64"/>
      <c r="AE36" s="64"/>
      <c r="AF36" s="64"/>
    </row>
    <row r="37" spans="1:32" ht="15" customHeight="1">
      <c r="A37" s="69"/>
      <c r="B37" s="69"/>
      <c r="C37" s="64"/>
      <c r="D37" s="64"/>
      <c r="E37" s="64"/>
      <c r="F37" s="64"/>
      <c r="G37" s="64"/>
      <c r="H37" s="64"/>
      <c r="I37" s="64"/>
      <c r="J37" s="64"/>
      <c r="K37" s="64"/>
      <c r="L37" s="64"/>
      <c r="M37" s="64"/>
      <c r="N37" s="64"/>
      <c r="O37" s="64"/>
      <c r="P37" s="64"/>
      <c r="Q37" s="64"/>
      <c r="R37" s="64"/>
      <c r="S37" s="64"/>
      <c r="T37" s="64"/>
      <c r="U37" s="64"/>
      <c r="V37" s="64"/>
      <c r="W37" s="64"/>
      <c r="X37" s="64"/>
      <c r="Y37" s="64"/>
      <c r="Z37" s="64"/>
      <c r="AA37" s="64"/>
      <c r="AB37" s="64"/>
      <c r="AC37" s="64"/>
      <c r="AD37" s="64"/>
      <c r="AE37" s="64"/>
      <c r="AF37" s="64"/>
    </row>
    <row r="38" spans="1:32" ht="15" customHeight="1">
      <c r="A38" s="69"/>
      <c r="B38" s="69"/>
      <c r="C38" s="64"/>
      <c r="D38" s="64"/>
      <c r="E38" s="64"/>
      <c r="F38" s="64"/>
      <c r="G38" s="64"/>
      <c r="H38" s="64"/>
      <c r="I38" s="64"/>
      <c r="J38" s="64"/>
      <c r="K38" s="64"/>
      <c r="L38" s="64"/>
      <c r="M38" s="64"/>
      <c r="N38" s="64"/>
      <c r="O38" s="64"/>
      <c r="P38" s="64"/>
      <c r="Q38" s="64"/>
      <c r="R38" s="64"/>
      <c r="S38" s="64"/>
      <c r="T38" s="64"/>
      <c r="U38" s="64"/>
      <c r="V38" s="64"/>
      <c r="W38" s="64"/>
      <c r="X38" s="64"/>
      <c r="Y38" s="64"/>
      <c r="Z38" s="64"/>
      <c r="AA38" s="64"/>
      <c r="AB38" s="64"/>
      <c r="AC38" s="64"/>
      <c r="AD38" s="64"/>
      <c r="AE38" s="64"/>
      <c r="AF38" s="64"/>
    </row>
    <row r="39" spans="1:32" ht="15" customHeight="1">
      <c r="A39" s="69"/>
      <c r="B39" s="69"/>
      <c r="C39" s="64"/>
      <c r="D39" s="64"/>
      <c r="E39" s="64"/>
      <c r="F39" s="64"/>
      <c r="G39" s="64"/>
      <c r="H39" s="64"/>
      <c r="I39" s="64"/>
      <c r="J39" s="64"/>
      <c r="K39" s="64"/>
      <c r="L39" s="64"/>
      <c r="M39" s="64"/>
      <c r="N39" s="64"/>
      <c r="O39" s="64"/>
      <c r="P39" s="64"/>
      <c r="Q39" s="64"/>
      <c r="R39" s="64"/>
      <c r="S39" s="64"/>
      <c r="T39" s="64"/>
      <c r="U39" s="64"/>
      <c r="V39" s="64"/>
      <c r="W39" s="64"/>
      <c r="X39" s="64"/>
      <c r="Y39" s="64"/>
      <c r="Z39" s="64"/>
      <c r="AA39" s="64"/>
      <c r="AB39" s="64"/>
      <c r="AC39" s="64"/>
      <c r="AD39" s="64"/>
      <c r="AE39" s="64"/>
      <c r="AF39" s="64"/>
    </row>
    <row r="40" spans="1:32" ht="15" customHeight="1">
      <c r="A40" s="69"/>
      <c r="B40" s="69"/>
      <c r="C40" s="64"/>
      <c r="D40" s="64"/>
      <c r="E40" s="64"/>
      <c r="F40" s="64"/>
      <c r="G40" s="64"/>
      <c r="H40" s="64"/>
      <c r="I40" s="64"/>
      <c r="J40" s="64"/>
      <c r="K40" s="64"/>
      <c r="L40" s="64"/>
      <c r="M40" s="64"/>
      <c r="N40" s="64"/>
      <c r="O40" s="64"/>
      <c r="P40" s="64"/>
      <c r="Q40" s="64"/>
      <c r="R40" s="64"/>
      <c r="S40" s="64"/>
      <c r="T40" s="64"/>
      <c r="U40" s="64"/>
      <c r="V40" s="64"/>
      <c r="W40" s="64"/>
      <c r="X40" s="64"/>
      <c r="Y40" s="64"/>
      <c r="Z40" s="64"/>
      <c r="AA40" s="64"/>
      <c r="AB40" s="64"/>
      <c r="AC40" s="64"/>
      <c r="AD40" s="64"/>
      <c r="AE40" s="64"/>
      <c r="AF40" s="64"/>
    </row>
    <row r="41" spans="1:32">
      <c r="A41" s="40"/>
      <c r="B41" s="40"/>
      <c r="C41" s="40"/>
      <c r="D41" s="40"/>
      <c r="E41" s="40"/>
      <c r="F41" s="40"/>
      <c r="G41" s="40"/>
      <c r="H41" s="40"/>
      <c r="I41" s="40"/>
      <c r="J41" s="40"/>
      <c r="K41" s="40"/>
      <c r="L41" s="40"/>
      <c r="M41" s="40"/>
      <c r="N41" s="40"/>
      <c r="O41" s="40"/>
      <c r="P41" s="40"/>
      <c r="Q41" s="40"/>
      <c r="R41" s="40"/>
      <c r="S41" s="40"/>
      <c r="T41" s="40"/>
      <c r="U41" s="40"/>
      <c r="V41" s="40"/>
      <c r="W41" s="40"/>
      <c r="X41" s="40"/>
      <c r="Y41" s="40"/>
      <c r="Z41" s="40"/>
      <c r="AA41" s="40"/>
      <c r="AB41" s="40"/>
      <c r="AC41" s="40"/>
      <c r="AD41" s="40"/>
      <c r="AE41" s="40"/>
      <c r="AF41" s="40"/>
    </row>
    <row r="42" spans="1:32">
      <c r="A42" s="40"/>
      <c r="B42" s="40"/>
      <c r="C42" s="40"/>
      <c r="D42" s="40"/>
      <c r="E42" s="40"/>
      <c r="F42" s="40"/>
      <c r="G42" s="40"/>
      <c r="H42" s="40"/>
      <c r="I42" s="40"/>
      <c r="J42" s="40"/>
      <c r="K42" s="40"/>
      <c r="L42" s="40"/>
      <c r="M42" s="40"/>
      <c r="N42" s="40"/>
      <c r="O42" s="40"/>
      <c r="P42" s="40"/>
      <c r="Q42" s="40"/>
      <c r="R42" s="40"/>
      <c r="S42" s="40"/>
      <c r="T42" s="40"/>
      <c r="U42" s="40"/>
      <c r="V42" s="40"/>
      <c r="W42" s="40"/>
      <c r="X42" s="40"/>
      <c r="Y42" s="40"/>
      <c r="Z42" s="40"/>
      <c r="AA42" s="40"/>
      <c r="AB42" s="40"/>
      <c r="AC42" s="40"/>
      <c r="AD42" s="40"/>
      <c r="AE42" s="40"/>
      <c r="AF42" s="40"/>
    </row>
    <row r="43" spans="1:32">
      <c r="A43" s="40"/>
      <c r="B43" s="40"/>
      <c r="C43" s="40"/>
      <c r="D43" s="40"/>
      <c r="E43" s="40"/>
      <c r="F43" s="40"/>
      <c r="G43" s="40"/>
      <c r="H43" s="40"/>
      <c r="I43" s="40"/>
      <c r="J43" s="40"/>
      <c r="K43" s="40"/>
      <c r="L43" s="40"/>
      <c r="M43" s="40"/>
      <c r="N43" s="40"/>
      <c r="O43" s="40"/>
      <c r="P43" s="40"/>
      <c r="Q43" s="40"/>
      <c r="R43" s="40"/>
      <c r="S43" s="40"/>
      <c r="T43" s="40"/>
      <c r="U43" s="40"/>
      <c r="V43" s="40"/>
      <c r="W43" s="40"/>
      <c r="X43" s="40"/>
      <c r="Y43" s="40"/>
      <c r="Z43" s="40"/>
      <c r="AA43" s="40"/>
      <c r="AB43" s="40"/>
      <c r="AC43" s="40"/>
      <c r="AD43" s="40"/>
      <c r="AE43" s="40"/>
      <c r="AF43" s="40"/>
    </row>
    <row r="44" spans="1:32">
      <c r="A44" s="40"/>
      <c r="B44" s="40"/>
      <c r="C44" s="40"/>
      <c r="D44" s="40"/>
      <c r="E44" s="40"/>
      <c r="F44" s="40"/>
      <c r="G44" s="40"/>
      <c r="H44" s="40"/>
      <c r="I44" s="40"/>
      <c r="J44" s="40"/>
      <c r="K44" s="40"/>
      <c r="L44" s="40"/>
      <c r="M44" s="40"/>
      <c r="N44" s="40"/>
      <c r="O44" s="40"/>
      <c r="P44" s="40"/>
      <c r="Q44" s="40"/>
      <c r="R44" s="40"/>
      <c r="S44" s="40"/>
      <c r="T44" s="40"/>
      <c r="U44" s="40"/>
      <c r="V44" s="40"/>
      <c r="W44" s="40"/>
      <c r="X44" s="40"/>
      <c r="Y44" s="40"/>
      <c r="Z44" s="40"/>
      <c r="AA44" s="40"/>
      <c r="AB44" s="40"/>
      <c r="AC44" s="40"/>
      <c r="AD44" s="40"/>
      <c r="AE44" s="40"/>
      <c r="AF44" s="40"/>
    </row>
    <row r="45" spans="1:32">
      <c r="A45" s="40"/>
      <c r="B45" s="40"/>
      <c r="C45" s="40"/>
      <c r="D45" s="40"/>
      <c r="E45" s="40"/>
      <c r="F45" s="40"/>
      <c r="G45" s="40"/>
      <c r="H45" s="40"/>
      <c r="I45" s="40"/>
      <c r="J45" s="40"/>
      <c r="K45" s="40"/>
      <c r="L45" s="40"/>
      <c r="M45" s="40"/>
      <c r="N45" s="40"/>
      <c r="O45" s="40"/>
      <c r="P45" s="40"/>
      <c r="Q45" s="40"/>
      <c r="R45" s="40"/>
      <c r="S45" s="40"/>
      <c r="T45" s="40"/>
      <c r="U45" s="40"/>
      <c r="V45" s="40"/>
      <c r="W45" s="40"/>
      <c r="X45" s="40"/>
      <c r="Y45" s="40"/>
      <c r="Z45" s="40"/>
      <c r="AA45" s="40"/>
      <c r="AB45" s="40"/>
      <c r="AC45" s="40"/>
      <c r="AD45" s="40"/>
      <c r="AE45" s="40"/>
      <c r="AF45" s="40"/>
    </row>
    <row r="46" spans="1:32">
      <c r="A46" s="40"/>
      <c r="B46" s="40"/>
      <c r="C46" s="40"/>
      <c r="D46" s="40"/>
      <c r="E46" s="40"/>
      <c r="F46" s="40"/>
      <c r="G46" s="40"/>
      <c r="H46" s="40"/>
      <c r="I46" s="40"/>
      <c r="J46" s="40"/>
      <c r="K46" s="40"/>
      <c r="L46" s="40"/>
      <c r="M46" s="40"/>
      <c r="N46" s="40"/>
      <c r="O46" s="40"/>
      <c r="P46" s="40"/>
      <c r="Q46" s="40"/>
      <c r="R46" s="40"/>
      <c r="S46" s="40"/>
      <c r="T46" s="40"/>
      <c r="U46" s="40"/>
      <c r="V46" s="40"/>
      <c r="W46" s="40"/>
      <c r="X46" s="40"/>
      <c r="Y46" s="40"/>
      <c r="Z46" s="40"/>
      <c r="AA46" s="40"/>
      <c r="AB46" s="40"/>
      <c r="AC46" s="40"/>
      <c r="AD46" s="40"/>
      <c r="AE46" s="40"/>
      <c r="AF46" s="40"/>
    </row>
    <row r="47" spans="1:32">
      <c r="A47" s="40"/>
      <c r="B47" s="40"/>
      <c r="C47" s="40"/>
      <c r="D47" s="40"/>
      <c r="E47" s="40"/>
      <c r="F47" s="40"/>
      <c r="G47" s="40"/>
      <c r="H47" s="40"/>
      <c r="I47" s="40"/>
      <c r="J47" s="40"/>
      <c r="K47" s="40"/>
      <c r="L47" s="40"/>
      <c r="M47" s="40"/>
      <c r="N47" s="40"/>
      <c r="O47" s="40"/>
      <c r="P47" s="40"/>
      <c r="Q47" s="40"/>
      <c r="R47" s="40"/>
      <c r="S47" s="40"/>
      <c r="T47" s="40"/>
      <c r="U47" s="40"/>
      <c r="V47" s="40"/>
      <c r="W47" s="40"/>
      <c r="X47" s="40"/>
      <c r="Y47" s="40"/>
      <c r="Z47" s="40"/>
      <c r="AA47" s="40"/>
      <c r="AB47" s="40"/>
      <c r="AC47" s="40"/>
      <c r="AD47" s="40"/>
      <c r="AE47" s="40"/>
      <c r="AF47" s="40"/>
    </row>
    <row r="48" spans="1:32">
      <c r="A48" s="40"/>
      <c r="B48" s="40"/>
      <c r="C48" s="40"/>
      <c r="D48" s="40"/>
      <c r="E48" s="40"/>
      <c r="F48" s="40"/>
      <c r="G48" s="40"/>
      <c r="H48" s="40"/>
      <c r="I48" s="40"/>
      <c r="J48" s="40"/>
      <c r="K48" s="40"/>
      <c r="L48" s="40"/>
      <c r="M48" s="40"/>
      <c r="N48" s="40"/>
      <c r="O48" s="40"/>
      <c r="P48" s="40"/>
      <c r="Q48" s="40"/>
      <c r="R48" s="40"/>
      <c r="S48" s="40"/>
      <c r="T48" s="40"/>
      <c r="U48" s="40"/>
      <c r="V48" s="40"/>
      <c r="W48" s="40"/>
      <c r="X48" s="40"/>
      <c r="Y48" s="40"/>
      <c r="Z48" s="40"/>
      <c r="AA48" s="40"/>
      <c r="AB48" s="40"/>
      <c r="AC48" s="40"/>
      <c r="AD48" s="40"/>
      <c r="AE48" s="40"/>
      <c r="AF48" s="40"/>
    </row>
    <row r="49" spans="1:32">
      <c r="A49" s="40"/>
      <c r="B49" s="40"/>
      <c r="C49" s="40"/>
      <c r="D49" s="40"/>
      <c r="E49" s="40"/>
      <c r="F49" s="40"/>
      <c r="G49" s="40"/>
      <c r="H49" s="40"/>
      <c r="I49" s="40"/>
      <c r="J49" s="40"/>
      <c r="K49" s="40"/>
      <c r="L49" s="40"/>
      <c r="M49" s="40"/>
      <c r="N49" s="40"/>
      <c r="O49" s="40"/>
      <c r="P49" s="40"/>
      <c r="Q49" s="40"/>
      <c r="R49" s="40"/>
      <c r="S49" s="40"/>
      <c r="T49" s="40"/>
      <c r="U49" s="40"/>
      <c r="V49" s="40"/>
      <c r="W49" s="40"/>
      <c r="X49" s="40"/>
      <c r="Y49" s="40"/>
      <c r="Z49" s="40"/>
      <c r="AA49" s="40"/>
      <c r="AB49" s="40"/>
      <c r="AC49" s="40"/>
      <c r="AD49" s="40"/>
      <c r="AE49" s="40"/>
      <c r="AF49" s="40"/>
    </row>
    <row r="50" spans="1:32">
      <c r="A50" s="40"/>
      <c r="B50" s="40"/>
      <c r="C50" s="40"/>
      <c r="D50" s="40"/>
      <c r="E50" s="40"/>
      <c r="F50" s="40"/>
      <c r="G50" s="40"/>
      <c r="H50" s="40"/>
      <c r="I50" s="40"/>
      <c r="J50" s="40"/>
      <c r="K50" s="40"/>
      <c r="L50" s="40"/>
      <c r="M50" s="40"/>
      <c r="N50" s="40"/>
      <c r="O50" s="40"/>
      <c r="P50" s="40"/>
      <c r="Q50" s="40"/>
      <c r="R50" s="40"/>
      <c r="S50" s="40"/>
      <c r="T50" s="40"/>
      <c r="U50" s="40"/>
      <c r="V50" s="40"/>
      <c r="W50" s="40"/>
      <c r="X50" s="40"/>
      <c r="Y50" s="40"/>
      <c r="Z50" s="40"/>
      <c r="AA50" s="40"/>
      <c r="AB50" s="40"/>
      <c r="AC50" s="40"/>
      <c r="AD50" s="40"/>
      <c r="AE50" s="40"/>
      <c r="AF50" s="40"/>
    </row>
    <row r="51" spans="1:32">
      <c r="A51" s="40"/>
      <c r="B51" s="40"/>
      <c r="C51" s="40"/>
      <c r="D51" s="40"/>
      <c r="E51" s="40"/>
      <c r="F51" s="40"/>
      <c r="G51" s="40"/>
      <c r="H51" s="40"/>
      <c r="I51" s="40"/>
      <c r="J51" s="40"/>
      <c r="K51" s="40"/>
      <c r="L51" s="40"/>
      <c r="M51" s="40"/>
      <c r="N51" s="40"/>
      <c r="O51" s="40"/>
      <c r="P51" s="40"/>
      <c r="Q51" s="40"/>
      <c r="R51" s="40"/>
      <c r="S51" s="40"/>
      <c r="T51" s="40"/>
      <c r="U51" s="40"/>
      <c r="V51" s="40"/>
      <c r="W51" s="40"/>
      <c r="X51" s="40"/>
      <c r="Y51" s="40"/>
      <c r="Z51" s="40"/>
      <c r="AA51" s="40"/>
      <c r="AB51" s="40"/>
      <c r="AC51" s="40"/>
      <c r="AD51" s="40"/>
      <c r="AE51" s="40"/>
      <c r="AF51" s="40"/>
    </row>
    <row r="52" spans="1:32">
      <c r="A52" s="40"/>
      <c r="B52" s="40"/>
      <c r="C52" s="40"/>
      <c r="D52" s="40"/>
      <c r="E52" s="40"/>
      <c r="F52" s="40"/>
      <c r="G52" s="40"/>
      <c r="H52" s="40"/>
      <c r="I52" s="40"/>
      <c r="J52" s="40"/>
      <c r="K52" s="40"/>
      <c r="L52" s="40"/>
      <c r="M52" s="40"/>
      <c r="N52" s="40"/>
      <c r="O52" s="40"/>
      <c r="P52" s="40"/>
      <c r="Q52" s="40"/>
      <c r="R52" s="40"/>
      <c r="S52" s="40"/>
      <c r="T52" s="40"/>
      <c r="U52" s="40"/>
      <c r="V52" s="40"/>
      <c r="W52" s="40"/>
      <c r="X52" s="40"/>
      <c r="Y52" s="40"/>
      <c r="Z52" s="40"/>
      <c r="AA52" s="40"/>
      <c r="AB52" s="40"/>
      <c r="AC52" s="40"/>
      <c r="AD52" s="40"/>
      <c r="AE52" s="40"/>
      <c r="AF52" s="40"/>
    </row>
    <row r="53" spans="1:32">
      <c r="A53" s="40"/>
      <c r="B53" s="40"/>
      <c r="C53" s="40"/>
      <c r="D53" s="40"/>
      <c r="E53" s="40"/>
      <c r="F53" s="40"/>
      <c r="G53" s="40"/>
      <c r="H53" s="40"/>
      <c r="I53" s="40"/>
      <c r="J53" s="40"/>
      <c r="K53" s="40"/>
      <c r="L53" s="40"/>
      <c r="M53" s="40"/>
      <c r="N53" s="40"/>
      <c r="O53" s="40"/>
      <c r="P53" s="40"/>
      <c r="Q53" s="40"/>
      <c r="R53" s="40"/>
      <c r="S53" s="40"/>
      <c r="T53" s="40"/>
      <c r="U53" s="40"/>
      <c r="V53" s="40"/>
      <c r="W53" s="40"/>
      <c r="X53" s="40"/>
      <c r="Y53" s="40"/>
      <c r="Z53" s="40"/>
      <c r="AA53" s="40"/>
      <c r="AB53" s="40"/>
      <c r="AC53" s="40"/>
      <c r="AD53" s="40"/>
      <c r="AE53" s="40"/>
      <c r="AF53" s="40"/>
    </row>
    <row r="54" spans="1:32">
      <c r="A54" s="40"/>
      <c r="B54" s="40"/>
      <c r="C54" s="40"/>
      <c r="D54" s="40"/>
      <c r="E54" s="40"/>
      <c r="F54" s="40"/>
      <c r="G54" s="40"/>
      <c r="H54" s="40"/>
      <c r="I54" s="40"/>
      <c r="J54" s="40"/>
      <c r="K54" s="40"/>
      <c r="L54" s="40"/>
      <c r="M54" s="40"/>
      <c r="N54" s="40"/>
      <c r="O54" s="40"/>
      <c r="P54" s="40"/>
      <c r="Q54" s="40"/>
      <c r="R54" s="40"/>
      <c r="S54" s="40"/>
      <c r="T54" s="40"/>
      <c r="U54" s="40"/>
      <c r="V54" s="40"/>
      <c r="W54" s="40"/>
      <c r="X54" s="40"/>
      <c r="Y54" s="40"/>
      <c r="Z54" s="40"/>
      <c r="AA54" s="40"/>
      <c r="AB54" s="40"/>
      <c r="AC54" s="40"/>
      <c r="AD54" s="40"/>
      <c r="AE54" s="40"/>
      <c r="AF54" s="40"/>
    </row>
    <row r="55" spans="1:32">
      <c r="A55" s="40"/>
      <c r="B55" s="40"/>
      <c r="C55" s="40"/>
      <c r="D55" s="40"/>
      <c r="E55" s="40"/>
      <c r="F55" s="40"/>
      <c r="G55" s="40"/>
      <c r="H55" s="40"/>
      <c r="I55" s="40"/>
      <c r="J55" s="40"/>
      <c r="K55" s="40"/>
      <c r="L55" s="40"/>
      <c r="M55" s="40"/>
      <c r="N55" s="40"/>
      <c r="O55" s="40"/>
      <c r="P55" s="40"/>
      <c r="Q55" s="40"/>
      <c r="R55" s="40"/>
      <c r="S55" s="40"/>
      <c r="T55" s="40"/>
      <c r="U55" s="40"/>
      <c r="V55" s="40"/>
      <c r="W55" s="40"/>
      <c r="X55" s="40"/>
      <c r="Y55" s="40"/>
      <c r="Z55" s="40"/>
      <c r="AA55" s="40"/>
      <c r="AB55" s="40"/>
      <c r="AC55" s="40"/>
      <c r="AD55" s="40"/>
      <c r="AE55" s="40"/>
      <c r="AF55" s="40"/>
    </row>
    <row r="56" spans="1:32">
      <c r="A56" s="40"/>
      <c r="B56" s="40"/>
      <c r="C56" s="40"/>
      <c r="D56" s="40"/>
      <c r="E56" s="40"/>
      <c r="F56" s="40"/>
      <c r="G56" s="40"/>
      <c r="H56" s="40"/>
      <c r="I56" s="40"/>
      <c r="J56" s="40"/>
      <c r="K56" s="40"/>
      <c r="L56" s="40"/>
      <c r="M56" s="40"/>
      <c r="N56" s="40"/>
      <c r="O56" s="40"/>
      <c r="P56" s="40"/>
      <c r="Q56" s="40"/>
      <c r="R56" s="40"/>
      <c r="S56" s="40"/>
      <c r="T56" s="40"/>
      <c r="U56" s="40"/>
      <c r="V56" s="40"/>
      <c r="W56" s="40"/>
      <c r="X56" s="40"/>
      <c r="Y56" s="40"/>
      <c r="Z56" s="40"/>
      <c r="AA56" s="40"/>
      <c r="AB56" s="40"/>
      <c r="AC56" s="40"/>
      <c r="AD56" s="40"/>
      <c r="AE56" s="40"/>
      <c r="AF56" s="40"/>
    </row>
    <row r="57" spans="1:32">
      <c r="A57" s="40"/>
      <c r="B57" s="40"/>
      <c r="C57" s="40"/>
      <c r="D57" s="40"/>
      <c r="E57" s="40"/>
      <c r="F57" s="40"/>
      <c r="G57" s="40"/>
      <c r="H57" s="40"/>
      <c r="I57" s="40"/>
      <c r="J57" s="40"/>
      <c r="K57" s="40"/>
      <c r="L57" s="40"/>
      <c r="M57" s="40"/>
      <c r="N57" s="40"/>
      <c r="O57" s="40"/>
      <c r="P57" s="40"/>
      <c r="Q57" s="40"/>
      <c r="R57" s="40"/>
      <c r="S57" s="40"/>
      <c r="T57" s="40"/>
      <c r="U57" s="40"/>
      <c r="V57" s="40"/>
      <c r="W57" s="40"/>
      <c r="X57" s="40"/>
      <c r="Y57" s="40"/>
      <c r="Z57" s="40"/>
      <c r="AA57" s="40"/>
      <c r="AB57" s="40"/>
      <c r="AC57" s="40"/>
      <c r="AD57" s="40"/>
      <c r="AE57" s="40"/>
      <c r="AF57" s="40"/>
    </row>
    <row r="58" spans="1:32">
      <c r="A58" s="40"/>
      <c r="B58" s="40"/>
      <c r="C58" s="40"/>
      <c r="D58" s="40"/>
      <c r="E58" s="40"/>
      <c r="F58" s="40"/>
      <c r="G58" s="40"/>
      <c r="H58" s="40"/>
      <c r="I58" s="40"/>
      <c r="J58" s="40"/>
      <c r="K58" s="40"/>
      <c r="L58" s="40"/>
      <c r="M58" s="40"/>
      <c r="N58" s="40"/>
      <c r="O58" s="40"/>
      <c r="P58" s="40"/>
      <c r="Q58" s="40"/>
      <c r="R58" s="40"/>
      <c r="S58" s="40"/>
      <c r="T58" s="40"/>
      <c r="U58" s="40"/>
      <c r="V58" s="40"/>
      <c r="W58" s="40"/>
      <c r="X58" s="40"/>
      <c r="Y58" s="40"/>
      <c r="Z58" s="40"/>
      <c r="AA58" s="40"/>
      <c r="AB58" s="40"/>
      <c r="AC58" s="40"/>
      <c r="AD58" s="40"/>
      <c r="AE58" s="40"/>
      <c r="AF58" s="40"/>
    </row>
    <row r="59" spans="1:32">
      <c r="A59" s="40"/>
      <c r="B59" s="40"/>
      <c r="C59" s="40"/>
      <c r="D59" s="40"/>
      <c r="E59" s="40"/>
      <c r="F59" s="40"/>
      <c r="G59" s="40"/>
      <c r="H59" s="40"/>
      <c r="I59" s="40"/>
      <c r="J59" s="40"/>
      <c r="K59" s="40"/>
      <c r="L59" s="40"/>
      <c r="M59" s="40"/>
      <c r="N59" s="40"/>
      <c r="O59" s="40"/>
      <c r="P59" s="40"/>
      <c r="Q59" s="40"/>
      <c r="R59" s="40"/>
      <c r="S59" s="40"/>
      <c r="T59" s="40"/>
      <c r="U59" s="40"/>
      <c r="V59" s="40"/>
      <c r="W59" s="40"/>
      <c r="X59" s="40"/>
      <c r="Y59" s="40"/>
      <c r="Z59" s="40"/>
      <c r="AA59" s="40"/>
      <c r="AB59" s="40"/>
      <c r="AC59" s="40"/>
      <c r="AD59" s="40"/>
      <c r="AE59" s="40"/>
      <c r="AF59" s="40"/>
    </row>
    <row r="60" spans="1:32">
      <c r="A60" s="40"/>
      <c r="B60" s="40"/>
      <c r="C60" s="40"/>
      <c r="D60" s="40"/>
      <c r="E60" s="40"/>
      <c r="F60" s="40"/>
      <c r="G60" s="40"/>
      <c r="H60" s="40"/>
      <c r="I60" s="40"/>
      <c r="J60" s="40"/>
      <c r="K60" s="40"/>
      <c r="L60" s="40"/>
      <c r="M60" s="40"/>
      <c r="N60" s="40"/>
      <c r="O60" s="40"/>
      <c r="P60" s="40"/>
      <c r="Q60" s="40"/>
      <c r="R60" s="40"/>
      <c r="S60" s="40"/>
      <c r="T60" s="40"/>
      <c r="U60" s="40"/>
      <c r="V60" s="40"/>
      <c r="W60" s="40"/>
      <c r="X60" s="40"/>
      <c r="Y60" s="40"/>
      <c r="Z60" s="40"/>
      <c r="AA60" s="40"/>
      <c r="AB60" s="40"/>
      <c r="AC60" s="40"/>
      <c r="AD60" s="40"/>
      <c r="AE60" s="40"/>
      <c r="AF60" s="40"/>
    </row>
    <row r="61" spans="1:32">
      <c r="A61" s="40"/>
      <c r="B61" s="40"/>
      <c r="C61" s="40"/>
      <c r="D61" s="40"/>
      <c r="E61" s="40"/>
      <c r="F61" s="40"/>
      <c r="G61" s="40"/>
      <c r="H61" s="40"/>
      <c r="I61" s="40"/>
      <c r="J61" s="40"/>
      <c r="K61" s="40"/>
      <c r="L61" s="40"/>
      <c r="M61" s="40"/>
      <c r="N61" s="40"/>
      <c r="O61" s="40"/>
      <c r="P61" s="40"/>
      <c r="Q61" s="40"/>
      <c r="R61" s="40"/>
      <c r="S61" s="40"/>
      <c r="T61" s="40"/>
      <c r="U61" s="40"/>
      <c r="V61" s="40"/>
      <c r="W61" s="40"/>
      <c r="X61" s="40"/>
      <c r="Y61" s="40"/>
      <c r="Z61" s="40"/>
      <c r="AA61" s="40"/>
      <c r="AB61" s="40"/>
      <c r="AC61" s="40"/>
      <c r="AD61" s="40"/>
      <c r="AE61" s="40"/>
      <c r="AF61" s="40"/>
    </row>
    <row r="62" spans="1:32">
      <c r="A62" s="40"/>
      <c r="B62" s="40"/>
      <c r="C62" s="40"/>
      <c r="D62" s="40"/>
      <c r="E62" s="40"/>
      <c r="F62" s="40"/>
      <c r="G62" s="40"/>
      <c r="H62" s="40"/>
      <c r="I62" s="40"/>
      <c r="J62" s="40"/>
      <c r="K62" s="40"/>
      <c r="L62" s="40"/>
      <c r="M62" s="40"/>
      <c r="N62" s="40"/>
      <c r="O62" s="40"/>
      <c r="P62" s="40"/>
      <c r="Q62" s="40"/>
      <c r="R62" s="40"/>
      <c r="S62" s="40"/>
      <c r="T62" s="40"/>
      <c r="U62" s="40"/>
      <c r="V62" s="40"/>
      <c r="W62" s="40"/>
      <c r="X62" s="40"/>
      <c r="Y62" s="40"/>
      <c r="Z62" s="40"/>
      <c r="AA62" s="40"/>
      <c r="AB62" s="40"/>
      <c r="AC62" s="40"/>
      <c r="AD62" s="40"/>
      <c r="AE62" s="40"/>
      <c r="AF62" s="40"/>
    </row>
    <row r="63" spans="1:32">
      <c r="A63" s="40"/>
      <c r="B63" s="40"/>
      <c r="C63" s="40"/>
      <c r="D63" s="40"/>
      <c r="E63" s="40"/>
      <c r="F63" s="40"/>
      <c r="G63" s="40"/>
      <c r="H63" s="40"/>
      <c r="I63" s="40"/>
      <c r="J63" s="40"/>
      <c r="K63" s="40"/>
      <c r="L63" s="40"/>
      <c r="M63" s="40"/>
      <c r="N63" s="40"/>
      <c r="O63" s="40"/>
      <c r="P63" s="40"/>
      <c r="Q63" s="40"/>
      <c r="R63" s="40"/>
      <c r="S63" s="40"/>
      <c r="T63" s="40"/>
      <c r="U63" s="40"/>
      <c r="V63" s="40"/>
      <c r="W63" s="40"/>
      <c r="X63" s="40"/>
      <c r="Y63" s="40"/>
      <c r="Z63" s="40"/>
      <c r="AA63" s="40"/>
      <c r="AB63" s="40"/>
      <c r="AC63" s="40"/>
      <c r="AD63" s="40"/>
      <c r="AE63" s="40"/>
      <c r="AF63" s="40"/>
    </row>
    <row r="64" spans="1:32">
      <c r="A64" s="40"/>
      <c r="B64" s="40"/>
      <c r="C64" s="40"/>
      <c r="D64" s="40"/>
      <c r="E64" s="40"/>
      <c r="F64" s="40"/>
      <c r="G64" s="40"/>
      <c r="H64" s="40"/>
      <c r="I64" s="40"/>
      <c r="J64" s="40"/>
      <c r="K64" s="40"/>
      <c r="L64" s="40"/>
      <c r="M64" s="40"/>
      <c r="N64" s="40"/>
      <c r="O64" s="40"/>
      <c r="P64" s="40"/>
      <c r="Q64" s="40"/>
      <c r="R64" s="40"/>
      <c r="S64" s="40"/>
      <c r="T64" s="40"/>
      <c r="U64" s="40"/>
      <c r="V64" s="40"/>
      <c r="W64" s="40"/>
      <c r="X64" s="40"/>
      <c r="Y64" s="40"/>
      <c r="Z64" s="40"/>
      <c r="AA64" s="40"/>
      <c r="AB64" s="40"/>
      <c r="AC64" s="40"/>
      <c r="AD64" s="40"/>
      <c r="AE64" s="40"/>
      <c r="AF64" s="40"/>
    </row>
    <row r="65" spans="1:32">
      <c r="A65" s="40"/>
      <c r="B65" s="40"/>
      <c r="C65" s="40"/>
      <c r="D65" s="40"/>
      <c r="E65" s="40"/>
      <c r="F65" s="40"/>
      <c r="G65" s="40"/>
      <c r="H65" s="40"/>
      <c r="I65" s="40"/>
      <c r="J65" s="40"/>
      <c r="K65" s="40"/>
      <c r="L65" s="40"/>
      <c r="M65" s="40"/>
      <c r="N65" s="40"/>
      <c r="O65" s="40"/>
      <c r="P65" s="40"/>
      <c r="Q65" s="40"/>
      <c r="R65" s="40"/>
      <c r="S65" s="40"/>
      <c r="T65" s="40"/>
      <c r="U65" s="40"/>
      <c r="V65" s="40"/>
      <c r="W65" s="40"/>
      <c r="X65" s="40"/>
      <c r="Y65" s="40"/>
      <c r="Z65" s="40"/>
      <c r="AA65" s="40"/>
      <c r="AB65" s="40"/>
      <c r="AC65" s="40"/>
      <c r="AD65" s="40"/>
      <c r="AE65" s="40"/>
      <c r="AF65" s="40"/>
    </row>
    <row r="66" spans="1:32">
      <c r="A66" s="40"/>
      <c r="B66" s="40"/>
      <c r="C66" s="40"/>
      <c r="D66" s="40"/>
      <c r="E66" s="40"/>
      <c r="F66" s="40"/>
      <c r="G66" s="40"/>
      <c r="H66" s="40"/>
      <c r="I66" s="40"/>
      <c r="J66" s="40"/>
      <c r="K66" s="40"/>
      <c r="L66" s="40"/>
      <c r="M66" s="40"/>
      <c r="N66" s="40"/>
      <c r="O66" s="40"/>
      <c r="P66" s="40"/>
      <c r="Q66" s="40"/>
      <c r="R66" s="40"/>
      <c r="S66" s="40"/>
      <c r="T66" s="40"/>
      <c r="U66" s="40"/>
      <c r="V66" s="40"/>
      <c r="W66" s="40"/>
      <c r="X66" s="40"/>
      <c r="Y66" s="40"/>
      <c r="Z66" s="40"/>
      <c r="AA66" s="40"/>
      <c r="AB66" s="40"/>
      <c r="AC66" s="40"/>
      <c r="AD66" s="40"/>
      <c r="AE66" s="40"/>
      <c r="AF66" s="40"/>
    </row>
    <row r="67" spans="1:32">
      <c r="A67" s="40"/>
      <c r="B67" s="40"/>
      <c r="C67" s="40"/>
      <c r="D67" s="40"/>
      <c r="E67" s="40"/>
      <c r="F67" s="40"/>
      <c r="G67" s="40"/>
      <c r="H67" s="40"/>
      <c r="I67" s="40"/>
      <c r="J67" s="40"/>
      <c r="K67" s="40"/>
      <c r="L67" s="40"/>
      <c r="M67" s="40"/>
      <c r="N67" s="40"/>
      <c r="O67" s="40"/>
      <c r="P67" s="40"/>
      <c r="Q67" s="40"/>
      <c r="R67" s="40"/>
      <c r="S67" s="40"/>
      <c r="T67" s="40"/>
      <c r="U67" s="40"/>
      <c r="V67" s="40"/>
      <c r="W67" s="40"/>
      <c r="X67" s="40"/>
      <c r="Y67" s="40"/>
      <c r="Z67" s="40"/>
      <c r="AA67" s="40"/>
      <c r="AB67" s="40"/>
      <c r="AC67" s="40"/>
      <c r="AD67" s="40"/>
      <c r="AE67" s="40"/>
      <c r="AF67" s="40"/>
    </row>
    <row r="68" spans="1:32">
      <c r="A68" s="40"/>
      <c r="B68" s="40"/>
      <c r="C68" s="40"/>
      <c r="D68" s="40"/>
      <c r="E68" s="40"/>
      <c r="F68" s="40"/>
      <c r="G68" s="40"/>
      <c r="H68" s="40"/>
      <c r="I68" s="40"/>
      <c r="J68" s="40"/>
      <c r="K68" s="40"/>
      <c r="L68" s="40"/>
      <c r="M68" s="40"/>
      <c r="N68" s="40"/>
      <c r="O68" s="40"/>
      <c r="P68" s="40"/>
      <c r="Q68" s="40"/>
      <c r="R68" s="40"/>
      <c r="S68" s="40"/>
      <c r="T68" s="40"/>
      <c r="U68" s="40"/>
      <c r="V68" s="40"/>
      <c r="W68" s="40"/>
      <c r="X68" s="40"/>
      <c r="Y68" s="40"/>
      <c r="Z68" s="40"/>
      <c r="AA68" s="40"/>
      <c r="AB68" s="40"/>
      <c r="AC68" s="40"/>
      <c r="AD68" s="40"/>
      <c r="AE68" s="40"/>
      <c r="AF68" s="40"/>
    </row>
    <row r="69" spans="1:32">
      <c r="A69" s="40"/>
      <c r="B69" s="40"/>
      <c r="C69" s="40"/>
      <c r="D69" s="40"/>
      <c r="E69" s="40"/>
      <c r="F69" s="40"/>
      <c r="G69" s="40"/>
      <c r="H69" s="40"/>
      <c r="I69" s="40"/>
      <c r="J69" s="40"/>
      <c r="K69" s="40"/>
      <c r="L69" s="40"/>
      <c r="M69" s="40"/>
      <c r="N69" s="40"/>
      <c r="O69" s="40"/>
      <c r="P69" s="40"/>
      <c r="Q69" s="40"/>
      <c r="R69" s="40"/>
      <c r="S69" s="40"/>
      <c r="T69" s="40"/>
      <c r="U69" s="40"/>
      <c r="V69" s="40"/>
      <c r="W69" s="40"/>
      <c r="X69" s="40"/>
      <c r="Y69" s="40"/>
      <c r="Z69" s="40"/>
      <c r="AA69" s="40"/>
      <c r="AB69" s="40"/>
      <c r="AC69" s="40"/>
      <c r="AD69" s="40"/>
      <c r="AE69" s="40"/>
      <c r="AF69" s="40"/>
    </row>
    <row r="70" spans="1:32">
      <c r="A70" s="40"/>
      <c r="B70" s="40"/>
      <c r="C70" s="40"/>
      <c r="D70" s="40"/>
      <c r="E70" s="40"/>
      <c r="F70" s="40"/>
      <c r="G70" s="40"/>
      <c r="H70" s="40"/>
      <c r="I70" s="40"/>
      <c r="J70" s="40"/>
      <c r="K70" s="40"/>
      <c r="L70" s="40"/>
      <c r="M70" s="40"/>
      <c r="N70" s="40"/>
      <c r="O70" s="40"/>
      <c r="P70" s="40"/>
      <c r="Q70" s="40"/>
      <c r="R70" s="40"/>
      <c r="S70" s="40"/>
      <c r="T70" s="40"/>
      <c r="U70" s="40"/>
      <c r="V70" s="40"/>
      <c r="W70" s="40"/>
      <c r="X70" s="40"/>
      <c r="Y70" s="40"/>
      <c r="Z70" s="40"/>
      <c r="AA70" s="40"/>
      <c r="AB70" s="40"/>
      <c r="AC70" s="40"/>
      <c r="AD70" s="40"/>
      <c r="AE70" s="40"/>
      <c r="AF70" s="40"/>
    </row>
    <row r="71" spans="1:32">
      <c r="A71" s="40"/>
      <c r="B71" s="40"/>
      <c r="C71" s="40"/>
      <c r="D71" s="40"/>
      <c r="E71" s="40"/>
      <c r="F71" s="40"/>
      <c r="G71" s="40"/>
      <c r="H71" s="40"/>
      <c r="I71" s="40"/>
      <c r="J71" s="40"/>
      <c r="K71" s="40"/>
      <c r="L71" s="40"/>
      <c r="M71" s="40"/>
      <c r="N71" s="40"/>
      <c r="O71" s="40"/>
      <c r="P71" s="40"/>
      <c r="Q71" s="40"/>
      <c r="R71" s="40"/>
      <c r="S71" s="40"/>
      <c r="T71" s="40"/>
      <c r="U71" s="40"/>
      <c r="V71" s="40"/>
      <c r="W71" s="40"/>
      <c r="X71" s="40"/>
      <c r="Y71" s="40"/>
      <c r="Z71" s="40"/>
      <c r="AA71" s="40"/>
      <c r="AB71" s="40"/>
      <c r="AC71" s="40"/>
      <c r="AD71" s="40"/>
      <c r="AE71" s="40"/>
      <c r="AF71" s="40"/>
    </row>
    <row r="72" spans="1:32">
      <c r="A72" s="40"/>
      <c r="B72" s="40"/>
      <c r="C72" s="40"/>
      <c r="D72" s="40"/>
      <c r="E72" s="40"/>
      <c r="F72" s="40"/>
      <c r="G72" s="40"/>
      <c r="H72" s="40"/>
      <c r="I72" s="40"/>
      <c r="J72" s="40"/>
      <c r="K72" s="40"/>
      <c r="L72" s="40"/>
      <c r="M72" s="40"/>
      <c r="N72" s="40"/>
      <c r="O72" s="40"/>
      <c r="P72" s="40"/>
      <c r="Q72" s="40"/>
      <c r="R72" s="40"/>
      <c r="S72" s="40"/>
      <c r="T72" s="40"/>
      <c r="U72" s="40"/>
      <c r="V72" s="40"/>
      <c r="W72" s="40"/>
      <c r="X72" s="40"/>
      <c r="Y72" s="40"/>
      <c r="Z72" s="40"/>
      <c r="AA72" s="40"/>
      <c r="AB72" s="40"/>
      <c r="AC72" s="40"/>
      <c r="AD72" s="40"/>
      <c r="AE72" s="40"/>
      <c r="AF72" s="40"/>
    </row>
    <row r="73" spans="1:32">
      <c r="A73" s="40"/>
      <c r="B73" s="40"/>
      <c r="C73" s="40"/>
      <c r="D73" s="40"/>
      <c r="E73" s="40"/>
      <c r="F73" s="40"/>
      <c r="G73" s="40"/>
      <c r="H73" s="40"/>
      <c r="I73" s="40"/>
      <c r="J73" s="40"/>
      <c r="K73" s="40"/>
      <c r="L73" s="40"/>
      <c r="M73" s="40"/>
      <c r="N73" s="40"/>
      <c r="O73" s="40"/>
      <c r="P73" s="40"/>
      <c r="Q73" s="40"/>
      <c r="R73" s="40"/>
      <c r="S73" s="40"/>
      <c r="T73" s="40"/>
      <c r="U73" s="40"/>
      <c r="V73" s="40"/>
      <c r="W73" s="40"/>
      <c r="X73" s="40"/>
      <c r="Y73" s="40"/>
      <c r="Z73" s="40"/>
      <c r="AA73" s="40"/>
      <c r="AB73" s="40"/>
      <c r="AC73" s="40"/>
      <c r="AD73" s="40"/>
      <c r="AE73" s="40"/>
      <c r="AF73" s="40"/>
    </row>
    <row r="74" spans="1:32">
      <c r="A74" s="40"/>
      <c r="B74" s="40"/>
      <c r="C74" s="40"/>
      <c r="D74" s="40"/>
      <c r="E74" s="40"/>
      <c r="F74" s="40"/>
      <c r="G74" s="40"/>
      <c r="H74" s="40"/>
      <c r="I74" s="40"/>
      <c r="J74" s="40"/>
      <c r="K74" s="40"/>
      <c r="L74" s="40"/>
      <c r="M74" s="40"/>
      <c r="N74" s="40"/>
      <c r="O74" s="40"/>
      <c r="P74" s="40"/>
      <c r="Q74" s="40"/>
      <c r="R74" s="40"/>
      <c r="S74" s="40"/>
      <c r="T74" s="40"/>
      <c r="U74" s="40"/>
      <c r="V74" s="40"/>
      <c r="W74" s="40"/>
      <c r="X74" s="40"/>
      <c r="Y74" s="40"/>
      <c r="Z74" s="40"/>
      <c r="AA74" s="40"/>
      <c r="AB74" s="40"/>
      <c r="AC74" s="40"/>
      <c r="AD74" s="40"/>
      <c r="AE74" s="40"/>
      <c r="AF74" s="40"/>
    </row>
    <row r="75" spans="1:32">
      <c r="A75" s="40"/>
      <c r="B75" s="40"/>
      <c r="C75" s="40"/>
      <c r="D75" s="40"/>
      <c r="E75" s="40"/>
      <c r="F75" s="40"/>
      <c r="G75" s="40"/>
      <c r="H75" s="40"/>
      <c r="I75" s="40"/>
      <c r="J75" s="40"/>
      <c r="K75" s="40"/>
      <c r="L75" s="40"/>
      <c r="M75" s="40"/>
      <c r="N75" s="40"/>
      <c r="O75" s="40"/>
      <c r="P75" s="40"/>
      <c r="Q75" s="40"/>
      <c r="R75" s="40"/>
      <c r="S75" s="40"/>
      <c r="T75" s="40"/>
      <c r="U75" s="40"/>
      <c r="V75" s="40"/>
      <c r="W75" s="40"/>
      <c r="X75" s="40"/>
      <c r="Y75" s="40"/>
      <c r="Z75" s="40"/>
      <c r="AA75" s="40"/>
      <c r="AB75" s="40"/>
      <c r="AC75" s="40"/>
      <c r="AD75" s="40"/>
      <c r="AE75" s="40"/>
      <c r="AF75" s="40"/>
    </row>
    <row r="76" spans="1:32">
      <c r="A76" s="40"/>
      <c r="B76" s="40"/>
      <c r="C76" s="40"/>
      <c r="D76" s="40"/>
      <c r="E76" s="40"/>
      <c r="F76" s="40"/>
      <c r="G76" s="40"/>
      <c r="H76" s="40"/>
      <c r="I76" s="40"/>
      <c r="J76" s="40"/>
      <c r="K76" s="40"/>
      <c r="L76" s="40"/>
      <c r="M76" s="40"/>
      <c r="N76" s="40"/>
      <c r="O76" s="40"/>
      <c r="P76" s="40"/>
      <c r="Q76" s="40"/>
      <c r="R76" s="40"/>
      <c r="S76" s="40"/>
      <c r="T76" s="40"/>
      <c r="U76" s="40"/>
      <c r="V76" s="40"/>
      <c r="W76" s="40"/>
      <c r="X76" s="40"/>
      <c r="Y76" s="40"/>
      <c r="Z76" s="40"/>
      <c r="AA76" s="40"/>
      <c r="AB76" s="40"/>
      <c r="AC76" s="40"/>
      <c r="AD76" s="40"/>
      <c r="AE76" s="40"/>
      <c r="AF76" s="40"/>
    </row>
    <row r="77" spans="1:32">
      <c r="A77" s="40"/>
      <c r="B77" s="40"/>
      <c r="C77" s="40"/>
      <c r="D77" s="40"/>
      <c r="E77" s="40"/>
      <c r="F77" s="40"/>
      <c r="G77" s="40"/>
      <c r="H77" s="40"/>
      <c r="I77" s="40"/>
      <c r="J77" s="40"/>
      <c r="K77" s="40"/>
      <c r="L77" s="40"/>
      <c r="M77" s="40"/>
      <c r="N77" s="40"/>
      <c r="O77" s="40"/>
      <c r="P77" s="40"/>
      <c r="Q77" s="40"/>
      <c r="R77" s="40"/>
      <c r="S77" s="40"/>
      <c r="T77" s="40"/>
      <c r="U77" s="40"/>
      <c r="V77" s="40"/>
      <c r="W77" s="40"/>
      <c r="X77" s="40"/>
      <c r="Y77" s="40"/>
      <c r="Z77" s="40"/>
      <c r="AA77" s="40"/>
      <c r="AB77" s="40"/>
      <c r="AC77" s="40"/>
      <c r="AD77" s="40"/>
      <c r="AE77" s="40"/>
      <c r="AF77" s="40"/>
    </row>
    <row r="78" spans="1:32">
      <c r="A78" s="40"/>
      <c r="B78" s="40"/>
      <c r="C78" s="40"/>
      <c r="D78" s="40"/>
      <c r="E78" s="40"/>
      <c r="F78" s="40"/>
      <c r="G78" s="40"/>
      <c r="H78" s="40"/>
      <c r="I78" s="40"/>
      <c r="J78" s="40"/>
      <c r="K78" s="40"/>
      <c r="L78" s="40"/>
      <c r="M78" s="40"/>
      <c r="N78" s="40"/>
      <c r="O78" s="40"/>
      <c r="P78" s="40"/>
      <c r="Q78" s="40"/>
      <c r="R78" s="40"/>
      <c r="S78" s="40"/>
      <c r="T78" s="40"/>
      <c r="U78" s="40"/>
      <c r="V78" s="40"/>
      <c r="W78" s="40"/>
      <c r="X78" s="40"/>
      <c r="Y78" s="40"/>
      <c r="Z78" s="40"/>
      <c r="AA78" s="40"/>
      <c r="AB78" s="40"/>
      <c r="AC78" s="40"/>
      <c r="AD78" s="40"/>
      <c r="AE78" s="40"/>
      <c r="AF78" s="40"/>
    </row>
    <row r="79" spans="1:32">
      <c r="A79" s="40"/>
      <c r="B79" s="40"/>
      <c r="C79" s="40"/>
      <c r="D79" s="40"/>
      <c r="E79" s="40"/>
      <c r="F79" s="40"/>
      <c r="G79" s="40"/>
      <c r="H79" s="40"/>
      <c r="I79" s="40"/>
      <c r="J79" s="40"/>
      <c r="K79" s="40"/>
      <c r="L79" s="40"/>
      <c r="M79" s="40"/>
      <c r="N79" s="40"/>
      <c r="O79" s="40"/>
      <c r="P79" s="40"/>
      <c r="Q79" s="40"/>
      <c r="R79" s="40"/>
      <c r="S79" s="40"/>
      <c r="T79" s="40"/>
      <c r="U79" s="40"/>
      <c r="V79" s="40"/>
      <c r="W79" s="40"/>
      <c r="X79" s="40"/>
      <c r="Y79" s="40"/>
      <c r="Z79" s="40"/>
      <c r="AA79" s="40"/>
      <c r="AB79" s="40"/>
      <c r="AC79" s="40"/>
      <c r="AD79" s="40"/>
      <c r="AE79" s="40"/>
      <c r="AF79" s="40"/>
    </row>
    <row r="80" spans="1:32">
      <c r="A80" s="40"/>
      <c r="B80" s="40"/>
      <c r="C80" s="40"/>
      <c r="D80" s="40"/>
      <c r="E80" s="40"/>
      <c r="F80" s="40"/>
      <c r="G80" s="40"/>
      <c r="H80" s="40"/>
      <c r="I80" s="40"/>
      <c r="J80" s="40"/>
      <c r="K80" s="40"/>
      <c r="L80" s="40"/>
      <c r="M80" s="40"/>
      <c r="N80" s="40"/>
      <c r="O80" s="40"/>
      <c r="P80" s="40"/>
      <c r="Q80" s="40"/>
      <c r="R80" s="40"/>
      <c r="S80" s="40"/>
      <c r="T80" s="40"/>
      <c r="U80" s="40"/>
      <c r="V80" s="40"/>
      <c r="W80" s="40"/>
      <c r="X80" s="40"/>
      <c r="Y80" s="40"/>
      <c r="Z80" s="40"/>
      <c r="AA80" s="40"/>
      <c r="AB80" s="40"/>
      <c r="AC80" s="40"/>
      <c r="AD80" s="40"/>
      <c r="AE80" s="40"/>
      <c r="AF80" s="40"/>
    </row>
  </sheetData>
  <mergeCells count="5">
    <mergeCell ref="A1:AF1"/>
    <mergeCell ref="A2:AF2"/>
    <mergeCell ref="A3:AF3"/>
    <mergeCell ref="A10:AF10"/>
    <mergeCell ref="A23:AF23"/>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F80"/>
  <sheetViews>
    <sheetView showGridLines="0" workbookViewId="0"/>
  </sheetViews>
  <sheetFormatPr defaultRowHeight="14"/>
  <cols>
    <col min="1" max="1" width="10" customWidth="1"/>
    <col min="2" max="2" width="34" customWidth="1"/>
    <col min="3" max="32" width="12" customWidth="1"/>
  </cols>
  <sheetData>
    <row r="1" spans="1:32" ht="15" customHeight="1">
      <c r="A1" s="135" t="s">
        <v>594</v>
      </c>
      <c r="B1" s="135"/>
      <c r="C1" s="136"/>
      <c r="D1" s="136"/>
      <c r="E1" s="136"/>
      <c r="F1" s="136"/>
      <c r="G1" s="136"/>
      <c r="H1" s="136"/>
      <c r="I1" s="136"/>
      <c r="J1" s="136"/>
      <c r="K1" s="136"/>
      <c r="L1" s="136"/>
      <c r="M1" s="136"/>
      <c r="N1" s="136"/>
      <c r="O1" s="136"/>
      <c r="P1" s="136"/>
      <c r="Q1" s="136"/>
      <c r="R1" s="136"/>
      <c r="S1" s="136"/>
      <c r="T1" s="136"/>
      <c r="U1" s="136"/>
      <c r="V1" s="136"/>
      <c r="W1" s="136"/>
      <c r="X1" s="136"/>
      <c r="Y1" s="136"/>
      <c r="Z1" s="136"/>
      <c r="AA1" s="136"/>
      <c r="AB1" s="136"/>
      <c r="AC1" s="136"/>
      <c r="AD1" s="136"/>
      <c r="AE1" s="136"/>
      <c r="AF1" s="136"/>
    </row>
    <row r="2" spans="1:32" ht="15" customHeight="1">
      <c r="A2" s="137" t="s">
        <v>595</v>
      </c>
      <c r="B2" s="137"/>
      <c r="C2" s="137"/>
      <c r="D2" s="137"/>
      <c r="E2" s="137"/>
      <c r="F2" s="137"/>
      <c r="G2" s="137"/>
      <c r="H2" s="137"/>
      <c r="I2" s="137"/>
      <c r="J2" s="137"/>
      <c r="K2" s="137"/>
      <c r="L2" s="137"/>
      <c r="M2" s="137"/>
      <c r="N2" s="137"/>
      <c r="O2" s="137"/>
      <c r="P2" s="137"/>
      <c r="Q2" s="137"/>
      <c r="R2" s="137"/>
      <c r="S2" s="137"/>
      <c r="T2" s="137"/>
      <c r="U2" s="137"/>
      <c r="V2" s="137"/>
      <c r="W2" s="137"/>
      <c r="X2" s="137"/>
      <c r="Y2" s="137"/>
      <c r="Z2" s="137"/>
      <c r="AA2" s="137"/>
      <c r="AB2" s="137"/>
      <c r="AC2" s="137"/>
      <c r="AD2" s="137"/>
      <c r="AE2" s="137"/>
      <c r="AF2" s="137"/>
    </row>
    <row r="3" spans="1:32" ht="15" customHeight="1">
      <c r="A3" s="138" t="s">
        <v>467</v>
      </c>
      <c r="B3" s="138"/>
      <c r="C3" s="139"/>
      <c r="D3" s="139"/>
      <c r="E3" s="139"/>
      <c r="F3" s="139"/>
      <c r="G3" s="139"/>
      <c r="H3" s="139"/>
      <c r="I3" s="139"/>
      <c r="J3" s="139"/>
      <c r="K3" s="139"/>
      <c r="L3" s="139"/>
      <c r="M3" s="139"/>
      <c r="N3" s="139"/>
      <c r="O3" s="139"/>
      <c r="P3" s="139"/>
      <c r="Q3" s="139"/>
      <c r="R3" s="139"/>
      <c r="S3" s="139"/>
      <c r="T3" s="139"/>
      <c r="U3" s="139"/>
      <c r="V3" s="139"/>
      <c r="W3" s="139"/>
      <c r="X3" s="139"/>
      <c r="Y3" s="139"/>
      <c r="Z3" s="139"/>
      <c r="AA3" s="139"/>
      <c r="AB3" s="139"/>
      <c r="AC3" s="139"/>
      <c r="AD3" s="139"/>
      <c r="AE3" s="139"/>
      <c r="AF3" s="139"/>
    </row>
    <row r="4" spans="1:32" ht="15" customHeight="1">
      <c r="A4" s="69"/>
      <c r="B4" s="69"/>
      <c r="C4" s="64"/>
      <c r="D4" s="64"/>
      <c r="E4" s="64"/>
      <c r="F4" s="64"/>
      <c r="G4" s="64"/>
      <c r="H4" s="64"/>
      <c r="I4" s="64"/>
      <c r="J4" s="64"/>
      <c r="K4" s="64"/>
      <c r="L4" s="64"/>
      <c r="M4" s="64"/>
      <c r="N4" s="64"/>
      <c r="O4" s="64"/>
      <c r="P4" s="64"/>
      <c r="Q4" s="64"/>
      <c r="R4" s="64"/>
      <c r="S4" s="64"/>
      <c r="T4" s="64"/>
      <c r="U4" s="64"/>
      <c r="V4" s="64"/>
      <c r="W4" s="64"/>
      <c r="X4" s="64"/>
      <c r="Y4" s="64"/>
      <c r="Z4" s="64"/>
      <c r="AA4" s="64"/>
      <c r="AB4" s="64"/>
      <c r="AC4" s="64"/>
      <c r="AD4" s="64"/>
      <c r="AE4" s="64"/>
      <c r="AF4" s="64"/>
    </row>
    <row r="5" spans="1:32" ht="15" customHeight="1">
      <c r="A5" s="69"/>
      <c r="B5" s="69"/>
      <c r="C5" s="64"/>
      <c r="D5" s="64"/>
      <c r="E5" s="64"/>
      <c r="F5" s="64"/>
      <c r="G5" s="64"/>
      <c r="H5" s="64"/>
      <c r="I5" s="64"/>
      <c r="J5" s="64"/>
      <c r="K5" s="64"/>
      <c r="L5" s="64"/>
      <c r="M5" s="64"/>
      <c r="N5" s="64"/>
      <c r="O5" s="64"/>
      <c r="P5" s="64"/>
      <c r="Q5" s="64"/>
      <c r="R5" s="64"/>
      <c r="S5" s="64"/>
      <c r="T5" s="64"/>
      <c r="U5" s="64"/>
      <c r="V5" s="64"/>
      <c r="W5" s="64"/>
      <c r="X5" s="64"/>
      <c r="Y5" s="64"/>
      <c r="Z5" s="64"/>
      <c r="AA5" s="64"/>
      <c r="AB5" s="64"/>
      <c r="AC5" s="64"/>
      <c r="AD5" s="64"/>
      <c r="AE5" s="64"/>
      <c r="AF5" s="64"/>
    </row>
    <row r="6" spans="1:32" ht="15" customHeight="1">
      <c r="A6" s="70"/>
      <c r="B6" s="70" t="s">
        <v>161</v>
      </c>
      <c r="C6" s="41">
        <f>CAPEX!C6</f>
        <v>2026</v>
      </c>
      <c r="D6" s="41">
        <f>CAPEX!D6</f>
        <v>2027</v>
      </c>
      <c r="E6" s="41">
        <f>CAPEX!E6</f>
        <v>2028</v>
      </c>
      <c r="F6" s="41">
        <f>CAPEX!F6</f>
        <v>2029</v>
      </c>
      <c r="G6" s="41">
        <f>CAPEX!G6</f>
        <v>2030</v>
      </c>
      <c r="H6" s="41">
        <f>CAPEX!H6</f>
        <v>2031</v>
      </c>
      <c r="I6" s="41">
        <f>CAPEX!I6</f>
        <v>2032</v>
      </c>
      <c r="J6" s="41">
        <f>CAPEX!J6</f>
        <v>2033</v>
      </c>
      <c r="K6" s="41">
        <f>CAPEX!K6</f>
        <v>2034</v>
      </c>
      <c r="L6" s="41">
        <f>CAPEX!L6</f>
        <v>2035</v>
      </c>
      <c r="M6" s="41">
        <f>CAPEX!M6</f>
        <v>2036</v>
      </c>
      <c r="N6" s="41">
        <f>CAPEX!N6</f>
        <v>2037</v>
      </c>
      <c r="O6" s="41">
        <f>CAPEX!O6</f>
        <v>2038</v>
      </c>
      <c r="P6" s="41">
        <f>CAPEX!P6</f>
        <v>2039</v>
      </c>
      <c r="Q6" s="41">
        <f>CAPEX!Q6</f>
        <v>2040</v>
      </c>
      <c r="R6" s="41">
        <f>CAPEX!R6</f>
        <v>2041</v>
      </c>
      <c r="S6" s="41">
        <f>CAPEX!S6</f>
        <v>2042</v>
      </c>
      <c r="T6" s="41">
        <f>CAPEX!T6</f>
        <v>2043</v>
      </c>
      <c r="U6" s="41">
        <f>CAPEX!U6</f>
        <v>2044</v>
      </c>
      <c r="V6" s="41">
        <f>CAPEX!V6</f>
        <v>2045</v>
      </c>
      <c r="W6" s="41">
        <f>CAPEX!W6</f>
        <v>2046</v>
      </c>
      <c r="X6" s="41">
        <f>CAPEX!X6</f>
        <v>2047</v>
      </c>
      <c r="Y6" s="41">
        <f>CAPEX!Y6</f>
        <v>2048</v>
      </c>
      <c r="Z6" s="41">
        <f>CAPEX!Z6</f>
        <v>2049</v>
      </c>
      <c r="AA6" s="41">
        <f>CAPEX!AA6</f>
        <v>2050</v>
      </c>
      <c r="AB6" s="41">
        <f>CAPEX!AB6</f>
        <v>2051</v>
      </c>
      <c r="AC6" s="41">
        <f>CAPEX!AC6</f>
        <v>2052</v>
      </c>
      <c r="AD6" s="41">
        <f>CAPEX!AD6</f>
        <v>2053</v>
      </c>
      <c r="AE6" s="41">
        <f>CAPEX!AE6</f>
        <v>2054</v>
      </c>
      <c r="AF6" s="41">
        <f>CAPEX!AF6</f>
        <v>2055</v>
      </c>
    </row>
    <row r="7" spans="1:32" ht="15" customHeight="1">
      <c r="A7" s="69"/>
      <c r="B7" s="69" t="s">
        <v>468</v>
      </c>
      <c r="C7" s="65">
        <f>CAPEX!C7</f>
        <v>0</v>
      </c>
      <c r="D7" s="65">
        <f>CAPEX!D7</f>
        <v>1</v>
      </c>
      <c r="E7" s="65">
        <f>CAPEX!E7</f>
        <v>2</v>
      </c>
      <c r="F7" s="65">
        <f>CAPEX!F7</f>
        <v>3</v>
      </c>
      <c r="G7" s="65">
        <f>CAPEX!G7</f>
        <v>4</v>
      </c>
      <c r="H7" s="65">
        <f>CAPEX!H7</f>
        <v>5</v>
      </c>
      <c r="I7" s="65">
        <f>CAPEX!I7</f>
        <v>6</v>
      </c>
      <c r="J7" s="65">
        <f>CAPEX!J7</f>
        <v>7</v>
      </c>
      <c r="K7" s="65">
        <f>CAPEX!K7</f>
        <v>8</v>
      </c>
      <c r="L7" s="65">
        <f>CAPEX!L7</f>
        <v>9</v>
      </c>
      <c r="M7" s="65">
        <f>CAPEX!M7</f>
        <v>10</v>
      </c>
      <c r="N7" s="65">
        <f>CAPEX!N7</f>
        <v>11</v>
      </c>
      <c r="O7" s="65">
        <f>CAPEX!O7</f>
        <v>12</v>
      </c>
      <c r="P7" s="65">
        <f>CAPEX!P7</f>
        <v>13</v>
      </c>
      <c r="Q7" s="65">
        <f>CAPEX!Q7</f>
        <v>14</v>
      </c>
      <c r="R7" s="65">
        <f>CAPEX!R7</f>
        <v>15</v>
      </c>
      <c r="S7" s="65">
        <f>CAPEX!S7</f>
        <v>16</v>
      </c>
      <c r="T7" s="65">
        <f>CAPEX!T7</f>
        <v>17</v>
      </c>
      <c r="U7" s="65">
        <f>CAPEX!U7</f>
        <v>18</v>
      </c>
      <c r="V7" s="65">
        <f>CAPEX!V7</f>
        <v>19</v>
      </c>
      <c r="W7" s="65">
        <f>CAPEX!W7</f>
        <v>20</v>
      </c>
      <c r="X7" s="65">
        <f>CAPEX!X7</f>
        <v>21</v>
      </c>
      <c r="Y7" s="65">
        <f>CAPEX!Y7</f>
        <v>22</v>
      </c>
      <c r="Z7" s="65">
        <f>CAPEX!Z7</f>
        <v>23</v>
      </c>
      <c r="AA7" s="65">
        <f>CAPEX!AA7</f>
        <v>24</v>
      </c>
      <c r="AB7" s="65">
        <f>CAPEX!AB7</f>
        <v>25</v>
      </c>
      <c r="AC7" s="65">
        <f>CAPEX!AC7</f>
        <v>26</v>
      </c>
      <c r="AD7" s="65">
        <f>CAPEX!AD7</f>
        <v>27</v>
      </c>
      <c r="AE7" s="65">
        <f>CAPEX!AE7</f>
        <v>28</v>
      </c>
      <c r="AF7" s="65">
        <f>CAPEX!AF7</f>
        <v>29</v>
      </c>
    </row>
    <row r="8" spans="1:32" ht="15" customHeight="1">
      <c r="A8" s="69"/>
      <c r="B8" s="69" t="s">
        <v>470</v>
      </c>
      <c r="C8" s="65">
        <f>CAPEX!C9</f>
        <v>0</v>
      </c>
      <c r="D8" s="65">
        <f>CAPEX!D9</f>
        <v>0</v>
      </c>
      <c r="E8" s="65">
        <f>CAPEX!E9</f>
        <v>1</v>
      </c>
      <c r="F8" s="65">
        <f>CAPEX!F9</f>
        <v>2</v>
      </c>
      <c r="G8" s="65">
        <f>CAPEX!G9</f>
        <v>3</v>
      </c>
      <c r="H8" s="65">
        <f>CAPEX!H9</f>
        <v>4</v>
      </c>
      <c r="I8" s="65">
        <f>CAPEX!I9</f>
        <v>5</v>
      </c>
      <c r="J8" s="65">
        <f>CAPEX!J9</f>
        <v>6</v>
      </c>
      <c r="K8" s="65">
        <f>CAPEX!K9</f>
        <v>7</v>
      </c>
      <c r="L8" s="65">
        <f>CAPEX!L9</f>
        <v>8</v>
      </c>
      <c r="M8" s="65">
        <f>CAPEX!M9</f>
        <v>9</v>
      </c>
      <c r="N8" s="65">
        <f>CAPEX!N9</f>
        <v>10</v>
      </c>
      <c r="O8" s="65">
        <f>CAPEX!O9</f>
        <v>11</v>
      </c>
      <c r="P8" s="65">
        <f>CAPEX!P9</f>
        <v>12</v>
      </c>
      <c r="Q8" s="65">
        <f>CAPEX!Q9</f>
        <v>13</v>
      </c>
      <c r="R8" s="65">
        <f>CAPEX!R9</f>
        <v>14</v>
      </c>
      <c r="S8" s="65">
        <f>CAPEX!S9</f>
        <v>15</v>
      </c>
      <c r="T8" s="65">
        <f>CAPEX!T9</f>
        <v>16</v>
      </c>
      <c r="U8" s="65">
        <f>CAPEX!U9</f>
        <v>17</v>
      </c>
      <c r="V8" s="65">
        <f>CAPEX!V9</f>
        <v>18</v>
      </c>
      <c r="W8" s="65">
        <f>CAPEX!W9</f>
        <v>19</v>
      </c>
      <c r="X8" s="65">
        <f>CAPEX!X9</f>
        <v>20</v>
      </c>
      <c r="Y8" s="65">
        <f>CAPEX!Y9</f>
        <v>0</v>
      </c>
      <c r="Z8" s="65">
        <f>CAPEX!Z9</f>
        <v>0</v>
      </c>
      <c r="AA8" s="65">
        <f>CAPEX!AA9</f>
        <v>0</v>
      </c>
      <c r="AB8" s="65">
        <f>CAPEX!AB9</f>
        <v>0</v>
      </c>
      <c r="AC8" s="65">
        <f>CAPEX!AC9</f>
        <v>0</v>
      </c>
      <c r="AD8" s="65">
        <f>CAPEX!AD9</f>
        <v>0</v>
      </c>
      <c r="AE8" s="65">
        <f>CAPEX!AE9</f>
        <v>0</v>
      </c>
      <c r="AF8" s="65">
        <f>CAPEX!AF9</f>
        <v>0</v>
      </c>
    </row>
    <row r="9" spans="1:32" ht="15" customHeight="1">
      <c r="A9" s="69"/>
      <c r="B9" s="69"/>
      <c r="C9" s="64"/>
      <c r="D9" s="64"/>
      <c r="E9" s="64"/>
      <c r="F9" s="64"/>
      <c r="G9" s="64"/>
      <c r="H9" s="64"/>
      <c r="I9" s="64"/>
      <c r="J9" s="64"/>
      <c r="K9" s="64"/>
      <c r="L9" s="64"/>
      <c r="M9" s="64"/>
      <c r="N9" s="64"/>
      <c r="O9" s="64"/>
      <c r="P9" s="64"/>
      <c r="Q9" s="64"/>
      <c r="R9" s="64"/>
      <c r="S9" s="64"/>
      <c r="T9" s="64"/>
      <c r="U9" s="64"/>
      <c r="V9" s="64"/>
      <c r="W9" s="64"/>
      <c r="X9" s="64"/>
      <c r="Y9" s="64"/>
      <c r="Z9" s="64"/>
      <c r="AA9" s="64"/>
      <c r="AB9" s="64"/>
      <c r="AC9" s="64"/>
      <c r="AD9" s="64"/>
      <c r="AE9" s="64"/>
      <c r="AF9" s="64"/>
    </row>
    <row r="10" spans="1:32" ht="15" customHeight="1">
      <c r="A10" s="140" t="s">
        <v>596</v>
      </c>
      <c r="B10" s="140"/>
      <c r="C10" s="141"/>
      <c r="D10" s="141"/>
      <c r="E10" s="141"/>
      <c r="F10" s="141"/>
      <c r="G10" s="141"/>
      <c r="H10" s="141"/>
      <c r="I10" s="141"/>
      <c r="J10" s="141"/>
      <c r="K10" s="141"/>
      <c r="L10" s="141"/>
      <c r="M10" s="141"/>
      <c r="N10" s="141"/>
      <c r="O10" s="141"/>
      <c r="P10" s="141"/>
      <c r="Q10" s="141"/>
      <c r="R10" s="141"/>
      <c r="S10" s="141"/>
      <c r="T10" s="141"/>
      <c r="U10" s="141"/>
      <c r="V10" s="141"/>
      <c r="W10" s="141"/>
      <c r="X10" s="141"/>
      <c r="Y10" s="141"/>
      <c r="Z10" s="141"/>
      <c r="AA10" s="141"/>
      <c r="AB10" s="141"/>
      <c r="AC10" s="141"/>
      <c r="AD10" s="141"/>
      <c r="AE10" s="141"/>
      <c r="AF10" s="141"/>
    </row>
    <row r="11" spans="1:32" ht="15" customHeight="1">
      <c r="A11" s="71" t="s">
        <v>597</v>
      </c>
      <c r="B11" s="71" t="s">
        <v>598</v>
      </c>
      <c r="C11" s="51">
        <f>Energy_Revenue!C11</f>
        <v>0</v>
      </c>
      <c r="D11" s="51">
        <f>Energy_Revenue!D11</f>
        <v>0</v>
      </c>
      <c r="E11" s="51">
        <f>Energy_Revenue!E11</f>
        <v>551880</v>
      </c>
      <c r="F11" s="51">
        <f>Energy_Revenue!F11</f>
        <v>550776.24</v>
      </c>
      <c r="G11" s="51">
        <f>Energy_Revenue!G11</f>
        <v>549674.68752000004</v>
      </c>
      <c r="H11" s="51">
        <f>Energy_Revenue!H11</f>
        <v>548575.33814496</v>
      </c>
      <c r="I11" s="51">
        <f>Energy_Revenue!I11</f>
        <v>547478.18746867008</v>
      </c>
      <c r="J11" s="51">
        <f>Energy_Revenue!J11</f>
        <v>546383.23109373276</v>
      </c>
      <c r="K11" s="51">
        <f>Energy_Revenue!K11</f>
        <v>545290.46463154524</v>
      </c>
      <c r="L11" s="51">
        <f>Energy_Revenue!L11</f>
        <v>544199.88370228221</v>
      </c>
      <c r="M11" s="51">
        <f>Energy_Revenue!M11</f>
        <v>543111.48393487767</v>
      </c>
      <c r="N11" s="51">
        <f>Energy_Revenue!N11</f>
        <v>542025.26096700784</v>
      </c>
      <c r="O11" s="51">
        <f>Energy_Revenue!O11</f>
        <v>540941.2104450739</v>
      </c>
      <c r="P11" s="51">
        <f>Energy_Revenue!P11</f>
        <v>539859.32802418375</v>
      </c>
      <c r="Q11" s="51">
        <f>Energy_Revenue!Q11</f>
        <v>538779.60936813545</v>
      </c>
      <c r="R11" s="51">
        <f>Energy_Revenue!R11</f>
        <v>537702.05014939909</v>
      </c>
      <c r="S11" s="51">
        <f>Energy_Revenue!S11</f>
        <v>536626.64604910032</v>
      </c>
      <c r="T11" s="51">
        <f>Energy_Revenue!T11</f>
        <v>535553.39275700215</v>
      </c>
      <c r="U11" s="51">
        <f>Energy_Revenue!U11</f>
        <v>534482.28597148811</v>
      </c>
      <c r="V11" s="51">
        <f>Energy_Revenue!V11</f>
        <v>533413.32139954518</v>
      </c>
      <c r="W11" s="51">
        <f>Energy_Revenue!W11</f>
        <v>532346.49475674599</v>
      </c>
      <c r="X11" s="51">
        <f>Energy_Revenue!X11</f>
        <v>531281.8017672326</v>
      </c>
      <c r="Y11" s="51">
        <f>Energy_Revenue!Y11</f>
        <v>0</v>
      </c>
      <c r="Z11" s="51">
        <f>Energy_Revenue!Z11</f>
        <v>0</v>
      </c>
      <c r="AA11" s="51">
        <f>Energy_Revenue!AA11</f>
        <v>0</v>
      </c>
      <c r="AB11" s="51">
        <f>Energy_Revenue!AB11</f>
        <v>0</v>
      </c>
      <c r="AC11" s="51">
        <f>Energy_Revenue!AC11</f>
        <v>0</v>
      </c>
      <c r="AD11" s="51">
        <f>Energy_Revenue!AD11</f>
        <v>0</v>
      </c>
      <c r="AE11" s="51">
        <f>Energy_Revenue!AE11</f>
        <v>0</v>
      </c>
      <c r="AF11" s="51">
        <f>Energy_Revenue!AF11</f>
        <v>0</v>
      </c>
    </row>
    <row r="12" spans="1:32" ht="15" customHeight="1">
      <c r="A12" s="71" t="s">
        <v>599</v>
      </c>
      <c r="B12" s="71" t="s">
        <v>499</v>
      </c>
      <c r="C12" s="44">
        <f>Energy_Revenue!C16</f>
        <v>0</v>
      </c>
      <c r="D12" s="44">
        <f>Energy_Revenue!D16</f>
        <v>0</v>
      </c>
      <c r="E12" s="44">
        <f>Energy_Revenue!E16</f>
        <v>997.46791199999996</v>
      </c>
      <c r="F12" s="44">
        <f>Energy_Revenue!F16</f>
        <v>995.47297617599997</v>
      </c>
      <c r="G12" s="44">
        <f>Energy_Revenue!G16</f>
        <v>993.48203022364805</v>
      </c>
      <c r="H12" s="44">
        <f>Energy_Revenue!H16</f>
        <v>991.49506616320082</v>
      </c>
      <c r="I12" s="44">
        <f>Energy_Revenue!I16</f>
        <v>989.51207603087437</v>
      </c>
      <c r="J12" s="44">
        <f>Energy_Revenue!J16</f>
        <v>987.53305187881244</v>
      </c>
      <c r="K12" s="44">
        <f>Energy_Revenue!K16</f>
        <v>985.55798577505482</v>
      </c>
      <c r="L12" s="44">
        <f>Energy_Revenue!L16</f>
        <v>983.5868698035049</v>
      </c>
      <c r="M12" s="44">
        <f>Energy_Revenue!M16</f>
        <v>981.61969606389778</v>
      </c>
      <c r="N12" s="44">
        <f>Energy_Revenue!N16</f>
        <v>979.65645667177012</v>
      </c>
      <c r="O12" s="44">
        <f>Energy_Revenue!O16</f>
        <v>977.69714375842648</v>
      </c>
      <c r="P12" s="44">
        <f>Energy_Revenue!P16</f>
        <v>975.74174947090978</v>
      </c>
      <c r="Q12" s="44">
        <f>Energy_Revenue!Q16</f>
        <v>973.79026597196798</v>
      </c>
      <c r="R12" s="44">
        <f>Energy_Revenue!R16</f>
        <v>971.84268544002396</v>
      </c>
      <c r="S12" s="44">
        <f>Energy_Revenue!S16</f>
        <v>969.89900006914399</v>
      </c>
      <c r="T12" s="44">
        <f>Energy_Revenue!T16</f>
        <v>967.95920206900576</v>
      </c>
      <c r="U12" s="44">
        <f>Energy_Revenue!U16</f>
        <v>966.02328366486768</v>
      </c>
      <c r="V12" s="44">
        <f>Energy_Revenue!V16</f>
        <v>964.09123709753806</v>
      </c>
      <c r="W12" s="44">
        <f>Energy_Revenue!W16</f>
        <v>962.16305462334276</v>
      </c>
      <c r="X12" s="44">
        <f>Energy_Revenue!X16</f>
        <v>960.23872851409624</v>
      </c>
      <c r="Y12" s="44">
        <f>Energy_Revenue!Y16</f>
        <v>0</v>
      </c>
      <c r="Z12" s="44">
        <f>Energy_Revenue!Z16</f>
        <v>0</v>
      </c>
      <c r="AA12" s="44">
        <f>Energy_Revenue!AA16</f>
        <v>0</v>
      </c>
      <c r="AB12" s="44">
        <f>Energy_Revenue!AB16</f>
        <v>0</v>
      </c>
      <c r="AC12" s="44">
        <f>Energy_Revenue!AC16</f>
        <v>0</v>
      </c>
      <c r="AD12" s="44">
        <f>Energy_Revenue!AD16</f>
        <v>0</v>
      </c>
      <c r="AE12" s="44">
        <f>Energy_Revenue!AE16</f>
        <v>0</v>
      </c>
      <c r="AF12" s="44">
        <f>Energy_Revenue!AF16</f>
        <v>0</v>
      </c>
    </row>
    <row r="13" spans="1:32" ht="15" customHeight="1">
      <c r="A13" s="71" t="s">
        <v>600</v>
      </c>
      <c r="B13" s="71" t="s">
        <v>501</v>
      </c>
      <c r="C13" s="44">
        <f>Energy_Revenue!C19</f>
        <v>0</v>
      </c>
      <c r="D13" s="44">
        <f>Energy_Revenue!D19</f>
        <v>0</v>
      </c>
      <c r="E13" s="44">
        <f>Energy_Revenue!E19</f>
        <v>122.3</v>
      </c>
      <c r="F13" s="44">
        <f>Energy_Revenue!F19</f>
        <v>124.746</v>
      </c>
      <c r="G13" s="44">
        <f>Energy_Revenue!G19</f>
        <v>127.24092</v>
      </c>
      <c r="H13" s="44">
        <f>Energy_Revenue!H19</f>
        <v>129.78573839999999</v>
      </c>
      <c r="I13" s="44">
        <f>Energy_Revenue!I19</f>
        <v>132.38145316800001</v>
      </c>
      <c r="J13" s="44">
        <f>Energy_Revenue!J19</f>
        <v>135.02908223136001</v>
      </c>
      <c r="K13" s="44">
        <f>Energy_Revenue!K19</f>
        <v>137.7296638759872</v>
      </c>
      <c r="L13" s="44">
        <f>Energy_Revenue!L19</f>
        <v>140.48425715350692</v>
      </c>
      <c r="M13" s="44">
        <f>Energy_Revenue!M19</f>
        <v>143.29394229657706</v>
      </c>
      <c r="N13" s="44">
        <f>Energy_Revenue!N19</f>
        <v>146.1598211425086</v>
      </c>
      <c r="O13" s="44">
        <f>Energy_Revenue!O19</f>
        <v>149.0830175653588</v>
      </c>
      <c r="P13" s="44">
        <f>Energy_Revenue!P19</f>
        <v>152.06467791666594</v>
      </c>
      <c r="Q13" s="44">
        <f>Energy_Revenue!Q19</f>
        <v>155.10597147499928</v>
      </c>
      <c r="R13" s="44">
        <f>Energy_Revenue!R19</f>
        <v>158.20809090449927</v>
      </c>
      <c r="S13" s="44">
        <f>Energy_Revenue!S19</f>
        <v>161.37225272258925</v>
      </c>
      <c r="T13" s="44">
        <f>Energy_Revenue!T19</f>
        <v>164.599697777041</v>
      </c>
      <c r="U13" s="44">
        <f>Energy_Revenue!U19</f>
        <v>167.89169173258185</v>
      </c>
      <c r="V13" s="44">
        <f>Energy_Revenue!V19</f>
        <v>171.24952556723349</v>
      </c>
      <c r="W13" s="44">
        <f>Energy_Revenue!W19</f>
        <v>174.67451607857814</v>
      </c>
      <c r="X13" s="44">
        <f>Energy_Revenue!X19</f>
        <v>178.16800640014969</v>
      </c>
      <c r="Y13" s="44">
        <f>Energy_Revenue!Y19</f>
        <v>0</v>
      </c>
      <c r="Z13" s="44">
        <f>Energy_Revenue!Z19</f>
        <v>0</v>
      </c>
      <c r="AA13" s="44">
        <f>Energy_Revenue!AA19</f>
        <v>0</v>
      </c>
      <c r="AB13" s="44">
        <f>Energy_Revenue!AB19</f>
        <v>0</v>
      </c>
      <c r="AC13" s="44">
        <f>Energy_Revenue!AC19</f>
        <v>0</v>
      </c>
      <c r="AD13" s="44">
        <f>Energy_Revenue!AD19</f>
        <v>0</v>
      </c>
      <c r="AE13" s="44">
        <f>Energy_Revenue!AE19</f>
        <v>0</v>
      </c>
      <c r="AF13" s="44">
        <f>Energy_Revenue!AF19</f>
        <v>0</v>
      </c>
    </row>
    <row r="14" spans="1:32" ht="15" customHeight="1">
      <c r="A14" s="71" t="s">
        <v>601</v>
      </c>
      <c r="B14" s="72" t="s">
        <v>47</v>
      </c>
      <c r="C14" s="43">
        <f t="shared" ref="C14:AF14" si="0">C12-C13</f>
        <v>0</v>
      </c>
      <c r="D14" s="43">
        <f t="shared" si="0"/>
        <v>0</v>
      </c>
      <c r="E14" s="43">
        <f t="shared" si="0"/>
        <v>875.167912</v>
      </c>
      <c r="F14" s="43">
        <f t="shared" si="0"/>
        <v>870.72697617599999</v>
      </c>
      <c r="G14" s="43">
        <f t="shared" si="0"/>
        <v>866.24111022364809</v>
      </c>
      <c r="H14" s="43">
        <f t="shared" si="0"/>
        <v>861.7093277632008</v>
      </c>
      <c r="I14" s="43">
        <f t="shared" si="0"/>
        <v>857.13062286287436</v>
      </c>
      <c r="J14" s="43">
        <f t="shared" si="0"/>
        <v>852.50396964745244</v>
      </c>
      <c r="K14" s="43">
        <f t="shared" si="0"/>
        <v>847.82832189906765</v>
      </c>
      <c r="L14" s="43">
        <f t="shared" si="0"/>
        <v>843.10261264999804</v>
      </c>
      <c r="M14" s="43">
        <f t="shared" si="0"/>
        <v>838.32575376732075</v>
      </c>
      <c r="N14" s="43">
        <f t="shared" si="0"/>
        <v>833.49663552926154</v>
      </c>
      <c r="O14" s="43">
        <f t="shared" si="0"/>
        <v>828.6141261930677</v>
      </c>
      <c r="P14" s="43">
        <f t="shared" si="0"/>
        <v>823.67707155424387</v>
      </c>
      <c r="Q14" s="43">
        <f t="shared" si="0"/>
        <v>818.68429449696873</v>
      </c>
      <c r="R14" s="43">
        <f t="shared" si="0"/>
        <v>813.63459453552468</v>
      </c>
      <c r="S14" s="43">
        <f t="shared" si="0"/>
        <v>808.52674734655477</v>
      </c>
      <c r="T14" s="43">
        <f t="shared" si="0"/>
        <v>803.35950429196475</v>
      </c>
      <c r="U14" s="43">
        <f t="shared" si="0"/>
        <v>798.1315919322858</v>
      </c>
      <c r="V14" s="43">
        <f t="shared" si="0"/>
        <v>792.84171153030456</v>
      </c>
      <c r="W14" s="43">
        <f t="shared" si="0"/>
        <v>787.48853854476465</v>
      </c>
      <c r="X14" s="43">
        <f t="shared" si="0"/>
        <v>782.07072211394654</v>
      </c>
      <c r="Y14" s="43">
        <f t="shared" si="0"/>
        <v>0</v>
      </c>
      <c r="Z14" s="43">
        <f t="shared" si="0"/>
        <v>0</v>
      </c>
      <c r="AA14" s="43">
        <f t="shared" si="0"/>
        <v>0</v>
      </c>
      <c r="AB14" s="43">
        <f t="shared" si="0"/>
        <v>0</v>
      </c>
      <c r="AC14" s="43">
        <f t="shared" si="0"/>
        <v>0</v>
      </c>
      <c r="AD14" s="43">
        <f t="shared" si="0"/>
        <v>0</v>
      </c>
      <c r="AE14" s="43">
        <f t="shared" si="0"/>
        <v>0</v>
      </c>
      <c r="AF14" s="43">
        <f t="shared" si="0"/>
        <v>0</v>
      </c>
    </row>
    <row r="15" spans="1:32" ht="15" customHeight="1">
      <c r="A15" s="71" t="s">
        <v>602</v>
      </c>
      <c r="B15" s="71" t="s">
        <v>37</v>
      </c>
      <c r="C15" s="44">
        <f>Dep_Tax!C12</f>
        <v>0</v>
      </c>
      <c r="D15" s="44">
        <f>Dep_Tax!D12</f>
        <v>0</v>
      </c>
      <c r="E15" s="44">
        <f>Dep_Tax!E12</f>
        <v>324.04913750000003</v>
      </c>
      <c r="F15" s="44">
        <f>Dep_Tax!F12</f>
        <v>324.04913750000003</v>
      </c>
      <c r="G15" s="44">
        <f>Dep_Tax!G12</f>
        <v>324.04913750000003</v>
      </c>
      <c r="H15" s="44">
        <f>Dep_Tax!H12</f>
        <v>324.04913750000003</v>
      </c>
      <c r="I15" s="44">
        <f>Dep_Tax!I12</f>
        <v>324.04913750000003</v>
      </c>
      <c r="J15" s="44">
        <f>Dep_Tax!J12</f>
        <v>324.04913750000003</v>
      </c>
      <c r="K15" s="44">
        <f>Dep_Tax!K12</f>
        <v>324.04913750000003</v>
      </c>
      <c r="L15" s="44">
        <f>Dep_Tax!L12</f>
        <v>324.04913750000003</v>
      </c>
      <c r="M15" s="44">
        <f>Dep_Tax!M12</f>
        <v>324.04913750000003</v>
      </c>
      <c r="N15" s="44">
        <f>Dep_Tax!N12</f>
        <v>324.04913750000003</v>
      </c>
      <c r="O15" s="44">
        <f>Dep_Tax!O12</f>
        <v>324.04913750000003</v>
      </c>
      <c r="P15" s="44">
        <f>Dep_Tax!P12</f>
        <v>324.04913750000003</v>
      </c>
      <c r="Q15" s="44">
        <f>Dep_Tax!Q12</f>
        <v>324.04913750000003</v>
      </c>
      <c r="R15" s="44">
        <f>Dep_Tax!R12</f>
        <v>324.04913750000003</v>
      </c>
      <c r="S15" s="44">
        <f>Dep_Tax!S12</f>
        <v>324.04913750000003</v>
      </c>
      <c r="T15" s="44">
        <f>Dep_Tax!T12</f>
        <v>324.04913750000003</v>
      </c>
      <c r="U15" s="44">
        <f>Dep_Tax!U12</f>
        <v>324.04913750000003</v>
      </c>
      <c r="V15" s="44">
        <f>Dep_Tax!V12</f>
        <v>324.04913750000003</v>
      </c>
      <c r="W15" s="44">
        <f>Dep_Tax!W12</f>
        <v>324.04913750000003</v>
      </c>
      <c r="X15" s="44">
        <f>Dep_Tax!X12</f>
        <v>324.04913750000003</v>
      </c>
      <c r="Y15" s="44">
        <f>Dep_Tax!Y12</f>
        <v>0</v>
      </c>
      <c r="Z15" s="44">
        <f>Dep_Tax!Z12</f>
        <v>0</v>
      </c>
      <c r="AA15" s="44">
        <f>Dep_Tax!AA12</f>
        <v>0</v>
      </c>
      <c r="AB15" s="44">
        <f>Dep_Tax!AB12</f>
        <v>0</v>
      </c>
      <c r="AC15" s="44">
        <f>Dep_Tax!AC12</f>
        <v>0</v>
      </c>
      <c r="AD15" s="44">
        <f>Dep_Tax!AD12</f>
        <v>0</v>
      </c>
      <c r="AE15" s="44">
        <f>Dep_Tax!AE12</f>
        <v>0</v>
      </c>
      <c r="AF15" s="44">
        <f>Dep_Tax!AF12</f>
        <v>0</v>
      </c>
    </row>
    <row r="16" spans="1:32" ht="15" customHeight="1">
      <c r="A16" s="71" t="s">
        <v>603</v>
      </c>
      <c r="B16" s="71" t="s">
        <v>43</v>
      </c>
      <c r="C16" s="44">
        <f t="shared" ref="C16:AF16" si="1">C14-C15</f>
        <v>0</v>
      </c>
      <c r="D16" s="44">
        <f t="shared" si="1"/>
        <v>0</v>
      </c>
      <c r="E16" s="44">
        <f t="shared" si="1"/>
        <v>551.11877449999997</v>
      </c>
      <c r="F16" s="44">
        <f t="shared" si="1"/>
        <v>546.67783867599996</v>
      </c>
      <c r="G16" s="44">
        <f t="shared" si="1"/>
        <v>542.19197272364806</v>
      </c>
      <c r="H16" s="44">
        <f t="shared" si="1"/>
        <v>537.66019026320078</v>
      </c>
      <c r="I16" s="44">
        <f t="shared" si="1"/>
        <v>533.08148536287433</v>
      </c>
      <c r="J16" s="44">
        <f t="shared" si="1"/>
        <v>528.45483214745241</v>
      </c>
      <c r="K16" s="44">
        <f t="shared" si="1"/>
        <v>523.77918439906762</v>
      </c>
      <c r="L16" s="44">
        <f t="shared" si="1"/>
        <v>519.05347514999801</v>
      </c>
      <c r="M16" s="44">
        <f t="shared" si="1"/>
        <v>514.27661626732072</v>
      </c>
      <c r="N16" s="44">
        <f t="shared" si="1"/>
        <v>509.44749802926151</v>
      </c>
      <c r="O16" s="44">
        <f t="shared" si="1"/>
        <v>504.56498869306768</v>
      </c>
      <c r="P16" s="44">
        <f t="shared" si="1"/>
        <v>499.62793405424384</v>
      </c>
      <c r="Q16" s="44">
        <f t="shared" si="1"/>
        <v>494.6351569969687</v>
      </c>
      <c r="R16" s="44">
        <f t="shared" si="1"/>
        <v>489.58545703552466</v>
      </c>
      <c r="S16" s="44">
        <f t="shared" si="1"/>
        <v>484.47760984655474</v>
      </c>
      <c r="T16" s="44">
        <f t="shared" si="1"/>
        <v>479.31036679196473</v>
      </c>
      <c r="U16" s="44">
        <f t="shared" si="1"/>
        <v>474.08245443228577</v>
      </c>
      <c r="V16" s="44">
        <f t="shared" si="1"/>
        <v>468.79257403030454</v>
      </c>
      <c r="W16" s="44">
        <f t="shared" si="1"/>
        <v>463.43940104476462</v>
      </c>
      <c r="X16" s="44">
        <f t="shared" si="1"/>
        <v>458.02158461394652</v>
      </c>
      <c r="Y16" s="44">
        <f t="shared" si="1"/>
        <v>0</v>
      </c>
      <c r="Z16" s="44">
        <f t="shared" si="1"/>
        <v>0</v>
      </c>
      <c r="AA16" s="44">
        <f t="shared" si="1"/>
        <v>0</v>
      </c>
      <c r="AB16" s="44">
        <f t="shared" si="1"/>
        <v>0</v>
      </c>
      <c r="AC16" s="44">
        <f t="shared" si="1"/>
        <v>0</v>
      </c>
      <c r="AD16" s="44">
        <f t="shared" si="1"/>
        <v>0</v>
      </c>
      <c r="AE16" s="44">
        <f t="shared" si="1"/>
        <v>0</v>
      </c>
      <c r="AF16" s="44">
        <f t="shared" si="1"/>
        <v>0</v>
      </c>
    </row>
    <row r="17" spans="1:32" ht="15" customHeight="1">
      <c r="A17" s="71" t="s">
        <v>604</v>
      </c>
      <c r="B17" s="71" t="s">
        <v>605</v>
      </c>
      <c r="C17" s="44">
        <f>MAX(0,C16)*Dep_Tax!C24</f>
        <v>0</v>
      </c>
      <c r="D17" s="44">
        <f>MAX(0,D16)*Dep_Tax!D24</f>
        <v>0</v>
      </c>
      <c r="E17" s="44">
        <f>MAX(0,E16)*Dep_Tax!E24</f>
        <v>0</v>
      </c>
      <c r="F17" s="44">
        <f>MAX(0,F16)*Dep_Tax!F24</f>
        <v>0</v>
      </c>
      <c r="G17" s="44">
        <f>MAX(0,G16)*Dep_Tax!G24</f>
        <v>0</v>
      </c>
      <c r="H17" s="44">
        <f>MAX(0,H16)*Dep_Tax!H24</f>
        <v>0</v>
      </c>
      <c r="I17" s="44">
        <f>MAX(0,I16)*Dep_Tax!I24</f>
        <v>26.654074268143717</v>
      </c>
      <c r="J17" s="44">
        <f>MAX(0,J16)*Dep_Tax!J24</f>
        <v>26.422741607372622</v>
      </c>
      <c r="K17" s="44">
        <f>MAX(0,K16)*Dep_Tax!K24</f>
        <v>26.188959219953382</v>
      </c>
      <c r="L17" s="44">
        <f>MAX(0,L16)*Dep_Tax!L24</f>
        <v>25.952673757499902</v>
      </c>
      <c r="M17" s="44">
        <f>MAX(0,M16)*Dep_Tax!M24</f>
        <v>25.713830813366037</v>
      </c>
      <c r="N17" s="44">
        <f>MAX(0,N16)*Dep_Tax!N24</f>
        <v>25.472374901463077</v>
      </c>
      <c r="O17" s="44">
        <f>MAX(0,O16)*Dep_Tax!O24</f>
        <v>25.228249434653385</v>
      </c>
      <c r="P17" s="44">
        <f>MAX(0,P16)*Dep_Tax!P24</f>
        <v>24.981396702712193</v>
      </c>
      <c r="Q17" s="44">
        <f>MAX(0,Q16)*Dep_Tax!Q24</f>
        <v>24.731757849848435</v>
      </c>
      <c r="R17" s="44">
        <f>MAX(0,R16)*Dep_Tax!R24</f>
        <v>48.958545703552467</v>
      </c>
      <c r="S17" s="44">
        <f>MAX(0,S16)*Dep_Tax!S24</f>
        <v>48.447760984655474</v>
      </c>
      <c r="T17" s="44">
        <f>MAX(0,T16)*Dep_Tax!T24</f>
        <v>95.862073358392948</v>
      </c>
      <c r="U17" s="44">
        <f>MAX(0,U16)*Dep_Tax!U24</f>
        <v>94.81649088645716</v>
      </c>
      <c r="V17" s="44">
        <f>MAX(0,V16)*Dep_Tax!V24</f>
        <v>93.758514806060916</v>
      </c>
      <c r="W17" s="44">
        <f>MAX(0,W16)*Dep_Tax!W24</f>
        <v>92.687880208952933</v>
      </c>
      <c r="X17" s="44">
        <f>MAX(0,X16)*Dep_Tax!X24</f>
        <v>91.604316922789309</v>
      </c>
      <c r="Y17" s="44">
        <f>MAX(0,Y16)*Dep_Tax!Y24</f>
        <v>0</v>
      </c>
      <c r="Z17" s="44">
        <f>MAX(0,Z16)*Dep_Tax!Z24</f>
        <v>0</v>
      </c>
      <c r="AA17" s="44">
        <f>MAX(0,AA16)*Dep_Tax!AA24</f>
        <v>0</v>
      </c>
      <c r="AB17" s="44">
        <f>MAX(0,AB16)*Dep_Tax!AB24</f>
        <v>0</v>
      </c>
      <c r="AC17" s="44">
        <f>MAX(0,AC16)*Dep_Tax!AC24</f>
        <v>0</v>
      </c>
      <c r="AD17" s="44">
        <f>MAX(0,AD16)*Dep_Tax!AD24</f>
        <v>0</v>
      </c>
      <c r="AE17" s="44">
        <f>MAX(0,AE16)*Dep_Tax!AE24</f>
        <v>0</v>
      </c>
      <c r="AF17" s="44">
        <f>MAX(0,AF16)*Dep_Tax!AF24</f>
        <v>0</v>
      </c>
    </row>
    <row r="18" spans="1:32" ht="15" customHeight="1">
      <c r="A18" s="71" t="s">
        <v>606</v>
      </c>
      <c r="B18" s="72" t="s">
        <v>19</v>
      </c>
      <c r="C18" s="43">
        <f t="shared" ref="C18:AF18" si="2">C14-C17</f>
        <v>0</v>
      </c>
      <c r="D18" s="43">
        <f t="shared" si="2"/>
        <v>0</v>
      </c>
      <c r="E18" s="43">
        <f t="shared" si="2"/>
        <v>875.167912</v>
      </c>
      <c r="F18" s="43">
        <f t="shared" si="2"/>
        <v>870.72697617599999</v>
      </c>
      <c r="G18" s="43">
        <f t="shared" si="2"/>
        <v>866.24111022364809</v>
      </c>
      <c r="H18" s="43">
        <f t="shared" si="2"/>
        <v>861.7093277632008</v>
      </c>
      <c r="I18" s="43">
        <f t="shared" si="2"/>
        <v>830.47654859473062</v>
      </c>
      <c r="J18" s="43">
        <f t="shared" si="2"/>
        <v>826.08122804007985</v>
      </c>
      <c r="K18" s="43">
        <f t="shared" si="2"/>
        <v>821.63936267911424</v>
      </c>
      <c r="L18" s="43">
        <f t="shared" si="2"/>
        <v>817.14993889249808</v>
      </c>
      <c r="M18" s="43">
        <f t="shared" si="2"/>
        <v>812.61192295395472</v>
      </c>
      <c r="N18" s="43">
        <f t="shared" si="2"/>
        <v>808.02426062779841</v>
      </c>
      <c r="O18" s="43">
        <f t="shared" si="2"/>
        <v>803.38587675841427</v>
      </c>
      <c r="P18" s="43">
        <f t="shared" si="2"/>
        <v>798.69567485153163</v>
      </c>
      <c r="Q18" s="43">
        <f t="shared" si="2"/>
        <v>793.95253664712027</v>
      </c>
      <c r="R18" s="43">
        <f t="shared" si="2"/>
        <v>764.67604883197225</v>
      </c>
      <c r="S18" s="43">
        <f t="shared" si="2"/>
        <v>760.0789863618993</v>
      </c>
      <c r="T18" s="43">
        <f t="shared" si="2"/>
        <v>707.49743093357176</v>
      </c>
      <c r="U18" s="43">
        <f t="shared" si="2"/>
        <v>703.31510104582867</v>
      </c>
      <c r="V18" s="43">
        <f t="shared" si="2"/>
        <v>699.08319672424363</v>
      </c>
      <c r="W18" s="43">
        <f t="shared" si="2"/>
        <v>694.8006583358117</v>
      </c>
      <c r="X18" s="43">
        <f t="shared" si="2"/>
        <v>690.46640519115726</v>
      </c>
      <c r="Y18" s="43">
        <f t="shared" si="2"/>
        <v>0</v>
      </c>
      <c r="Z18" s="43">
        <f t="shared" si="2"/>
        <v>0</v>
      </c>
      <c r="AA18" s="43">
        <f t="shared" si="2"/>
        <v>0</v>
      </c>
      <c r="AB18" s="43">
        <f t="shared" si="2"/>
        <v>0</v>
      </c>
      <c r="AC18" s="43">
        <f t="shared" si="2"/>
        <v>0</v>
      </c>
      <c r="AD18" s="43">
        <f t="shared" si="2"/>
        <v>0</v>
      </c>
      <c r="AE18" s="43">
        <f t="shared" si="2"/>
        <v>0</v>
      </c>
      <c r="AF18" s="43">
        <f t="shared" si="2"/>
        <v>0</v>
      </c>
    </row>
    <row r="19" spans="1:32" ht="15" customHeight="1">
      <c r="A19" s="69"/>
      <c r="B19" s="69"/>
      <c r="C19" s="64"/>
      <c r="D19" s="64"/>
      <c r="E19" s="64"/>
      <c r="F19" s="64"/>
      <c r="G19" s="64"/>
      <c r="H19" s="64"/>
      <c r="I19" s="64"/>
      <c r="J19" s="64"/>
      <c r="K19" s="64"/>
      <c r="L19" s="64"/>
      <c r="M19" s="64"/>
      <c r="N19" s="64"/>
      <c r="O19" s="64"/>
      <c r="P19" s="64"/>
      <c r="Q19" s="64"/>
      <c r="R19" s="64"/>
      <c r="S19" s="64"/>
      <c r="T19" s="64"/>
      <c r="U19" s="64"/>
      <c r="V19" s="64"/>
      <c r="W19" s="64"/>
      <c r="X19" s="64"/>
      <c r="Y19" s="64"/>
      <c r="Z19" s="64"/>
      <c r="AA19" s="64"/>
      <c r="AB19" s="64"/>
      <c r="AC19" s="64"/>
      <c r="AD19" s="64"/>
      <c r="AE19" s="64"/>
      <c r="AF19" s="64"/>
    </row>
    <row r="20" spans="1:32" ht="15" customHeight="1">
      <c r="A20" s="140" t="s">
        <v>607</v>
      </c>
      <c r="B20" s="140"/>
      <c r="C20" s="141"/>
      <c r="D20" s="141"/>
      <c r="E20" s="141"/>
      <c r="F20" s="141"/>
      <c r="G20" s="141"/>
      <c r="H20" s="141"/>
      <c r="I20" s="141"/>
      <c r="J20" s="141"/>
      <c r="K20" s="141"/>
      <c r="L20" s="141"/>
      <c r="M20" s="141"/>
      <c r="N20" s="141"/>
      <c r="O20" s="141"/>
      <c r="P20" s="141"/>
      <c r="Q20" s="141"/>
      <c r="R20" s="141"/>
      <c r="S20" s="141"/>
      <c r="T20" s="141"/>
      <c r="U20" s="141"/>
      <c r="V20" s="141"/>
      <c r="W20" s="141"/>
      <c r="X20" s="141"/>
      <c r="Y20" s="141"/>
      <c r="Z20" s="141"/>
      <c r="AA20" s="141"/>
      <c r="AB20" s="141"/>
      <c r="AC20" s="141"/>
      <c r="AD20" s="141"/>
      <c r="AE20" s="141"/>
      <c r="AF20" s="141"/>
    </row>
    <row r="21" spans="1:32" ht="15" customHeight="1">
      <c r="A21" s="71" t="s">
        <v>608</v>
      </c>
      <c r="B21" s="71" t="s">
        <v>474</v>
      </c>
      <c r="C21" s="44">
        <f>CAPEX!C15</f>
        <v>2690.6</v>
      </c>
      <c r="D21" s="44">
        <f>CAPEX!D15</f>
        <v>4035.9</v>
      </c>
      <c r="E21" s="44">
        <f>CAPEX!E15</f>
        <v>0</v>
      </c>
      <c r="F21" s="44">
        <f>CAPEX!F15</f>
        <v>0</v>
      </c>
      <c r="G21" s="44">
        <f>CAPEX!G15</f>
        <v>0</v>
      </c>
      <c r="H21" s="44">
        <f>CAPEX!H15</f>
        <v>0</v>
      </c>
      <c r="I21" s="44">
        <f>CAPEX!I15</f>
        <v>0</v>
      </c>
      <c r="J21" s="44">
        <f>CAPEX!J15</f>
        <v>0</v>
      </c>
      <c r="K21" s="44">
        <f>CAPEX!K15</f>
        <v>0</v>
      </c>
      <c r="L21" s="44">
        <f>CAPEX!L15</f>
        <v>0</v>
      </c>
      <c r="M21" s="44">
        <f>CAPEX!M15</f>
        <v>0</v>
      </c>
      <c r="N21" s="44">
        <f>CAPEX!N15</f>
        <v>0</v>
      </c>
      <c r="O21" s="44">
        <f>CAPEX!O15</f>
        <v>0</v>
      </c>
      <c r="P21" s="44">
        <f>CAPEX!P15</f>
        <v>0</v>
      </c>
      <c r="Q21" s="44">
        <f>CAPEX!Q15</f>
        <v>0</v>
      </c>
      <c r="R21" s="44">
        <f>CAPEX!R15</f>
        <v>0</v>
      </c>
      <c r="S21" s="44">
        <f>CAPEX!S15</f>
        <v>0</v>
      </c>
      <c r="T21" s="44">
        <f>CAPEX!T15</f>
        <v>0</v>
      </c>
      <c r="U21" s="44">
        <f>CAPEX!U15</f>
        <v>0</v>
      </c>
      <c r="V21" s="44">
        <f>CAPEX!V15</f>
        <v>0</v>
      </c>
      <c r="W21" s="44">
        <f>CAPEX!W15</f>
        <v>0</v>
      </c>
      <c r="X21" s="44">
        <f>CAPEX!X15</f>
        <v>0</v>
      </c>
      <c r="Y21" s="44">
        <f>CAPEX!Y15</f>
        <v>0</v>
      </c>
      <c r="Z21" s="44">
        <f>CAPEX!Z15</f>
        <v>0</v>
      </c>
      <c r="AA21" s="44">
        <f>CAPEX!AA15</f>
        <v>0</v>
      </c>
      <c r="AB21" s="44">
        <f>CAPEX!AB15</f>
        <v>0</v>
      </c>
      <c r="AC21" s="44">
        <f>CAPEX!AC15</f>
        <v>0</v>
      </c>
      <c r="AD21" s="44">
        <f>CAPEX!AD15</f>
        <v>0</v>
      </c>
      <c r="AE21" s="44">
        <f>CAPEX!AE15</f>
        <v>0</v>
      </c>
      <c r="AF21" s="44">
        <f>CAPEX!AF15</f>
        <v>0</v>
      </c>
    </row>
    <row r="22" spans="1:32" ht="15" customHeight="1">
      <c r="A22" s="71" t="s">
        <v>609</v>
      </c>
      <c r="B22" s="71" t="s">
        <v>476</v>
      </c>
      <c r="C22" s="44">
        <f>CAPEX!C17</f>
        <v>0</v>
      </c>
      <c r="D22" s="44">
        <f>CAPEX!D17</f>
        <v>244.60000000000002</v>
      </c>
      <c r="E22" s="44">
        <f>CAPEX!E17</f>
        <v>366.90000000000003</v>
      </c>
      <c r="F22" s="44">
        <f>CAPEX!F17</f>
        <v>0</v>
      </c>
      <c r="G22" s="44">
        <f>CAPEX!G17</f>
        <v>0</v>
      </c>
      <c r="H22" s="44">
        <f>CAPEX!H17</f>
        <v>0</v>
      </c>
      <c r="I22" s="44">
        <f>CAPEX!I17</f>
        <v>0</v>
      </c>
      <c r="J22" s="44">
        <f>CAPEX!J17</f>
        <v>0</v>
      </c>
      <c r="K22" s="44">
        <f>CAPEX!K17</f>
        <v>0</v>
      </c>
      <c r="L22" s="44">
        <f>CAPEX!L17</f>
        <v>0</v>
      </c>
      <c r="M22" s="44">
        <f>CAPEX!M17</f>
        <v>0</v>
      </c>
      <c r="N22" s="44">
        <f>CAPEX!N17</f>
        <v>0</v>
      </c>
      <c r="O22" s="44">
        <f>CAPEX!O17</f>
        <v>0</v>
      </c>
      <c r="P22" s="44">
        <f>CAPEX!P17</f>
        <v>0</v>
      </c>
      <c r="Q22" s="44">
        <f>CAPEX!Q17</f>
        <v>0</v>
      </c>
      <c r="R22" s="44">
        <f>CAPEX!R17</f>
        <v>0</v>
      </c>
      <c r="S22" s="44">
        <f>CAPEX!S17</f>
        <v>0</v>
      </c>
      <c r="T22" s="44">
        <f>CAPEX!T17</f>
        <v>0</v>
      </c>
      <c r="U22" s="44">
        <f>CAPEX!U17</f>
        <v>0</v>
      </c>
      <c r="V22" s="44">
        <f>CAPEX!V17</f>
        <v>0</v>
      </c>
      <c r="W22" s="44">
        <f>CAPEX!W17</f>
        <v>0</v>
      </c>
      <c r="X22" s="44">
        <f>CAPEX!X17</f>
        <v>0</v>
      </c>
      <c r="Y22" s="44">
        <f>CAPEX!Y17</f>
        <v>0</v>
      </c>
      <c r="Z22" s="44">
        <f>CAPEX!Z17</f>
        <v>0</v>
      </c>
      <c r="AA22" s="44">
        <f>CAPEX!AA17</f>
        <v>0</v>
      </c>
      <c r="AB22" s="44">
        <f>CAPEX!AB17</f>
        <v>0</v>
      </c>
      <c r="AC22" s="44">
        <f>CAPEX!AC17</f>
        <v>0</v>
      </c>
      <c r="AD22" s="44">
        <f>CAPEX!AD17</f>
        <v>0</v>
      </c>
      <c r="AE22" s="44">
        <f>CAPEX!AE17</f>
        <v>0</v>
      </c>
      <c r="AF22" s="44">
        <f>CAPEX!AF17</f>
        <v>0</v>
      </c>
    </row>
    <row r="23" spans="1:32" ht="15" customHeight="1">
      <c r="A23" s="71" t="s">
        <v>610</v>
      </c>
      <c r="B23" s="71" t="s">
        <v>611</v>
      </c>
      <c r="C23" s="44">
        <f>IF(C$6=Input!$D$18,Input!$D$28,0)</f>
        <v>0</v>
      </c>
      <c r="D23" s="44">
        <f>IF(D$6=Input!$D$18,Input!$D$28,0)</f>
        <v>0</v>
      </c>
      <c r="E23" s="44">
        <f>IF(E$6=Input!$D$18,Input!$D$28,0)</f>
        <v>0</v>
      </c>
      <c r="F23" s="44">
        <f>IF(F$6=Input!$D$18,Input!$D$28,0)</f>
        <v>0</v>
      </c>
      <c r="G23" s="44">
        <f>IF(G$6=Input!$D$18,Input!$D$28,0)</f>
        <v>0</v>
      </c>
      <c r="H23" s="44">
        <f>IF(H$6=Input!$D$18,Input!$D$28,0)</f>
        <v>0</v>
      </c>
      <c r="I23" s="44">
        <f>IF(I$6=Input!$D$18,Input!$D$28,0)</f>
        <v>0</v>
      </c>
      <c r="J23" s="44">
        <f>IF(J$6=Input!$D$18,Input!$D$28,0)</f>
        <v>0</v>
      </c>
      <c r="K23" s="44">
        <f>IF(K$6=Input!$D$18,Input!$D$28,0)</f>
        <v>0</v>
      </c>
      <c r="L23" s="44">
        <f>IF(L$6=Input!$D$18,Input!$D$28,0)</f>
        <v>0</v>
      </c>
      <c r="M23" s="44">
        <f>IF(M$6=Input!$D$18,Input!$D$28,0)</f>
        <v>0</v>
      </c>
      <c r="N23" s="44">
        <f>IF(N$6=Input!$D$18,Input!$D$28,0)</f>
        <v>0</v>
      </c>
      <c r="O23" s="44">
        <f>IF(O$6=Input!$D$18,Input!$D$28,0)</f>
        <v>0</v>
      </c>
      <c r="P23" s="44">
        <f>IF(P$6=Input!$D$18,Input!$D$28,0)</f>
        <v>0</v>
      </c>
      <c r="Q23" s="44">
        <f>IF(Q$6=Input!$D$18,Input!$D$28,0)</f>
        <v>0</v>
      </c>
      <c r="R23" s="44">
        <f>IF(R$6=Input!$D$18,Input!$D$28,0)</f>
        <v>0</v>
      </c>
      <c r="S23" s="44">
        <f>IF(S$6=Input!$D$18,Input!$D$28,0)</f>
        <v>0</v>
      </c>
      <c r="T23" s="44">
        <f>IF(T$6=Input!$D$18,Input!$D$28,0)</f>
        <v>0</v>
      </c>
      <c r="U23" s="44">
        <f>IF(U$6=Input!$D$18,Input!$D$28,0)</f>
        <v>0</v>
      </c>
      <c r="V23" s="44">
        <f>IF(V$6=Input!$D$18,Input!$D$28,0)</f>
        <v>0</v>
      </c>
      <c r="W23" s="44">
        <f>IF(W$6=Input!$D$18,Input!$D$28,0)</f>
        <v>0</v>
      </c>
      <c r="X23" s="44">
        <f>IF(X$6=Input!$D$18,Input!$D$28,0)</f>
        <v>0</v>
      </c>
      <c r="Y23" s="44">
        <f>IF(Y$6=Input!$D$18,Input!$D$28,0)</f>
        <v>0</v>
      </c>
      <c r="Z23" s="44">
        <f>IF(Z$6=Input!$D$18,Input!$D$28,0)</f>
        <v>0</v>
      </c>
      <c r="AA23" s="44">
        <f>IF(AA$6=Input!$D$18,Input!$D$28,0)</f>
        <v>0</v>
      </c>
      <c r="AB23" s="44">
        <f>IF(AB$6=Input!$D$18,Input!$D$28,0)</f>
        <v>0</v>
      </c>
      <c r="AC23" s="44">
        <f>IF(AC$6=Input!$D$18,Input!$D$28,0)</f>
        <v>0</v>
      </c>
      <c r="AD23" s="44">
        <f>IF(AD$6=Input!$D$18,Input!$D$28,0)</f>
        <v>0</v>
      </c>
      <c r="AE23" s="44">
        <f>IF(AE$6=Input!$D$18,Input!$D$28,0)</f>
        <v>0</v>
      </c>
      <c r="AF23" s="44">
        <f>IF(AF$6=Input!$D$18,Input!$D$28,0)</f>
        <v>0</v>
      </c>
    </row>
    <row r="24" spans="1:32" ht="15" customHeight="1">
      <c r="A24" s="71" t="s">
        <v>612</v>
      </c>
      <c r="B24" s="72" t="s">
        <v>613</v>
      </c>
      <c r="C24" s="43">
        <f t="shared" ref="C24:AF24" si="3">C18-C21+C22+C23</f>
        <v>-2690.6</v>
      </c>
      <c r="D24" s="43">
        <f t="shared" si="3"/>
        <v>-3791.3</v>
      </c>
      <c r="E24" s="43">
        <f t="shared" si="3"/>
        <v>1242.067912</v>
      </c>
      <c r="F24" s="43">
        <f t="shared" si="3"/>
        <v>870.72697617599999</v>
      </c>
      <c r="G24" s="43">
        <f t="shared" si="3"/>
        <v>866.24111022364809</v>
      </c>
      <c r="H24" s="43">
        <f t="shared" si="3"/>
        <v>861.7093277632008</v>
      </c>
      <c r="I24" s="43">
        <f t="shared" si="3"/>
        <v>830.47654859473062</v>
      </c>
      <c r="J24" s="43">
        <f t="shared" si="3"/>
        <v>826.08122804007985</v>
      </c>
      <c r="K24" s="43">
        <f t="shared" si="3"/>
        <v>821.63936267911424</v>
      </c>
      <c r="L24" s="43">
        <f t="shared" si="3"/>
        <v>817.14993889249808</v>
      </c>
      <c r="M24" s="43">
        <f t="shared" si="3"/>
        <v>812.61192295395472</v>
      </c>
      <c r="N24" s="43">
        <f t="shared" si="3"/>
        <v>808.02426062779841</v>
      </c>
      <c r="O24" s="43">
        <f t="shared" si="3"/>
        <v>803.38587675841427</v>
      </c>
      <c r="P24" s="43">
        <f t="shared" si="3"/>
        <v>798.69567485153163</v>
      </c>
      <c r="Q24" s="43">
        <f t="shared" si="3"/>
        <v>793.95253664712027</v>
      </c>
      <c r="R24" s="43">
        <f t="shared" si="3"/>
        <v>764.67604883197225</v>
      </c>
      <c r="S24" s="43">
        <f t="shared" si="3"/>
        <v>760.0789863618993</v>
      </c>
      <c r="T24" s="43">
        <f t="shared" si="3"/>
        <v>707.49743093357176</v>
      </c>
      <c r="U24" s="43">
        <f t="shared" si="3"/>
        <v>703.31510104582867</v>
      </c>
      <c r="V24" s="43">
        <f t="shared" si="3"/>
        <v>699.08319672424363</v>
      </c>
      <c r="W24" s="43">
        <f t="shared" si="3"/>
        <v>694.8006583358117</v>
      </c>
      <c r="X24" s="43">
        <f t="shared" si="3"/>
        <v>690.46640519115726</v>
      </c>
      <c r="Y24" s="43">
        <f t="shared" si="3"/>
        <v>0</v>
      </c>
      <c r="Z24" s="43">
        <f t="shared" si="3"/>
        <v>0</v>
      </c>
      <c r="AA24" s="43">
        <f t="shared" si="3"/>
        <v>0</v>
      </c>
      <c r="AB24" s="43">
        <f t="shared" si="3"/>
        <v>0</v>
      </c>
      <c r="AC24" s="43">
        <f t="shared" si="3"/>
        <v>0</v>
      </c>
      <c r="AD24" s="43">
        <f t="shared" si="3"/>
        <v>0</v>
      </c>
      <c r="AE24" s="43">
        <f t="shared" si="3"/>
        <v>0</v>
      </c>
      <c r="AF24" s="43">
        <f t="shared" si="3"/>
        <v>0</v>
      </c>
    </row>
    <row r="25" spans="1:32" ht="15" customHeight="1">
      <c r="A25" s="71" t="s">
        <v>614</v>
      </c>
      <c r="B25" s="71" t="s">
        <v>615</v>
      </c>
      <c r="C25" s="52">
        <f>IF(C$6="",0,1/(1+Input!$D$77)^C$7)</f>
        <v>1</v>
      </c>
      <c r="D25" s="52">
        <f>IF(D$6="",0,1/(1+Input!$D$77)^D$7)</f>
        <v>0.90909090909090906</v>
      </c>
      <c r="E25" s="52">
        <f>IF(E$6="",0,1/(1+Input!$D$77)^E$7)</f>
        <v>0.82644628099173545</v>
      </c>
      <c r="F25" s="52">
        <f>IF(F$6="",0,1/(1+Input!$D$77)^F$7)</f>
        <v>0.75131480090157754</v>
      </c>
      <c r="G25" s="52">
        <f>IF(G$6="",0,1/(1+Input!$D$77)^G$7)</f>
        <v>0.68301345536507052</v>
      </c>
      <c r="H25" s="52">
        <f>IF(H$6="",0,1/(1+Input!$D$77)^H$7)</f>
        <v>0.62092132305915493</v>
      </c>
      <c r="I25" s="52">
        <f>IF(I$6="",0,1/(1+Input!$D$77)^I$7)</f>
        <v>0.56447393005377722</v>
      </c>
      <c r="J25" s="52">
        <f>IF(J$6="",0,1/(1+Input!$D$77)^J$7)</f>
        <v>0.51315811823070645</v>
      </c>
      <c r="K25" s="52">
        <f>IF(K$6="",0,1/(1+Input!$D$77)^K$7)</f>
        <v>0.46650738020973315</v>
      </c>
      <c r="L25" s="52">
        <f>IF(L$6="",0,1/(1+Input!$D$77)^L$7)</f>
        <v>0.42409761837248466</v>
      </c>
      <c r="M25" s="52">
        <f>IF(M$6="",0,1/(1+Input!$D$77)^M$7)</f>
        <v>0.38554328942953148</v>
      </c>
      <c r="N25" s="52">
        <f>IF(N$6="",0,1/(1+Input!$D$77)^N$7)</f>
        <v>0.3504938994813922</v>
      </c>
      <c r="O25" s="52">
        <f>IF(O$6="",0,1/(1+Input!$D$77)^O$7)</f>
        <v>0.31863081771035656</v>
      </c>
      <c r="P25" s="52">
        <f>IF(P$6="",0,1/(1+Input!$D$77)^P$7)</f>
        <v>0.28966437973668779</v>
      </c>
      <c r="Q25" s="52">
        <f>IF(Q$6="",0,1/(1+Input!$D$77)^Q$7)</f>
        <v>0.26333125430607973</v>
      </c>
      <c r="R25" s="52">
        <f>IF(R$6="",0,1/(1+Input!$D$77)^R$7)</f>
        <v>0.23939204936916339</v>
      </c>
      <c r="S25" s="52">
        <f>IF(S$6="",0,1/(1+Input!$D$77)^S$7)</f>
        <v>0.21762913579014853</v>
      </c>
      <c r="T25" s="52">
        <f>IF(T$6="",0,1/(1+Input!$D$77)^T$7)</f>
        <v>0.19784466890013502</v>
      </c>
      <c r="U25" s="52">
        <f>IF(U$6="",0,1/(1+Input!$D$77)^U$7)</f>
        <v>0.17985878990921364</v>
      </c>
      <c r="V25" s="52">
        <f>IF(V$6="",0,1/(1+Input!$D$77)^V$7)</f>
        <v>0.16350799082655781</v>
      </c>
      <c r="W25" s="52">
        <f>IF(W$6="",0,1/(1+Input!$D$77)^W$7)</f>
        <v>0.14864362802414349</v>
      </c>
      <c r="X25" s="52">
        <f>IF(X$6="",0,1/(1+Input!$D$77)^X$7)</f>
        <v>0.13513057093103953</v>
      </c>
      <c r="Y25" s="52">
        <f>IF(Y$6="",0,1/(1+Input!$D$77)^Y$7)</f>
        <v>0.12284597357367227</v>
      </c>
      <c r="Z25" s="52">
        <f>IF(Z$6="",0,1/(1+Input!$D$77)^Z$7)</f>
        <v>0.11167815779424752</v>
      </c>
      <c r="AA25" s="52">
        <f>IF(AA$6="",0,1/(1+Input!$D$77)^AA$7)</f>
        <v>0.10152559799477048</v>
      </c>
      <c r="AB25" s="52">
        <f>IF(AB$6="",0,1/(1+Input!$D$77)^AB$7)</f>
        <v>9.2295998177064048E-2</v>
      </c>
      <c r="AC25" s="52">
        <f>IF(AC$6="",0,1/(1+Input!$D$77)^AC$7)</f>
        <v>8.3905452888240042E-2</v>
      </c>
      <c r="AD25" s="52">
        <f>IF(AD$6="",0,1/(1+Input!$D$77)^AD$7)</f>
        <v>7.6277684443854576E-2</v>
      </c>
      <c r="AE25" s="52">
        <f>IF(AE$6="",0,1/(1+Input!$D$77)^AE$7)</f>
        <v>6.9343349494413245E-2</v>
      </c>
      <c r="AF25" s="52">
        <f>IF(AF$6="",0,1/(1+Input!$D$77)^AF$7)</f>
        <v>6.3039408631284766E-2</v>
      </c>
    </row>
    <row r="26" spans="1:32" ht="15" customHeight="1">
      <c r="A26" s="71" t="s">
        <v>616</v>
      </c>
      <c r="B26" s="72" t="s">
        <v>617</v>
      </c>
      <c r="C26" s="43">
        <f t="shared" ref="C26:AF26" si="4">C24*C25</f>
        <v>-2690.6</v>
      </c>
      <c r="D26" s="43">
        <f t="shared" si="4"/>
        <v>-3446.6363636363635</v>
      </c>
      <c r="E26" s="43">
        <f t="shared" si="4"/>
        <v>1026.5024066115702</v>
      </c>
      <c r="F26" s="43">
        <f t="shared" si="4"/>
        <v>654.19006474530408</v>
      </c>
      <c r="G26" s="43">
        <f t="shared" si="4"/>
        <v>591.65433387312885</v>
      </c>
      <c r="H26" s="43">
        <f t="shared" si="4"/>
        <v>535.05369588714166</v>
      </c>
      <c r="I26" s="43">
        <f t="shared" si="4"/>
        <v>468.78236120276426</v>
      </c>
      <c r="J26" s="43">
        <f t="shared" si="4"/>
        <v>423.91028848675847</v>
      </c>
      <c r="K26" s="43">
        <f t="shared" si="4"/>
        <v>383.30082656062837</v>
      </c>
      <c r="L26" s="43">
        <f t="shared" si="4"/>
        <v>346.5513429375298</v>
      </c>
      <c r="M26" s="43">
        <f t="shared" si="4"/>
        <v>313.29707380532471</v>
      </c>
      <c r="N26" s="43">
        <f t="shared" si="4"/>
        <v>283.20757398300583</v>
      </c>
      <c r="O26" s="43">
        <f t="shared" si="4"/>
        <v>255.98349884848528</v>
      </c>
      <c r="P26" s="43">
        <f t="shared" si="4"/>
        <v>231.35368725424419</v>
      </c>
      <c r="Q26" s="43">
        <f t="shared" si="4"/>
        <v>209.07251733477992</v>
      </c>
      <c r="R26" s="43">
        <f t="shared" si="4"/>
        <v>183.05736643340029</v>
      </c>
      <c r="S26" s="43">
        <f t="shared" si="4"/>
        <v>165.41533293419224</v>
      </c>
      <c r="T26" s="43">
        <f t="shared" si="4"/>
        <v>139.97459497074865</v>
      </c>
      <c r="U26" s="43">
        <f t="shared" si="4"/>
        <v>126.49740299897906</v>
      </c>
      <c r="V26" s="43">
        <f t="shared" si="4"/>
        <v>114.30568891698834</v>
      </c>
      <c r="W26" s="43">
        <f t="shared" si="4"/>
        <v>103.27769060859841</v>
      </c>
      <c r="X26" s="43">
        <f t="shared" si="4"/>
        <v>93.303119542183552</v>
      </c>
      <c r="Y26" s="43">
        <f t="shared" si="4"/>
        <v>0</v>
      </c>
      <c r="Z26" s="43">
        <f t="shared" si="4"/>
        <v>0</v>
      </c>
      <c r="AA26" s="43">
        <f t="shared" si="4"/>
        <v>0</v>
      </c>
      <c r="AB26" s="43">
        <f t="shared" si="4"/>
        <v>0</v>
      </c>
      <c r="AC26" s="43">
        <f t="shared" si="4"/>
        <v>0</v>
      </c>
      <c r="AD26" s="43">
        <f t="shared" si="4"/>
        <v>0</v>
      </c>
      <c r="AE26" s="43">
        <f t="shared" si="4"/>
        <v>0</v>
      </c>
      <c r="AF26" s="43">
        <f t="shared" si="4"/>
        <v>0</v>
      </c>
    </row>
    <row r="27" spans="1:32" ht="15" customHeight="1">
      <c r="A27" s="71" t="s">
        <v>618</v>
      </c>
      <c r="B27" s="72" t="s">
        <v>619</v>
      </c>
      <c r="C27" s="43">
        <f>C24</f>
        <v>-2690.6</v>
      </c>
      <c r="D27" s="43">
        <f t="shared" ref="D27:AF27" si="5">C27+D24</f>
        <v>-6481.9</v>
      </c>
      <c r="E27" s="43">
        <f t="shared" si="5"/>
        <v>-5239.8320879999992</v>
      </c>
      <c r="F27" s="43">
        <f t="shared" si="5"/>
        <v>-4369.1051118239993</v>
      </c>
      <c r="G27" s="43">
        <f t="shared" si="5"/>
        <v>-3502.864001600351</v>
      </c>
      <c r="H27" s="43">
        <f t="shared" si="5"/>
        <v>-2641.1546738371503</v>
      </c>
      <c r="I27" s="43">
        <f t="shared" si="5"/>
        <v>-1810.6781252424198</v>
      </c>
      <c r="J27" s="43">
        <f t="shared" si="5"/>
        <v>-984.59689720233996</v>
      </c>
      <c r="K27" s="43">
        <f t="shared" si="5"/>
        <v>-162.95753452322572</v>
      </c>
      <c r="L27" s="43">
        <f t="shared" si="5"/>
        <v>654.19240436927237</v>
      </c>
      <c r="M27" s="43">
        <f t="shared" si="5"/>
        <v>1466.804327323227</v>
      </c>
      <c r="N27" s="43">
        <f t="shared" si="5"/>
        <v>2274.8285879510254</v>
      </c>
      <c r="O27" s="43">
        <f t="shared" si="5"/>
        <v>3078.2144647094397</v>
      </c>
      <c r="P27" s="43">
        <f t="shared" si="5"/>
        <v>3876.9101395609714</v>
      </c>
      <c r="Q27" s="43">
        <f t="shared" si="5"/>
        <v>4670.8626762080912</v>
      </c>
      <c r="R27" s="43">
        <f t="shared" si="5"/>
        <v>5435.5387250400636</v>
      </c>
      <c r="S27" s="43">
        <f t="shared" si="5"/>
        <v>6195.6177114019629</v>
      </c>
      <c r="T27" s="43">
        <f t="shared" si="5"/>
        <v>6903.115142335535</v>
      </c>
      <c r="U27" s="43">
        <f t="shared" si="5"/>
        <v>7606.4302433813637</v>
      </c>
      <c r="V27" s="43">
        <f t="shared" si="5"/>
        <v>8305.5134401056075</v>
      </c>
      <c r="W27" s="43">
        <f t="shared" si="5"/>
        <v>9000.3140984414185</v>
      </c>
      <c r="X27" s="43">
        <f t="shared" si="5"/>
        <v>9690.7805036325753</v>
      </c>
      <c r="Y27" s="43">
        <f t="shared" si="5"/>
        <v>9690.7805036325753</v>
      </c>
      <c r="Z27" s="43">
        <f t="shared" si="5"/>
        <v>9690.7805036325753</v>
      </c>
      <c r="AA27" s="43">
        <f t="shared" si="5"/>
        <v>9690.7805036325753</v>
      </c>
      <c r="AB27" s="43">
        <f t="shared" si="5"/>
        <v>9690.7805036325753</v>
      </c>
      <c r="AC27" s="43">
        <f t="shared" si="5"/>
        <v>9690.7805036325753</v>
      </c>
      <c r="AD27" s="43">
        <f t="shared" si="5"/>
        <v>9690.7805036325753</v>
      </c>
      <c r="AE27" s="43">
        <f t="shared" si="5"/>
        <v>9690.7805036325753</v>
      </c>
      <c r="AF27" s="43">
        <f t="shared" si="5"/>
        <v>9690.7805036325753</v>
      </c>
    </row>
    <row r="28" spans="1:32" ht="15" customHeight="1">
      <c r="A28" s="71" t="s">
        <v>620</v>
      </c>
      <c r="B28" s="71" t="s">
        <v>621</v>
      </c>
      <c r="C28" s="47" t="str">
        <f t="shared" ref="C28:AF28" si="6">IF(C27&gt;=0,C$6,"")</f>
        <v/>
      </c>
      <c r="D28" s="47" t="str">
        <f t="shared" si="6"/>
        <v/>
      </c>
      <c r="E28" s="47" t="str">
        <f t="shared" si="6"/>
        <v/>
      </c>
      <c r="F28" s="47" t="str">
        <f t="shared" si="6"/>
        <v/>
      </c>
      <c r="G28" s="47" t="str">
        <f t="shared" si="6"/>
        <v/>
      </c>
      <c r="H28" s="47" t="str">
        <f t="shared" si="6"/>
        <v/>
      </c>
      <c r="I28" s="47" t="str">
        <f t="shared" si="6"/>
        <v/>
      </c>
      <c r="J28" s="47" t="str">
        <f t="shared" si="6"/>
        <v/>
      </c>
      <c r="K28" s="47" t="str">
        <f t="shared" si="6"/>
        <v/>
      </c>
      <c r="L28" s="47">
        <f t="shared" si="6"/>
        <v>2035</v>
      </c>
      <c r="M28" s="47">
        <f t="shared" si="6"/>
        <v>2036</v>
      </c>
      <c r="N28" s="47">
        <f t="shared" si="6"/>
        <v>2037</v>
      </c>
      <c r="O28" s="47">
        <f t="shared" si="6"/>
        <v>2038</v>
      </c>
      <c r="P28" s="47">
        <f t="shared" si="6"/>
        <v>2039</v>
      </c>
      <c r="Q28" s="47">
        <f t="shared" si="6"/>
        <v>2040</v>
      </c>
      <c r="R28" s="47">
        <f t="shared" si="6"/>
        <v>2041</v>
      </c>
      <c r="S28" s="47">
        <f t="shared" si="6"/>
        <v>2042</v>
      </c>
      <c r="T28" s="47">
        <f t="shared" si="6"/>
        <v>2043</v>
      </c>
      <c r="U28" s="47">
        <f t="shared" si="6"/>
        <v>2044</v>
      </c>
      <c r="V28" s="47">
        <f t="shared" si="6"/>
        <v>2045</v>
      </c>
      <c r="W28" s="47">
        <f t="shared" si="6"/>
        <v>2046</v>
      </c>
      <c r="X28" s="47">
        <f t="shared" si="6"/>
        <v>2047</v>
      </c>
      <c r="Y28" s="47">
        <f t="shared" si="6"/>
        <v>2048</v>
      </c>
      <c r="Z28" s="47">
        <f t="shared" si="6"/>
        <v>2049</v>
      </c>
      <c r="AA28" s="47">
        <f t="shared" si="6"/>
        <v>2050</v>
      </c>
      <c r="AB28" s="47">
        <f t="shared" si="6"/>
        <v>2051</v>
      </c>
      <c r="AC28" s="47">
        <f t="shared" si="6"/>
        <v>2052</v>
      </c>
      <c r="AD28" s="47">
        <f t="shared" si="6"/>
        <v>2053</v>
      </c>
      <c r="AE28" s="47">
        <f t="shared" si="6"/>
        <v>2054</v>
      </c>
      <c r="AF28" s="47">
        <f t="shared" si="6"/>
        <v>2055</v>
      </c>
    </row>
    <row r="29" spans="1:32" ht="15" customHeight="1">
      <c r="A29" s="71" t="s">
        <v>622</v>
      </c>
      <c r="B29" s="71" t="s">
        <v>623</v>
      </c>
      <c r="C29" s="44">
        <f t="shared" ref="C29:AF29" si="7">(C21-C22+C13-C23)*C25</f>
        <v>2690.6</v>
      </c>
      <c r="D29" s="44">
        <f t="shared" si="7"/>
        <v>3446.6363636363635</v>
      </c>
      <c r="E29" s="44">
        <f t="shared" si="7"/>
        <v>-202.14876033057851</v>
      </c>
      <c r="F29" s="44">
        <f t="shared" si="7"/>
        <v>93.723516153268193</v>
      </c>
      <c r="G29" s="44">
        <f t="shared" si="7"/>
        <v>86.907260433030515</v>
      </c>
      <c r="H29" s="44">
        <f t="shared" si="7"/>
        <v>80.586732401537361</v>
      </c>
      <c r="I29" s="44">
        <f t="shared" si="7"/>
        <v>74.725879135971027</v>
      </c>
      <c r="J29" s="44">
        <f t="shared" si="7"/>
        <v>69.291269744264028</v>
      </c>
      <c r="K29" s="44">
        <f t="shared" si="7"/>
        <v>64.251904671953909</v>
      </c>
      <c r="L29" s="44">
        <f t="shared" si="7"/>
        <v>59.579038877629976</v>
      </c>
      <c r="M29" s="44">
        <f t="shared" si="7"/>
        <v>55.246017868347792</v>
      </c>
      <c r="N29" s="44">
        <f t="shared" si="7"/>
        <v>51.228125659740677</v>
      </c>
      <c r="O29" s="44">
        <f t="shared" si="7"/>
        <v>47.502443793577726</v>
      </c>
      <c r="P29" s="44">
        <f t="shared" si="7"/>
        <v>44.047720608590247</v>
      </c>
      <c r="Q29" s="44">
        <f t="shared" si="7"/>
        <v>40.844250018874583</v>
      </c>
      <c r="R29" s="44">
        <f t="shared" si="7"/>
        <v>37.873759108410979</v>
      </c>
      <c r="S29" s="44">
        <f t="shared" si="7"/>
        <v>35.119303900526539</v>
      </c>
      <c r="T29" s="44">
        <f t="shared" si="7"/>
        <v>32.565172707760965</v>
      </c>
      <c r="U29" s="44">
        <f t="shared" si="7"/>
        <v>30.1967965108329</v>
      </c>
      <c r="V29" s="44">
        <f t="shared" si="7"/>
        <v>28.000665855499591</v>
      </c>
      <c r="W29" s="44">
        <f t="shared" si="7"/>
        <v>25.96425379328144</v>
      </c>
      <c r="X29" s="44">
        <f t="shared" si="7"/>
        <v>24.075944426497333</v>
      </c>
      <c r="Y29" s="44">
        <f t="shared" si="7"/>
        <v>0</v>
      </c>
      <c r="Z29" s="44">
        <f t="shared" si="7"/>
        <v>0</v>
      </c>
      <c r="AA29" s="44">
        <f t="shared" si="7"/>
        <v>0</v>
      </c>
      <c r="AB29" s="44">
        <f t="shared" si="7"/>
        <v>0</v>
      </c>
      <c r="AC29" s="44">
        <f t="shared" si="7"/>
        <v>0</v>
      </c>
      <c r="AD29" s="44">
        <f t="shared" si="7"/>
        <v>0</v>
      </c>
      <c r="AE29" s="44">
        <f t="shared" si="7"/>
        <v>0</v>
      </c>
      <c r="AF29" s="44">
        <f t="shared" si="7"/>
        <v>0</v>
      </c>
    </row>
    <row r="30" spans="1:32" ht="15" customHeight="1">
      <c r="A30" s="71" t="s">
        <v>624</v>
      </c>
      <c r="B30" s="71" t="s">
        <v>625</v>
      </c>
      <c r="C30" s="51">
        <f t="shared" ref="C30:AF30" si="8">C11*C25</f>
        <v>0</v>
      </c>
      <c r="D30" s="51">
        <f t="shared" si="8"/>
        <v>0</v>
      </c>
      <c r="E30" s="51">
        <f t="shared" si="8"/>
        <v>456099.17355371895</v>
      </c>
      <c r="F30" s="51">
        <f t="shared" si="8"/>
        <v>413806.3410969195</v>
      </c>
      <c r="G30" s="51">
        <f t="shared" si="8"/>
        <v>375435.20764975064</v>
      </c>
      <c r="H30" s="51">
        <f t="shared" si="8"/>
        <v>340622.12475859188</v>
      </c>
      <c r="I30" s="51">
        <f t="shared" si="8"/>
        <v>309037.16409915878</v>
      </c>
      <c r="J30" s="51">
        <f t="shared" si="8"/>
        <v>280380.99070087314</v>
      </c>
      <c r="K30" s="51">
        <f t="shared" si="8"/>
        <v>254382.02610861033</v>
      </c>
      <c r="L30" s="51">
        <f t="shared" si="8"/>
        <v>230793.87459672103</v>
      </c>
      <c r="M30" s="51">
        <f t="shared" si="8"/>
        <v>209392.98804320689</v>
      </c>
      <c r="N30" s="51">
        <f t="shared" si="8"/>
        <v>189976.54733374581</v>
      </c>
      <c r="O30" s="51">
        <f t="shared" si="8"/>
        <v>172360.54021734398</v>
      </c>
      <c r="P30" s="51">
        <f t="shared" si="8"/>
        <v>156378.01739719027</v>
      </c>
      <c r="Q30" s="51">
        <f t="shared" si="8"/>
        <v>141877.51032945077</v>
      </c>
      <c r="R30" s="51">
        <f t="shared" si="8"/>
        <v>128721.59573526532</v>
      </c>
      <c r="S30" s="51">
        <f t="shared" si="8"/>
        <v>116785.59322163163</v>
      </c>
      <c r="T30" s="51">
        <f t="shared" si="8"/>
        <v>105956.38366835305</v>
      </c>
      <c r="U30" s="51">
        <f t="shared" si="8"/>
        <v>96131.337182742122</v>
      </c>
      <c r="V30" s="51">
        <f t="shared" si="8"/>
        <v>87217.340462160573</v>
      </c>
      <c r="W30" s="51">
        <f t="shared" si="8"/>
        <v>79129.9143465784</v>
      </c>
      <c r="X30" s="51">
        <f t="shared" si="8"/>
        <v>71792.413198077513</v>
      </c>
      <c r="Y30" s="51">
        <f t="shared" si="8"/>
        <v>0</v>
      </c>
      <c r="Z30" s="51">
        <f t="shared" si="8"/>
        <v>0</v>
      </c>
      <c r="AA30" s="51">
        <f t="shared" si="8"/>
        <v>0</v>
      </c>
      <c r="AB30" s="51">
        <f t="shared" si="8"/>
        <v>0</v>
      </c>
      <c r="AC30" s="51">
        <f t="shared" si="8"/>
        <v>0</v>
      </c>
      <c r="AD30" s="51">
        <f t="shared" si="8"/>
        <v>0</v>
      </c>
      <c r="AE30" s="51">
        <f t="shared" si="8"/>
        <v>0</v>
      </c>
      <c r="AF30" s="51">
        <f t="shared" si="8"/>
        <v>0</v>
      </c>
    </row>
    <row r="31" spans="1:32" ht="15" customHeight="1">
      <c r="A31" s="71" t="s">
        <v>626</v>
      </c>
      <c r="B31" s="71" t="s">
        <v>627</v>
      </c>
      <c r="C31" s="51">
        <f>C11*1000*(1+Input!$D$49)^MAX(0,C$8-1)*C25</f>
        <v>0</v>
      </c>
      <c r="D31" s="51">
        <f>D11*1000*(1+Input!$D$49)^MAX(0,D$8-1)*D25</f>
        <v>0</v>
      </c>
      <c r="E31" s="51">
        <f>E11*1000*(1+Input!$D$49)^MAX(0,E$8-1)*E25</f>
        <v>456099173.55371898</v>
      </c>
      <c r="F31" s="51">
        <f>F11*1000*(1+Input!$D$49)^MAX(0,F$8-1)*F25</f>
        <v>413806341.09691948</v>
      </c>
      <c r="G31" s="51">
        <f>G11*1000*(1+Input!$D$49)^MAX(0,G$8-1)*G25</f>
        <v>375435207.64975059</v>
      </c>
      <c r="H31" s="51">
        <f>H11*1000*(1+Input!$D$49)^MAX(0,H$8-1)*H25</f>
        <v>340622124.75859189</v>
      </c>
      <c r="I31" s="51">
        <f>I11*1000*(1+Input!$D$49)^MAX(0,I$8-1)*I25</f>
        <v>309037164.09915882</v>
      </c>
      <c r="J31" s="51">
        <f>J11*1000*(1+Input!$D$49)^MAX(0,J$8-1)*J25</f>
        <v>280380990.70087308</v>
      </c>
      <c r="K31" s="51">
        <f>K11*1000*(1+Input!$D$49)^MAX(0,K$8-1)*K25</f>
        <v>254382026.1086103</v>
      </c>
      <c r="L31" s="51">
        <f>L11*1000*(1+Input!$D$49)^MAX(0,L$8-1)*L25</f>
        <v>230793874.59672102</v>
      </c>
      <c r="M31" s="51">
        <f>M11*1000*(1+Input!$D$49)^MAX(0,M$8-1)*M25</f>
        <v>209392988.04320687</v>
      </c>
      <c r="N31" s="51">
        <f>N11*1000*(1+Input!$D$49)^MAX(0,N$8-1)*N25</f>
        <v>189976547.33374584</v>
      </c>
      <c r="O31" s="51">
        <f>O11*1000*(1+Input!$D$49)^MAX(0,O$8-1)*O25</f>
        <v>172360540.21734396</v>
      </c>
      <c r="P31" s="51">
        <f>P11*1000*(1+Input!$D$49)^MAX(0,P$8-1)*P25</f>
        <v>156378017.39719027</v>
      </c>
      <c r="Q31" s="51">
        <f>Q11*1000*(1+Input!$D$49)^MAX(0,Q$8-1)*Q25</f>
        <v>141877510.32945079</v>
      </c>
      <c r="R31" s="51">
        <f>R11*1000*(1+Input!$D$49)^MAX(0,R$8-1)*R25</f>
        <v>128721595.7352653</v>
      </c>
      <c r="S31" s="51">
        <f>S11*1000*(1+Input!$D$49)^MAX(0,S$8-1)*S25</f>
        <v>116785593.22163163</v>
      </c>
      <c r="T31" s="51">
        <f>T11*1000*(1+Input!$D$49)^MAX(0,T$8-1)*T25</f>
        <v>105956383.66835307</v>
      </c>
      <c r="U31" s="51">
        <f>U11*1000*(1+Input!$D$49)^MAX(0,U$8-1)*U25</f>
        <v>96131337.182742119</v>
      </c>
      <c r="V31" s="51">
        <f>V11*1000*(1+Input!$D$49)^MAX(0,V$8-1)*V25</f>
        <v>87217340.462160572</v>
      </c>
      <c r="W31" s="51">
        <f>W11*1000*(1+Input!$D$49)^MAX(0,W$8-1)*W25</f>
        <v>79129914.346578404</v>
      </c>
      <c r="X31" s="51">
        <f>X11*1000*(1+Input!$D$49)^MAX(0,X$8-1)*X25</f>
        <v>71792413.1980775</v>
      </c>
      <c r="Y31" s="51">
        <f>Y11*1000*(1+Input!$D$49)^MAX(0,Y$8-1)*Y25</f>
        <v>0</v>
      </c>
      <c r="Z31" s="51">
        <f>Z11*1000*(1+Input!$D$49)^MAX(0,Z$8-1)*Z25</f>
        <v>0</v>
      </c>
      <c r="AA31" s="51">
        <f>AA11*1000*(1+Input!$D$49)^MAX(0,AA$8-1)*AA25</f>
        <v>0</v>
      </c>
      <c r="AB31" s="51">
        <f>AB11*1000*(1+Input!$D$49)^MAX(0,AB$8-1)*AB25</f>
        <v>0</v>
      </c>
      <c r="AC31" s="51">
        <f>AC11*1000*(1+Input!$D$49)^MAX(0,AC$8-1)*AC25</f>
        <v>0</v>
      </c>
      <c r="AD31" s="51">
        <f>AD11*1000*(1+Input!$D$49)^MAX(0,AD$8-1)*AD25</f>
        <v>0</v>
      </c>
      <c r="AE31" s="51">
        <f>AE11*1000*(1+Input!$D$49)^MAX(0,AE$8-1)*AE25</f>
        <v>0</v>
      </c>
      <c r="AF31" s="51">
        <f>AF11*1000*(1+Input!$D$49)^MAX(0,AF$8-1)*AF25</f>
        <v>0</v>
      </c>
    </row>
    <row r="32" spans="1:32" ht="15" customHeight="1">
      <c r="A32" s="69"/>
      <c r="B32" s="69"/>
      <c r="C32" s="64"/>
      <c r="D32" s="64"/>
      <c r="E32" s="64"/>
      <c r="F32" s="64"/>
      <c r="G32" s="64"/>
      <c r="H32" s="64"/>
      <c r="I32" s="64"/>
      <c r="J32" s="64"/>
      <c r="K32" s="64"/>
      <c r="L32" s="64"/>
      <c r="M32" s="64"/>
      <c r="N32" s="64"/>
      <c r="O32" s="64"/>
      <c r="P32" s="64"/>
      <c r="Q32" s="64"/>
      <c r="R32" s="64"/>
      <c r="S32" s="64"/>
      <c r="T32" s="64"/>
      <c r="U32" s="64"/>
      <c r="V32" s="64"/>
      <c r="W32" s="64"/>
      <c r="X32" s="64"/>
      <c r="Y32" s="64"/>
      <c r="Z32" s="64"/>
      <c r="AA32" s="64"/>
      <c r="AB32" s="64"/>
      <c r="AC32" s="64"/>
      <c r="AD32" s="64"/>
      <c r="AE32" s="64"/>
      <c r="AF32" s="64"/>
    </row>
    <row r="33" spans="1:32" ht="15" customHeight="1">
      <c r="A33" s="140" t="s">
        <v>628</v>
      </c>
      <c r="B33" s="140"/>
      <c r="C33" s="141"/>
      <c r="D33" s="141"/>
      <c r="E33" s="141"/>
      <c r="F33" s="141"/>
      <c r="G33" s="141"/>
      <c r="H33" s="141"/>
      <c r="I33" s="141"/>
      <c r="J33" s="141"/>
      <c r="K33" s="141"/>
      <c r="L33" s="141"/>
      <c r="M33" s="141"/>
      <c r="N33" s="141"/>
      <c r="O33" s="141"/>
      <c r="P33" s="141"/>
      <c r="Q33" s="141"/>
      <c r="R33" s="141"/>
      <c r="S33" s="141"/>
      <c r="T33" s="141"/>
      <c r="U33" s="141"/>
      <c r="V33" s="141"/>
      <c r="W33" s="141"/>
      <c r="X33" s="141"/>
      <c r="Y33" s="141"/>
      <c r="Z33" s="141"/>
      <c r="AA33" s="141"/>
      <c r="AB33" s="141"/>
      <c r="AC33" s="141"/>
      <c r="AD33" s="141"/>
      <c r="AE33" s="141"/>
      <c r="AF33" s="141"/>
    </row>
    <row r="34" spans="1:32" ht="15" customHeight="1">
      <c r="A34" s="69" t="s">
        <v>539</v>
      </c>
      <c r="B34" s="69" t="s">
        <v>130</v>
      </c>
      <c r="C34" s="75">
        <f>IF(COUNTIF(C24:AF24,"&lt;0")*COUNTIF(C24:AF24,"&gt;0")=0,0,IRR(C24:AF24))</f>
        <v>0.11231179217095022</v>
      </c>
      <c r="D34" s="64"/>
      <c r="E34" s="64"/>
      <c r="F34" s="64"/>
      <c r="G34" s="64"/>
      <c r="H34" s="64"/>
      <c r="I34" s="64"/>
      <c r="J34" s="64"/>
      <c r="K34" s="64"/>
      <c r="L34" s="64"/>
      <c r="M34" s="64"/>
      <c r="N34" s="64"/>
      <c r="O34" s="64"/>
      <c r="P34" s="64"/>
      <c r="Q34" s="64"/>
      <c r="R34" s="64"/>
      <c r="S34" s="64"/>
      <c r="T34" s="64"/>
      <c r="U34" s="64"/>
      <c r="V34" s="64"/>
      <c r="W34" s="64"/>
      <c r="X34" s="64"/>
      <c r="Y34" s="64"/>
      <c r="Z34" s="64"/>
      <c r="AA34" s="64"/>
      <c r="AB34" s="64"/>
      <c r="AC34" s="64"/>
      <c r="AD34" s="64"/>
      <c r="AE34" s="64"/>
      <c r="AF34" s="64"/>
    </row>
    <row r="35" spans="1:32" ht="15" customHeight="1">
      <c r="A35" s="69" t="s">
        <v>540</v>
      </c>
      <c r="B35" s="69" t="s">
        <v>134</v>
      </c>
      <c r="C35" s="67">
        <f>SUM(C26:AF26)</f>
        <v>511.45450429939251</v>
      </c>
      <c r="D35" s="64"/>
      <c r="E35" s="64"/>
      <c r="F35" s="64"/>
      <c r="G35" s="64"/>
      <c r="H35" s="64"/>
      <c r="I35" s="64"/>
      <c r="J35" s="64"/>
      <c r="K35" s="64"/>
      <c r="L35" s="64"/>
      <c r="M35" s="64"/>
      <c r="N35" s="64"/>
      <c r="O35" s="64"/>
      <c r="P35" s="64"/>
      <c r="Q35" s="64"/>
      <c r="R35" s="64"/>
      <c r="S35" s="64"/>
      <c r="T35" s="64"/>
      <c r="U35" s="64"/>
      <c r="V35" s="64"/>
      <c r="W35" s="64"/>
      <c r="X35" s="64"/>
      <c r="Y35" s="64"/>
      <c r="Z35" s="64"/>
      <c r="AA35" s="64"/>
      <c r="AB35" s="64"/>
      <c r="AC35" s="64"/>
      <c r="AD35" s="64"/>
      <c r="AE35" s="64"/>
      <c r="AF35" s="64"/>
    </row>
    <row r="36" spans="1:32" ht="15" customHeight="1">
      <c r="A36" s="69" t="s">
        <v>541</v>
      </c>
      <c r="B36" s="69" t="s">
        <v>629</v>
      </c>
      <c r="C36" s="76">
        <f>IF(COUNT(C28:AF28)=0,0,MIN(C28:AF28))</f>
        <v>2035</v>
      </c>
      <c r="D36" s="64"/>
      <c r="E36" s="64"/>
      <c r="F36" s="64"/>
      <c r="G36" s="64"/>
      <c r="H36" s="64"/>
      <c r="I36" s="64"/>
      <c r="J36" s="64"/>
      <c r="K36" s="64"/>
      <c r="L36" s="64"/>
      <c r="M36" s="64"/>
      <c r="N36" s="64"/>
      <c r="O36" s="64"/>
      <c r="P36" s="64"/>
      <c r="Q36" s="64"/>
      <c r="R36" s="64"/>
      <c r="S36" s="64"/>
      <c r="T36" s="64"/>
      <c r="U36" s="64"/>
      <c r="V36" s="64"/>
      <c r="W36" s="64"/>
      <c r="X36" s="64"/>
      <c r="Y36" s="64"/>
      <c r="Z36" s="64"/>
      <c r="AA36" s="64"/>
      <c r="AB36" s="64"/>
      <c r="AC36" s="64"/>
      <c r="AD36" s="64"/>
      <c r="AE36" s="64"/>
      <c r="AF36" s="64"/>
    </row>
    <row r="37" spans="1:32" ht="15" customHeight="1">
      <c r="A37" s="69" t="s">
        <v>543</v>
      </c>
      <c r="B37" s="69" t="s">
        <v>630</v>
      </c>
      <c r="C37" s="76">
        <f>IF(C36=0,0,C36-Input!$D$14)</f>
        <v>9</v>
      </c>
      <c r="D37" s="64"/>
      <c r="E37" s="64"/>
      <c r="F37" s="64"/>
      <c r="G37" s="64"/>
      <c r="H37" s="64"/>
      <c r="I37" s="64"/>
      <c r="J37" s="64"/>
      <c r="K37" s="64"/>
      <c r="L37" s="64"/>
      <c r="M37" s="64"/>
      <c r="N37" s="64"/>
      <c r="O37" s="64"/>
      <c r="P37" s="64"/>
      <c r="Q37" s="64"/>
      <c r="R37" s="64"/>
      <c r="S37" s="64"/>
      <c r="T37" s="64"/>
      <c r="U37" s="64"/>
      <c r="V37" s="64"/>
      <c r="W37" s="64"/>
      <c r="X37" s="64"/>
      <c r="Y37" s="64"/>
      <c r="Z37" s="64"/>
      <c r="AA37" s="64"/>
      <c r="AB37" s="64"/>
      <c r="AC37" s="64"/>
      <c r="AD37" s="64"/>
      <c r="AE37" s="64"/>
      <c r="AF37" s="64"/>
    </row>
    <row r="38" spans="1:32" ht="15" customHeight="1">
      <c r="A38" s="69" t="s">
        <v>544</v>
      </c>
      <c r="B38" s="69" t="s">
        <v>87</v>
      </c>
      <c r="C38" s="67">
        <f>IF(SUM(C30:AF30)=0,0,SUM(C29:AF29)/SUM(C30:AF30)*1000000)</f>
        <v>1640.503582109307</v>
      </c>
      <c r="D38" s="64"/>
      <c r="E38" s="64"/>
      <c r="F38" s="64"/>
      <c r="G38" s="64"/>
      <c r="H38" s="64"/>
      <c r="I38" s="64"/>
      <c r="J38" s="64"/>
      <c r="K38" s="64"/>
      <c r="L38" s="64"/>
      <c r="M38" s="64"/>
      <c r="N38" s="64"/>
      <c r="O38" s="64"/>
      <c r="P38" s="64"/>
      <c r="Q38" s="64"/>
      <c r="R38" s="64"/>
      <c r="S38" s="64"/>
      <c r="T38" s="64"/>
      <c r="U38" s="64"/>
      <c r="V38" s="64"/>
      <c r="W38" s="64"/>
      <c r="X38" s="64"/>
      <c r="Y38" s="64"/>
      <c r="Z38" s="64"/>
      <c r="AA38" s="64"/>
      <c r="AB38" s="64"/>
      <c r="AC38" s="64"/>
      <c r="AD38" s="64"/>
      <c r="AE38" s="64"/>
      <c r="AF38" s="64"/>
    </row>
    <row r="39" spans="1:32" ht="15" customHeight="1">
      <c r="A39" s="69" t="s">
        <v>546</v>
      </c>
      <c r="B39" s="69" t="s">
        <v>631</v>
      </c>
      <c r="C39" s="67">
        <f>IF(SUM(C31:AF31)=0,0,SUM(C29:AF29)*1000000000/SUM(C31:AF31))</f>
        <v>1640.5035821093074</v>
      </c>
      <c r="D39" s="64"/>
      <c r="E39" s="64"/>
      <c r="F39" s="64"/>
      <c r="G39" s="64"/>
      <c r="H39" s="64"/>
      <c r="I39" s="64"/>
      <c r="J39" s="64"/>
      <c r="K39" s="64"/>
      <c r="L39" s="64"/>
      <c r="M39" s="64"/>
      <c r="N39" s="64"/>
      <c r="O39" s="64"/>
      <c r="P39" s="64"/>
      <c r="Q39" s="64"/>
      <c r="R39" s="64"/>
      <c r="S39" s="64"/>
      <c r="T39" s="64"/>
      <c r="U39" s="64"/>
      <c r="V39" s="64"/>
      <c r="W39" s="64"/>
      <c r="X39" s="64"/>
      <c r="Y39" s="64"/>
      <c r="Z39" s="64"/>
      <c r="AA39" s="64"/>
      <c r="AB39" s="64"/>
      <c r="AC39" s="64"/>
      <c r="AD39" s="64"/>
      <c r="AE39" s="64"/>
      <c r="AF39" s="64"/>
    </row>
    <row r="40" spans="1:32" ht="15" customHeight="1">
      <c r="A40" s="69"/>
      <c r="B40" s="69"/>
      <c r="C40" s="64"/>
      <c r="D40" s="64"/>
      <c r="E40" s="64"/>
      <c r="F40" s="64"/>
      <c r="G40" s="64"/>
      <c r="H40" s="64"/>
      <c r="I40" s="64"/>
      <c r="J40" s="64"/>
      <c r="K40" s="64"/>
      <c r="L40" s="64"/>
      <c r="M40" s="64"/>
      <c r="N40" s="64"/>
      <c r="O40" s="64"/>
      <c r="P40" s="64"/>
      <c r="Q40" s="64"/>
      <c r="R40" s="64"/>
      <c r="S40" s="64"/>
      <c r="T40" s="64"/>
      <c r="U40" s="64"/>
      <c r="V40" s="64"/>
      <c r="W40" s="64"/>
      <c r="X40" s="64"/>
      <c r="Y40" s="64"/>
      <c r="Z40" s="64"/>
      <c r="AA40" s="64"/>
      <c r="AB40" s="64"/>
      <c r="AC40" s="64"/>
      <c r="AD40" s="64"/>
      <c r="AE40" s="64"/>
      <c r="AF40" s="64"/>
    </row>
    <row r="41" spans="1:32">
      <c r="A41" s="40"/>
      <c r="B41" s="40"/>
      <c r="C41" s="40"/>
      <c r="D41" s="40"/>
      <c r="E41" s="40"/>
      <c r="F41" s="40"/>
      <c r="G41" s="40"/>
      <c r="H41" s="40"/>
      <c r="I41" s="40"/>
      <c r="J41" s="40"/>
      <c r="K41" s="40"/>
      <c r="L41" s="40"/>
      <c r="M41" s="40"/>
      <c r="N41" s="40"/>
      <c r="O41" s="40"/>
      <c r="P41" s="40"/>
      <c r="Q41" s="40"/>
      <c r="R41" s="40"/>
      <c r="S41" s="40"/>
      <c r="T41" s="40"/>
      <c r="U41" s="40"/>
      <c r="V41" s="40"/>
      <c r="W41" s="40"/>
      <c r="X41" s="40"/>
      <c r="Y41" s="40"/>
      <c r="Z41" s="40"/>
      <c r="AA41" s="40"/>
      <c r="AB41" s="40"/>
      <c r="AC41" s="40"/>
      <c r="AD41" s="40"/>
      <c r="AE41" s="40"/>
      <c r="AF41" s="40"/>
    </row>
    <row r="42" spans="1:32">
      <c r="A42" s="40"/>
      <c r="B42" s="40"/>
      <c r="C42" s="40"/>
      <c r="D42" s="40"/>
      <c r="E42" s="40"/>
      <c r="F42" s="40"/>
      <c r="G42" s="40"/>
      <c r="H42" s="40"/>
      <c r="I42" s="40"/>
      <c r="J42" s="40"/>
      <c r="K42" s="40"/>
      <c r="L42" s="40"/>
      <c r="M42" s="40"/>
      <c r="N42" s="40"/>
      <c r="O42" s="40"/>
      <c r="P42" s="40"/>
      <c r="Q42" s="40"/>
      <c r="R42" s="40"/>
      <c r="S42" s="40"/>
      <c r="T42" s="40"/>
      <c r="U42" s="40"/>
      <c r="V42" s="40"/>
      <c r="W42" s="40"/>
      <c r="X42" s="40"/>
      <c r="Y42" s="40"/>
      <c r="Z42" s="40"/>
      <c r="AA42" s="40"/>
      <c r="AB42" s="40"/>
      <c r="AC42" s="40"/>
      <c r="AD42" s="40"/>
      <c r="AE42" s="40"/>
      <c r="AF42" s="40"/>
    </row>
    <row r="43" spans="1:32">
      <c r="A43" s="40"/>
      <c r="B43" s="40"/>
      <c r="C43" s="40"/>
      <c r="D43" s="40"/>
      <c r="E43" s="40"/>
      <c r="F43" s="40"/>
      <c r="G43" s="40"/>
      <c r="H43" s="40"/>
      <c r="I43" s="40"/>
      <c r="J43" s="40"/>
      <c r="K43" s="40"/>
      <c r="L43" s="40"/>
      <c r="M43" s="40"/>
      <c r="N43" s="40"/>
      <c r="O43" s="40"/>
      <c r="P43" s="40"/>
      <c r="Q43" s="40"/>
      <c r="R43" s="40"/>
      <c r="S43" s="40"/>
      <c r="T43" s="40"/>
      <c r="U43" s="40"/>
      <c r="V43" s="40"/>
      <c r="W43" s="40"/>
      <c r="X43" s="40"/>
      <c r="Y43" s="40"/>
      <c r="Z43" s="40"/>
      <c r="AA43" s="40"/>
      <c r="AB43" s="40"/>
      <c r="AC43" s="40"/>
      <c r="AD43" s="40"/>
      <c r="AE43" s="40"/>
      <c r="AF43" s="40"/>
    </row>
    <row r="44" spans="1:32">
      <c r="A44" s="40"/>
      <c r="B44" s="40"/>
      <c r="C44" s="40"/>
      <c r="D44" s="40"/>
      <c r="E44" s="40"/>
      <c r="F44" s="40"/>
      <c r="G44" s="40"/>
      <c r="H44" s="40"/>
      <c r="I44" s="40"/>
      <c r="J44" s="40"/>
      <c r="K44" s="40"/>
      <c r="L44" s="40"/>
      <c r="M44" s="40"/>
      <c r="N44" s="40"/>
      <c r="O44" s="40"/>
      <c r="P44" s="40"/>
      <c r="Q44" s="40"/>
      <c r="R44" s="40"/>
      <c r="S44" s="40"/>
      <c r="T44" s="40"/>
      <c r="U44" s="40"/>
      <c r="V44" s="40"/>
      <c r="W44" s="40"/>
      <c r="X44" s="40"/>
      <c r="Y44" s="40"/>
      <c r="Z44" s="40"/>
      <c r="AA44" s="40"/>
      <c r="AB44" s="40"/>
      <c r="AC44" s="40"/>
      <c r="AD44" s="40"/>
      <c r="AE44" s="40"/>
      <c r="AF44" s="40"/>
    </row>
    <row r="45" spans="1:32">
      <c r="A45" s="40"/>
      <c r="B45" s="40"/>
      <c r="C45" s="40"/>
      <c r="D45" s="40"/>
      <c r="E45" s="40"/>
      <c r="F45" s="40"/>
      <c r="G45" s="40"/>
      <c r="H45" s="40"/>
      <c r="I45" s="40"/>
      <c r="J45" s="40"/>
      <c r="K45" s="40"/>
      <c r="L45" s="40"/>
      <c r="M45" s="40"/>
      <c r="N45" s="40"/>
      <c r="O45" s="40"/>
      <c r="P45" s="40"/>
      <c r="Q45" s="40"/>
      <c r="R45" s="40"/>
      <c r="S45" s="40"/>
      <c r="T45" s="40"/>
      <c r="U45" s="40"/>
      <c r="V45" s="40"/>
      <c r="W45" s="40"/>
      <c r="X45" s="40"/>
      <c r="Y45" s="40"/>
      <c r="Z45" s="40"/>
      <c r="AA45" s="40"/>
      <c r="AB45" s="40"/>
      <c r="AC45" s="40"/>
      <c r="AD45" s="40"/>
      <c r="AE45" s="40"/>
      <c r="AF45" s="40"/>
    </row>
    <row r="46" spans="1:32">
      <c r="A46" s="40"/>
      <c r="B46" s="40"/>
      <c r="C46" s="40"/>
      <c r="D46" s="40"/>
      <c r="E46" s="40"/>
      <c r="F46" s="40"/>
      <c r="G46" s="40"/>
      <c r="H46" s="40"/>
      <c r="I46" s="40"/>
      <c r="J46" s="40"/>
      <c r="K46" s="40"/>
      <c r="L46" s="40"/>
      <c r="M46" s="40"/>
      <c r="N46" s="40"/>
      <c r="O46" s="40"/>
      <c r="P46" s="40"/>
      <c r="Q46" s="40"/>
      <c r="R46" s="40"/>
      <c r="S46" s="40"/>
      <c r="T46" s="40"/>
      <c r="U46" s="40"/>
      <c r="V46" s="40"/>
      <c r="W46" s="40"/>
      <c r="X46" s="40"/>
      <c r="Y46" s="40"/>
      <c r="Z46" s="40"/>
      <c r="AA46" s="40"/>
      <c r="AB46" s="40"/>
      <c r="AC46" s="40"/>
      <c r="AD46" s="40"/>
      <c r="AE46" s="40"/>
      <c r="AF46" s="40"/>
    </row>
    <row r="47" spans="1:32">
      <c r="A47" s="40"/>
      <c r="B47" s="40"/>
      <c r="C47" s="40"/>
      <c r="D47" s="40"/>
      <c r="E47" s="40"/>
      <c r="F47" s="40"/>
      <c r="G47" s="40"/>
      <c r="H47" s="40"/>
      <c r="I47" s="40"/>
      <c r="J47" s="40"/>
      <c r="K47" s="40"/>
      <c r="L47" s="40"/>
      <c r="M47" s="40"/>
      <c r="N47" s="40"/>
      <c r="O47" s="40"/>
      <c r="P47" s="40"/>
      <c r="Q47" s="40"/>
      <c r="R47" s="40"/>
      <c r="S47" s="40"/>
      <c r="T47" s="40"/>
      <c r="U47" s="40"/>
      <c r="V47" s="40"/>
      <c r="W47" s="40"/>
      <c r="X47" s="40"/>
      <c r="Y47" s="40"/>
      <c r="Z47" s="40"/>
      <c r="AA47" s="40"/>
      <c r="AB47" s="40"/>
      <c r="AC47" s="40"/>
      <c r="AD47" s="40"/>
      <c r="AE47" s="40"/>
      <c r="AF47" s="40"/>
    </row>
    <row r="48" spans="1:32">
      <c r="A48" s="40"/>
      <c r="B48" s="40"/>
      <c r="C48" s="40"/>
      <c r="D48" s="40"/>
      <c r="E48" s="40"/>
      <c r="F48" s="40"/>
      <c r="G48" s="40"/>
      <c r="H48" s="40"/>
      <c r="I48" s="40"/>
      <c r="J48" s="40"/>
      <c r="K48" s="40"/>
      <c r="L48" s="40"/>
      <c r="M48" s="40"/>
      <c r="N48" s="40"/>
      <c r="O48" s="40"/>
      <c r="P48" s="40"/>
      <c r="Q48" s="40"/>
      <c r="R48" s="40"/>
      <c r="S48" s="40"/>
      <c r="T48" s="40"/>
      <c r="U48" s="40"/>
      <c r="V48" s="40"/>
      <c r="W48" s="40"/>
      <c r="X48" s="40"/>
      <c r="Y48" s="40"/>
      <c r="Z48" s="40"/>
      <c r="AA48" s="40"/>
      <c r="AB48" s="40"/>
      <c r="AC48" s="40"/>
      <c r="AD48" s="40"/>
      <c r="AE48" s="40"/>
      <c r="AF48" s="40"/>
    </row>
    <row r="49" spans="1:32">
      <c r="A49" s="40"/>
      <c r="B49" s="40"/>
      <c r="C49" s="40"/>
      <c r="D49" s="40"/>
      <c r="E49" s="40"/>
      <c r="F49" s="40"/>
      <c r="G49" s="40"/>
      <c r="H49" s="40"/>
      <c r="I49" s="40"/>
      <c r="J49" s="40"/>
      <c r="K49" s="40"/>
      <c r="L49" s="40"/>
      <c r="M49" s="40"/>
      <c r="N49" s="40"/>
      <c r="O49" s="40"/>
      <c r="P49" s="40"/>
      <c r="Q49" s="40"/>
      <c r="R49" s="40"/>
      <c r="S49" s="40"/>
      <c r="T49" s="40"/>
      <c r="U49" s="40"/>
      <c r="V49" s="40"/>
      <c r="W49" s="40"/>
      <c r="X49" s="40"/>
      <c r="Y49" s="40"/>
      <c r="Z49" s="40"/>
      <c r="AA49" s="40"/>
      <c r="AB49" s="40"/>
      <c r="AC49" s="40"/>
      <c r="AD49" s="40"/>
      <c r="AE49" s="40"/>
      <c r="AF49" s="40"/>
    </row>
    <row r="50" spans="1:32">
      <c r="A50" s="40"/>
      <c r="B50" s="40"/>
      <c r="C50" s="40"/>
      <c r="D50" s="40"/>
      <c r="E50" s="40"/>
      <c r="F50" s="40"/>
      <c r="G50" s="40"/>
      <c r="H50" s="40"/>
      <c r="I50" s="40"/>
      <c r="J50" s="40"/>
      <c r="K50" s="40"/>
      <c r="L50" s="40"/>
      <c r="M50" s="40"/>
      <c r="N50" s="40"/>
      <c r="O50" s="40"/>
      <c r="P50" s="40"/>
      <c r="Q50" s="40"/>
      <c r="R50" s="40"/>
      <c r="S50" s="40"/>
      <c r="T50" s="40"/>
      <c r="U50" s="40"/>
      <c r="V50" s="40"/>
      <c r="W50" s="40"/>
      <c r="X50" s="40"/>
      <c r="Y50" s="40"/>
      <c r="Z50" s="40"/>
      <c r="AA50" s="40"/>
      <c r="AB50" s="40"/>
      <c r="AC50" s="40"/>
      <c r="AD50" s="40"/>
      <c r="AE50" s="40"/>
      <c r="AF50" s="40"/>
    </row>
    <row r="51" spans="1:32">
      <c r="A51" s="40"/>
      <c r="B51" s="40"/>
      <c r="C51" s="40"/>
      <c r="D51" s="40"/>
      <c r="E51" s="40"/>
      <c r="F51" s="40"/>
      <c r="G51" s="40"/>
      <c r="H51" s="40"/>
      <c r="I51" s="40"/>
      <c r="J51" s="40"/>
      <c r="K51" s="40"/>
      <c r="L51" s="40"/>
      <c r="M51" s="40"/>
      <c r="N51" s="40"/>
      <c r="O51" s="40"/>
      <c r="P51" s="40"/>
      <c r="Q51" s="40"/>
      <c r="R51" s="40"/>
      <c r="S51" s="40"/>
      <c r="T51" s="40"/>
      <c r="U51" s="40"/>
      <c r="V51" s="40"/>
      <c r="W51" s="40"/>
      <c r="X51" s="40"/>
      <c r="Y51" s="40"/>
      <c r="Z51" s="40"/>
      <c r="AA51" s="40"/>
      <c r="AB51" s="40"/>
      <c r="AC51" s="40"/>
      <c r="AD51" s="40"/>
      <c r="AE51" s="40"/>
      <c r="AF51" s="40"/>
    </row>
    <row r="52" spans="1:32">
      <c r="A52" s="40"/>
      <c r="B52" s="40"/>
      <c r="C52" s="40"/>
      <c r="D52" s="40"/>
      <c r="E52" s="40"/>
      <c r="F52" s="40"/>
      <c r="G52" s="40"/>
      <c r="H52" s="40"/>
      <c r="I52" s="40"/>
      <c r="J52" s="40"/>
      <c r="K52" s="40"/>
      <c r="L52" s="40"/>
      <c r="M52" s="40"/>
      <c r="N52" s="40"/>
      <c r="O52" s="40"/>
      <c r="P52" s="40"/>
      <c r="Q52" s="40"/>
      <c r="R52" s="40"/>
      <c r="S52" s="40"/>
      <c r="T52" s="40"/>
      <c r="U52" s="40"/>
      <c r="V52" s="40"/>
      <c r="W52" s="40"/>
      <c r="X52" s="40"/>
      <c r="Y52" s="40"/>
      <c r="Z52" s="40"/>
      <c r="AA52" s="40"/>
      <c r="AB52" s="40"/>
      <c r="AC52" s="40"/>
      <c r="AD52" s="40"/>
      <c r="AE52" s="40"/>
      <c r="AF52" s="40"/>
    </row>
    <row r="53" spans="1:32">
      <c r="A53" s="40"/>
      <c r="B53" s="40"/>
      <c r="C53" s="40"/>
      <c r="D53" s="40"/>
      <c r="E53" s="40"/>
      <c r="F53" s="40"/>
      <c r="G53" s="40"/>
      <c r="H53" s="40"/>
      <c r="I53" s="40"/>
      <c r="J53" s="40"/>
      <c r="K53" s="40"/>
      <c r="L53" s="40"/>
      <c r="M53" s="40"/>
      <c r="N53" s="40"/>
      <c r="O53" s="40"/>
      <c r="P53" s="40"/>
      <c r="Q53" s="40"/>
      <c r="R53" s="40"/>
      <c r="S53" s="40"/>
      <c r="T53" s="40"/>
      <c r="U53" s="40"/>
      <c r="V53" s="40"/>
      <c r="W53" s="40"/>
      <c r="X53" s="40"/>
      <c r="Y53" s="40"/>
      <c r="Z53" s="40"/>
      <c r="AA53" s="40"/>
      <c r="AB53" s="40"/>
      <c r="AC53" s="40"/>
      <c r="AD53" s="40"/>
      <c r="AE53" s="40"/>
      <c r="AF53" s="40"/>
    </row>
    <row r="54" spans="1:32">
      <c r="A54" s="40"/>
      <c r="B54" s="40"/>
      <c r="C54" s="40"/>
      <c r="D54" s="40"/>
      <c r="E54" s="40"/>
      <c r="F54" s="40"/>
      <c r="G54" s="40"/>
      <c r="H54" s="40"/>
      <c r="I54" s="40"/>
      <c r="J54" s="40"/>
      <c r="K54" s="40"/>
      <c r="L54" s="40"/>
      <c r="M54" s="40"/>
      <c r="N54" s="40"/>
      <c r="O54" s="40"/>
      <c r="P54" s="40"/>
      <c r="Q54" s="40"/>
      <c r="R54" s="40"/>
      <c r="S54" s="40"/>
      <c r="T54" s="40"/>
      <c r="U54" s="40"/>
      <c r="V54" s="40"/>
      <c r="W54" s="40"/>
      <c r="X54" s="40"/>
      <c r="Y54" s="40"/>
      <c r="Z54" s="40"/>
      <c r="AA54" s="40"/>
      <c r="AB54" s="40"/>
      <c r="AC54" s="40"/>
      <c r="AD54" s="40"/>
      <c r="AE54" s="40"/>
      <c r="AF54" s="40"/>
    </row>
    <row r="55" spans="1:32">
      <c r="A55" s="40"/>
      <c r="B55" s="40"/>
      <c r="C55" s="40"/>
      <c r="D55" s="40"/>
      <c r="E55" s="40"/>
      <c r="F55" s="40"/>
      <c r="G55" s="40"/>
      <c r="H55" s="40"/>
      <c r="I55" s="40"/>
      <c r="J55" s="40"/>
      <c r="K55" s="40"/>
      <c r="L55" s="40"/>
      <c r="M55" s="40"/>
      <c r="N55" s="40"/>
      <c r="O55" s="40"/>
      <c r="P55" s="40"/>
      <c r="Q55" s="40"/>
      <c r="R55" s="40"/>
      <c r="S55" s="40"/>
      <c r="T55" s="40"/>
      <c r="U55" s="40"/>
      <c r="V55" s="40"/>
      <c r="W55" s="40"/>
      <c r="X55" s="40"/>
      <c r="Y55" s="40"/>
      <c r="Z55" s="40"/>
      <c r="AA55" s="40"/>
      <c r="AB55" s="40"/>
      <c r="AC55" s="40"/>
      <c r="AD55" s="40"/>
      <c r="AE55" s="40"/>
      <c r="AF55" s="40"/>
    </row>
    <row r="56" spans="1:32">
      <c r="A56" s="40"/>
      <c r="B56" s="40"/>
      <c r="C56" s="40"/>
      <c r="D56" s="40"/>
      <c r="E56" s="40"/>
      <c r="F56" s="40"/>
      <c r="G56" s="40"/>
      <c r="H56" s="40"/>
      <c r="I56" s="40"/>
      <c r="J56" s="40"/>
      <c r="K56" s="40"/>
      <c r="L56" s="40"/>
      <c r="M56" s="40"/>
      <c r="N56" s="40"/>
      <c r="O56" s="40"/>
      <c r="P56" s="40"/>
      <c r="Q56" s="40"/>
      <c r="R56" s="40"/>
      <c r="S56" s="40"/>
      <c r="T56" s="40"/>
      <c r="U56" s="40"/>
      <c r="V56" s="40"/>
      <c r="W56" s="40"/>
      <c r="X56" s="40"/>
      <c r="Y56" s="40"/>
      <c r="Z56" s="40"/>
      <c r="AA56" s="40"/>
      <c r="AB56" s="40"/>
      <c r="AC56" s="40"/>
      <c r="AD56" s="40"/>
      <c r="AE56" s="40"/>
      <c r="AF56" s="40"/>
    </row>
    <row r="57" spans="1:32">
      <c r="A57" s="40"/>
      <c r="B57" s="40"/>
      <c r="C57" s="40"/>
      <c r="D57" s="40"/>
      <c r="E57" s="40"/>
      <c r="F57" s="40"/>
      <c r="G57" s="40"/>
      <c r="H57" s="40"/>
      <c r="I57" s="40"/>
      <c r="J57" s="40"/>
      <c r="K57" s="40"/>
      <c r="L57" s="40"/>
      <c r="M57" s="40"/>
      <c r="N57" s="40"/>
      <c r="O57" s="40"/>
      <c r="P57" s="40"/>
      <c r="Q57" s="40"/>
      <c r="R57" s="40"/>
      <c r="S57" s="40"/>
      <c r="T57" s="40"/>
      <c r="U57" s="40"/>
      <c r="V57" s="40"/>
      <c r="W57" s="40"/>
      <c r="X57" s="40"/>
      <c r="Y57" s="40"/>
      <c r="Z57" s="40"/>
      <c r="AA57" s="40"/>
      <c r="AB57" s="40"/>
      <c r="AC57" s="40"/>
      <c r="AD57" s="40"/>
      <c r="AE57" s="40"/>
      <c r="AF57" s="40"/>
    </row>
    <row r="58" spans="1:32">
      <c r="A58" s="40"/>
      <c r="B58" s="40"/>
      <c r="C58" s="40"/>
      <c r="D58" s="40"/>
      <c r="E58" s="40"/>
      <c r="F58" s="40"/>
      <c r="G58" s="40"/>
      <c r="H58" s="40"/>
      <c r="I58" s="40"/>
      <c r="J58" s="40"/>
      <c r="K58" s="40"/>
      <c r="L58" s="40"/>
      <c r="M58" s="40"/>
      <c r="N58" s="40"/>
      <c r="O58" s="40"/>
      <c r="P58" s="40"/>
      <c r="Q58" s="40"/>
      <c r="R58" s="40"/>
      <c r="S58" s="40"/>
      <c r="T58" s="40"/>
      <c r="U58" s="40"/>
      <c r="V58" s="40"/>
      <c r="W58" s="40"/>
      <c r="X58" s="40"/>
      <c r="Y58" s="40"/>
      <c r="Z58" s="40"/>
      <c r="AA58" s="40"/>
      <c r="AB58" s="40"/>
      <c r="AC58" s="40"/>
      <c r="AD58" s="40"/>
      <c r="AE58" s="40"/>
      <c r="AF58" s="40"/>
    </row>
    <row r="59" spans="1:32">
      <c r="A59" s="40"/>
      <c r="B59" s="40"/>
      <c r="C59" s="40"/>
      <c r="D59" s="40"/>
      <c r="E59" s="40"/>
      <c r="F59" s="40"/>
      <c r="G59" s="40"/>
      <c r="H59" s="40"/>
      <c r="I59" s="40"/>
      <c r="J59" s="40"/>
      <c r="K59" s="40"/>
      <c r="L59" s="40"/>
      <c r="M59" s="40"/>
      <c r="N59" s="40"/>
      <c r="O59" s="40"/>
      <c r="P59" s="40"/>
      <c r="Q59" s="40"/>
      <c r="R59" s="40"/>
      <c r="S59" s="40"/>
      <c r="T59" s="40"/>
      <c r="U59" s="40"/>
      <c r="V59" s="40"/>
      <c r="W59" s="40"/>
      <c r="X59" s="40"/>
      <c r="Y59" s="40"/>
      <c r="Z59" s="40"/>
      <c r="AA59" s="40"/>
      <c r="AB59" s="40"/>
      <c r="AC59" s="40"/>
      <c r="AD59" s="40"/>
      <c r="AE59" s="40"/>
      <c r="AF59" s="40"/>
    </row>
    <row r="60" spans="1:32">
      <c r="A60" s="40"/>
      <c r="B60" s="40"/>
      <c r="C60" s="40"/>
      <c r="D60" s="40"/>
      <c r="E60" s="40"/>
      <c r="F60" s="40"/>
      <c r="G60" s="40"/>
      <c r="H60" s="40"/>
      <c r="I60" s="40"/>
      <c r="J60" s="40"/>
      <c r="K60" s="40"/>
      <c r="L60" s="40"/>
      <c r="M60" s="40"/>
      <c r="N60" s="40"/>
      <c r="O60" s="40"/>
      <c r="P60" s="40"/>
      <c r="Q60" s="40"/>
      <c r="R60" s="40"/>
      <c r="S60" s="40"/>
      <c r="T60" s="40"/>
      <c r="U60" s="40"/>
      <c r="V60" s="40"/>
      <c r="W60" s="40"/>
      <c r="X60" s="40"/>
      <c r="Y60" s="40"/>
      <c r="Z60" s="40"/>
      <c r="AA60" s="40"/>
      <c r="AB60" s="40"/>
      <c r="AC60" s="40"/>
      <c r="AD60" s="40"/>
      <c r="AE60" s="40"/>
      <c r="AF60" s="40"/>
    </row>
    <row r="61" spans="1:32">
      <c r="A61" s="40"/>
      <c r="B61" s="40"/>
      <c r="C61" s="40"/>
      <c r="D61" s="40"/>
      <c r="E61" s="40"/>
      <c r="F61" s="40"/>
      <c r="G61" s="40"/>
      <c r="H61" s="40"/>
      <c r="I61" s="40"/>
      <c r="J61" s="40"/>
      <c r="K61" s="40"/>
      <c r="L61" s="40"/>
      <c r="M61" s="40"/>
      <c r="N61" s="40"/>
      <c r="O61" s="40"/>
      <c r="P61" s="40"/>
      <c r="Q61" s="40"/>
      <c r="R61" s="40"/>
      <c r="S61" s="40"/>
      <c r="T61" s="40"/>
      <c r="U61" s="40"/>
      <c r="V61" s="40"/>
      <c r="W61" s="40"/>
      <c r="X61" s="40"/>
      <c r="Y61" s="40"/>
      <c r="Z61" s="40"/>
      <c r="AA61" s="40"/>
      <c r="AB61" s="40"/>
      <c r="AC61" s="40"/>
      <c r="AD61" s="40"/>
      <c r="AE61" s="40"/>
      <c r="AF61" s="40"/>
    </row>
    <row r="62" spans="1:32">
      <c r="A62" s="40"/>
      <c r="B62" s="40"/>
      <c r="C62" s="40"/>
      <c r="D62" s="40"/>
      <c r="E62" s="40"/>
      <c r="F62" s="40"/>
      <c r="G62" s="40"/>
      <c r="H62" s="40"/>
      <c r="I62" s="40"/>
      <c r="J62" s="40"/>
      <c r="K62" s="40"/>
      <c r="L62" s="40"/>
      <c r="M62" s="40"/>
      <c r="N62" s="40"/>
      <c r="O62" s="40"/>
      <c r="P62" s="40"/>
      <c r="Q62" s="40"/>
      <c r="R62" s="40"/>
      <c r="S62" s="40"/>
      <c r="T62" s="40"/>
      <c r="U62" s="40"/>
      <c r="V62" s="40"/>
      <c r="W62" s="40"/>
      <c r="X62" s="40"/>
      <c r="Y62" s="40"/>
      <c r="Z62" s="40"/>
      <c r="AA62" s="40"/>
      <c r="AB62" s="40"/>
      <c r="AC62" s="40"/>
      <c r="AD62" s="40"/>
      <c r="AE62" s="40"/>
      <c r="AF62" s="40"/>
    </row>
    <row r="63" spans="1:32">
      <c r="A63" s="40"/>
      <c r="B63" s="40"/>
      <c r="C63" s="40"/>
      <c r="D63" s="40"/>
      <c r="E63" s="40"/>
      <c r="F63" s="40"/>
      <c r="G63" s="40"/>
      <c r="H63" s="40"/>
      <c r="I63" s="40"/>
      <c r="J63" s="40"/>
      <c r="K63" s="40"/>
      <c r="L63" s="40"/>
      <c r="M63" s="40"/>
      <c r="N63" s="40"/>
      <c r="O63" s="40"/>
      <c r="P63" s="40"/>
      <c r="Q63" s="40"/>
      <c r="R63" s="40"/>
      <c r="S63" s="40"/>
      <c r="T63" s="40"/>
      <c r="U63" s="40"/>
      <c r="V63" s="40"/>
      <c r="W63" s="40"/>
      <c r="X63" s="40"/>
      <c r="Y63" s="40"/>
      <c r="Z63" s="40"/>
      <c r="AA63" s="40"/>
      <c r="AB63" s="40"/>
      <c r="AC63" s="40"/>
      <c r="AD63" s="40"/>
      <c r="AE63" s="40"/>
      <c r="AF63" s="40"/>
    </row>
    <row r="64" spans="1:32">
      <c r="A64" s="40"/>
      <c r="B64" s="40"/>
      <c r="C64" s="40"/>
      <c r="D64" s="40"/>
      <c r="E64" s="40"/>
      <c r="F64" s="40"/>
      <c r="G64" s="40"/>
      <c r="H64" s="40"/>
      <c r="I64" s="40"/>
      <c r="J64" s="40"/>
      <c r="K64" s="40"/>
      <c r="L64" s="40"/>
      <c r="M64" s="40"/>
      <c r="N64" s="40"/>
      <c r="O64" s="40"/>
      <c r="P64" s="40"/>
      <c r="Q64" s="40"/>
      <c r="R64" s="40"/>
      <c r="S64" s="40"/>
      <c r="T64" s="40"/>
      <c r="U64" s="40"/>
      <c r="V64" s="40"/>
      <c r="W64" s="40"/>
      <c r="X64" s="40"/>
      <c r="Y64" s="40"/>
      <c r="Z64" s="40"/>
      <c r="AA64" s="40"/>
      <c r="AB64" s="40"/>
      <c r="AC64" s="40"/>
      <c r="AD64" s="40"/>
      <c r="AE64" s="40"/>
      <c r="AF64" s="40"/>
    </row>
    <row r="65" spans="1:32">
      <c r="A65" s="40"/>
      <c r="B65" s="40"/>
      <c r="C65" s="40"/>
      <c r="D65" s="40"/>
      <c r="E65" s="40"/>
      <c r="F65" s="40"/>
      <c r="G65" s="40"/>
      <c r="H65" s="40"/>
      <c r="I65" s="40"/>
      <c r="J65" s="40"/>
      <c r="K65" s="40"/>
      <c r="L65" s="40"/>
      <c r="M65" s="40"/>
      <c r="N65" s="40"/>
      <c r="O65" s="40"/>
      <c r="P65" s="40"/>
      <c r="Q65" s="40"/>
      <c r="R65" s="40"/>
      <c r="S65" s="40"/>
      <c r="T65" s="40"/>
      <c r="U65" s="40"/>
      <c r="V65" s="40"/>
      <c r="W65" s="40"/>
      <c r="X65" s="40"/>
      <c r="Y65" s="40"/>
      <c r="Z65" s="40"/>
      <c r="AA65" s="40"/>
      <c r="AB65" s="40"/>
      <c r="AC65" s="40"/>
      <c r="AD65" s="40"/>
      <c r="AE65" s="40"/>
      <c r="AF65" s="40"/>
    </row>
    <row r="66" spans="1:32">
      <c r="A66" s="40"/>
      <c r="B66" s="40"/>
      <c r="C66" s="40"/>
      <c r="D66" s="40"/>
      <c r="E66" s="40"/>
      <c r="F66" s="40"/>
      <c r="G66" s="40"/>
      <c r="H66" s="40"/>
      <c r="I66" s="40"/>
      <c r="J66" s="40"/>
      <c r="K66" s="40"/>
      <c r="L66" s="40"/>
      <c r="M66" s="40"/>
      <c r="N66" s="40"/>
      <c r="O66" s="40"/>
      <c r="P66" s="40"/>
      <c r="Q66" s="40"/>
      <c r="R66" s="40"/>
      <c r="S66" s="40"/>
      <c r="T66" s="40"/>
      <c r="U66" s="40"/>
      <c r="V66" s="40"/>
      <c r="W66" s="40"/>
      <c r="X66" s="40"/>
      <c r="Y66" s="40"/>
      <c r="Z66" s="40"/>
      <c r="AA66" s="40"/>
      <c r="AB66" s="40"/>
      <c r="AC66" s="40"/>
      <c r="AD66" s="40"/>
      <c r="AE66" s="40"/>
      <c r="AF66" s="40"/>
    </row>
    <row r="67" spans="1:32">
      <c r="A67" s="40"/>
      <c r="B67" s="40"/>
      <c r="C67" s="40"/>
      <c r="D67" s="40"/>
      <c r="E67" s="40"/>
      <c r="F67" s="40"/>
      <c r="G67" s="40"/>
      <c r="H67" s="40"/>
      <c r="I67" s="40"/>
      <c r="J67" s="40"/>
      <c r="K67" s="40"/>
      <c r="L67" s="40"/>
      <c r="M67" s="40"/>
      <c r="N67" s="40"/>
      <c r="O67" s="40"/>
      <c r="P67" s="40"/>
      <c r="Q67" s="40"/>
      <c r="R67" s="40"/>
      <c r="S67" s="40"/>
      <c r="T67" s="40"/>
      <c r="U67" s="40"/>
      <c r="V67" s="40"/>
      <c r="W67" s="40"/>
      <c r="X67" s="40"/>
      <c r="Y67" s="40"/>
      <c r="Z67" s="40"/>
      <c r="AA67" s="40"/>
      <c r="AB67" s="40"/>
      <c r="AC67" s="40"/>
      <c r="AD67" s="40"/>
      <c r="AE67" s="40"/>
      <c r="AF67" s="40"/>
    </row>
    <row r="68" spans="1:32">
      <c r="A68" s="40"/>
      <c r="B68" s="40"/>
      <c r="C68" s="40"/>
      <c r="D68" s="40"/>
      <c r="E68" s="40"/>
      <c r="F68" s="40"/>
      <c r="G68" s="40"/>
      <c r="H68" s="40"/>
      <c r="I68" s="40"/>
      <c r="J68" s="40"/>
      <c r="K68" s="40"/>
      <c r="L68" s="40"/>
      <c r="M68" s="40"/>
      <c r="N68" s="40"/>
      <c r="O68" s="40"/>
      <c r="P68" s="40"/>
      <c r="Q68" s="40"/>
      <c r="R68" s="40"/>
      <c r="S68" s="40"/>
      <c r="T68" s="40"/>
      <c r="U68" s="40"/>
      <c r="V68" s="40"/>
      <c r="W68" s="40"/>
      <c r="X68" s="40"/>
      <c r="Y68" s="40"/>
      <c r="Z68" s="40"/>
      <c r="AA68" s="40"/>
      <c r="AB68" s="40"/>
      <c r="AC68" s="40"/>
      <c r="AD68" s="40"/>
      <c r="AE68" s="40"/>
      <c r="AF68" s="40"/>
    </row>
    <row r="69" spans="1:32">
      <c r="A69" s="40"/>
      <c r="B69" s="40"/>
      <c r="C69" s="40"/>
      <c r="D69" s="40"/>
      <c r="E69" s="40"/>
      <c r="F69" s="40"/>
      <c r="G69" s="40"/>
      <c r="H69" s="40"/>
      <c r="I69" s="40"/>
      <c r="J69" s="40"/>
      <c r="K69" s="40"/>
      <c r="L69" s="40"/>
      <c r="M69" s="40"/>
      <c r="N69" s="40"/>
      <c r="O69" s="40"/>
      <c r="P69" s="40"/>
      <c r="Q69" s="40"/>
      <c r="R69" s="40"/>
      <c r="S69" s="40"/>
      <c r="T69" s="40"/>
      <c r="U69" s="40"/>
      <c r="V69" s="40"/>
      <c r="W69" s="40"/>
      <c r="X69" s="40"/>
      <c r="Y69" s="40"/>
      <c r="Z69" s="40"/>
      <c r="AA69" s="40"/>
      <c r="AB69" s="40"/>
      <c r="AC69" s="40"/>
      <c r="AD69" s="40"/>
      <c r="AE69" s="40"/>
      <c r="AF69" s="40"/>
    </row>
    <row r="70" spans="1:32">
      <c r="A70" s="40"/>
      <c r="B70" s="40"/>
      <c r="C70" s="40"/>
      <c r="D70" s="40"/>
      <c r="E70" s="40"/>
      <c r="F70" s="40"/>
      <c r="G70" s="40"/>
      <c r="H70" s="40"/>
      <c r="I70" s="40"/>
      <c r="J70" s="40"/>
      <c r="K70" s="40"/>
      <c r="L70" s="40"/>
      <c r="M70" s="40"/>
      <c r="N70" s="40"/>
      <c r="O70" s="40"/>
      <c r="P70" s="40"/>
      <c r="Q70" s="40"/>
      <c r="R70" s="40"/>
      <c r="S70" s="40"/>
      <c r="T70" s="40"/>
      <c r="U70" s="40"/>
      <c r="V70" s="40"/>
      <c r="W70" s="40"/>
      <c r="X70" s="40"/>
      <c r="Y70" s="40"/>
      <c r="Z70" s="40"/>
      <c r="AA70" s="40"/>
      <c r="AB70" s="40"/>
      <c r="AC70" s="40"/>
      <c r="AD70" s="40"/>
      <c r="AE70" s="40"/>
      <c r="AF70" s="40"/>
    </row>
    <row r="71" spans="1:32">
      <c r="A71" s="40"/>
      <c r="B71" s="40"/>
      <c r="C71" s="40"/>
      <c r="D71" s="40"/>
      <c r="E71" s="40"/>
      <c r="F71" s="40"/>
      <c r="G71" s="40"/>
      <c r="H71" s="40"/>
      <c r="I71" s="40"/>
      <c r="J71" s="40"/>
      <c r="K71" s="40"/>
      <c r="L71" s="40"/>
      <c r="M71" s="40"/>
      <c r="N71" s="40"/>
      <c r="O71" s="40"/>
      <c r="P71" s="40"/>
      <c r="Q71" s="40"/>
      <c r="R71" s="40"/>
      <c r="S71" s="40"/>
      <c r="T71" s="40"/>
      <c r="U71" s="40"/>
      <c r="V71" s="40"/>
      <c r="W71" s="40"/>
      <c r="X71" s="40"/>
      <c r="Y71" s="40"/>
      <c r="Z71" s="40"/>
      <c r="AA71" s="40"/>
      <c r="AB71" s="40"/>
      <c r="AC71" s="40"/>
      <c r="AD71" s="40"/>
      <c r="AE71" s="40"/>
      <c r="AF71" s="40"/>
    </row>
    <row r="72" spans="1:32">
      <c r="A72" s="40"/>
      <c r="B72" s="40"/>
      <c r="C72" s="40"/>
      <c r="D72" s="40"/>
      <c r="E72" s="40"/>
      <c r="F72" s="40"/>
      <c r="G72" s="40"/>
      <c r="H72" s="40"/>
      <c r="I72" s="40"/>
      <c r="J72" s="40"/>
      <c r="K72" s="40"/>
      <c r="L72" s="40"/>
      <c r="M72" s="40"/>
      <c r="N72" s="40"/>
      <c r="O72" s="40"/>
      <c r="P72" s="40"/>
      <c r="Q72" s="40"/>
      <c r="R72" s="40"/>
      <c r="S72" s="40"/>
      <c r="T72" s="40"/>
      <c r="U72" s="40"/>
      <c r="V72" s="40"/>
      <c r="W72" s="40"/>
      <c r="X72" s="40"/>
      <c r="Y72" s="40"/>
      <c r="Z72" s="40"/>
      <c r="AA72" s="40"/>
      <c r="AB72" s="40"/>
      <c r="AC72" s="40"/>
      <c r="AD72" s="40"/>
      <c r="AE72" s="40"/>
      <c r="AF72" s="40"/>
    </row>
    <row r="73" spans="1:32">
      <c r="A73" s="40"/>
      <c r="B73" s="40"/>
      <c r="C73" s="40"/>
      <c r="D73" s="40"/>
      <c r="E73" s="40"/>
      <c r="F73" s="40"/>
      <c r="G73" s="40"/>
      <c r="H73" s="40"/>
      <c r="I73" s="40"/>
      <c r="J73" s="40"/>
      <c r="K73" s="40"/>
      <c r="L73" s="40"/>
      <c r="M73" s="40"/>
      <c r="N73" s="40"/>
      <c r="O73" s="40"/>
      <c r="P73" s="40"/>
      <c r="Q73" s="40"/>
      <c r="R73" s="40"/>
      <c r="S73" s="40"/>
      <c r="T73" s="40"/>
      <c r="U73" s="40"/>
      <c r="V73" s="40"/>
      <c r="W73" s="40"/>
      <c r="X73" s="40"/>
      <c r="Y73" s="40"/>
      <c r="Z73" s="40"/>
      <c r="AA73" s="40"/>
      <c r="AB73" s="40"/>
      <c r="AC73" s="40"/>
      <c r="AD73" s="40"/>
      <c r="AE73" s="40"/>
      <c r="AF73" s="40"/>
    </row>
    <row r="74" spans="1:32">
      <c r="A74" s="40"/>
      <c r="B74" s="40"/>
      <c r="C74" s="40"/>
      <c r="D74" s="40"/>
      <c r="E74" s="40"/>
      <c r="F74" s="40"/>
      <c r="G74" s="40"/>
      <c r="H74" s="40"/>
      <c r="I74" s="40"/>
      <c r="J74" s="40"/>
      <c r="K74" s="40"/>
      <c r="L74" s="40"/>
      <c r="M74" s="40"/>
      <c r="N74" s="40"/>
      <c r="O74" s="40"/>
      <c r="P74" s="40"/>
      <c r="Q74" s="40"/>
      <c r="R74" s="40"/>
      <c r="S74" s="40"/>
      <c r="T74" s="40"/>
      <c r="U74" s="40"/>
      <c r="V74" s="40"/>
      <c r="W74" s="40"/>
      <c r="X74" s="40"/>
      <c r="Y74" s="40"/>
      <c r="Z74" s="40"/>
      <c r="AA74" s="40"/>
      <c r="AB74" s="40"/>
      <c r="AC74" s="40"/>
      <c r="AD74" s="40"/>
      <c r="AE74" s="40"/>
      <c r="AF74" s="40"/>
    </row>
    <row r="75" spans="1:32">
      <c r="A75" s="40"/>
      <c r="B75" s="40"/>
      <c r="C75" s="40"/>
      <c r="D75" s="40"/>
      <c r="E75" s="40"/>
      <c r="F75" s="40"/>
      <c r="G75" s="40"/>
      <c r="H75" s="40"/>
      <c r="I75" s="40"/>
      <c r="J75" s="40"/>
      <c r="K75" s="40"/>
      <c r="L75" s="40"/>
      <c r="M75" s="40"/>
      <c r="N75" s="40"/>
      <c r="O75" s="40"/>
      <c r="P75" s="40"/>
      <c r="Q75" s="40"/>
      <c r="R75" s="40"/>
      <c r="S75" s="40"/>
      <c r="T75" s="40"/>
      <c r="U75" s="40"/>
      <c r="V75" s="40"/>
      <c r="W75" s="40"/>
      <c r="X75" s="40"/>
      <c r="Y75" s="40"/>
      <c r="Z75" s="40"/>
      <c r="AA75" s="40"/>
      <c r="AB75" s="40"/>
      <c r="AC75" s="40"/>
      <c r="AD75" s="40"/>
      <c r="AE75" s="40"/>
      <c r="AF75" s="40"/>
    </row>
    <row r="76" spans="1:32">
      <c r="A76" s="40"/>
      <c r="B76" s="40"/>
      <c r="C76" s="40"/>
      <c r="D76" s="40"/>
      <c r="E76" s="40"/>
      <c r="F76" s="40"/>
      <c r="G76" s="40"/>
      <c r="H76" s="40"/>
      <c r="I76" s="40"/>
      <c r="J76" s="40"/>
      <c r="K76" s="40"/>
      <c r="L76" s="40"/>
      <c r="M76" s="40"/>
      <c r="N76" s="40"/>
      <c r="O76" s="40"/>
      <c r="P76" s="40"/>
      <c r="Q76" s="40"/>
      <c r="R76" s="40"/>
      <c r="S76" s="40"/>
      <c r="T76" s="40"/>
      <c r="U76" s="40"/>
      <c r="V76" s="40"/>
      <c r="W76" s="40"/>
      <c r="X76" s="40"/>
      <c r="Y76" s="40"/>
      <c r="Z76" s="40"/>
      <c r="AA76" s="40"/>
      <c r="AB76" s="40"/>
      <c r="AC76" s="40"/>
      <c r="AD76" s="40"/>
      <c r="AE76" s="40"/>
      <c r="AF76" s="40"/>
    </row>
    <row r="77" spans="1:32">
      <c r="A77" s="40"/>
      <c r="B77" s="40"/>
      <c r="C77" s="40"/>
      <c r="D77" s="40"/>
      <c r="E77" s="40"/>
      <c r="F77" s="40"/>
      <c r="G77" s="40"/>
      <c r="H77" s="40"/>
      <c r="I77" s="40"/>
      <c r="J77" s="40"/>
      <c r="K77" s="40"/>
      <c r="L77" s="40"/>
      <c r="M77" s="40"/>
      <c r="N77" s="40"/>
      <c r="O77" s="40"/>
      <c r="P77" s="40"/>
      <c r="Q77" s="40"/>
      <c r="R77" s="40"/>
      <c r="S77" s="40"/>
      <c r="T77" s="40"/>
      <c r="U77" s="40"/>
      <c r="V77" s="40"/>
      <c r="W77" s="40"/>
      <c r="X77" s="40"/>
      <c r="Y77" s="40"/>
      <c r="Z77" s="40"/>
      <c r="AA77" s="40"/>
      <c r="AB77" s="40"/>
      <c r="AC77" s="40"/>
      <c r="AD77" s="40"/>
      <c r="AE77" s="40"/>
      <c r="AF77" s="40"/>
    </row>
    <row r="78" spans="1:32">
      <c r="A78" s="40"/>
      <c r="B78" s="40"/>
      <c r="C78" s="40"/>
      <c r="D78" s="40"/>
      <c r="E78" s="40"/>
      <c r="F78" s="40"/>
      <c r="G78" s="40"/>
      <c r="H78" s="40"/>
      <c r="I78" s="40"/>
      <c r="J78" s="40"/>
      <c r="K78" s="40"/>
      <c r="L78" s="40"/>
      <c r="M78" s="40"/>
      <c r="N78" s="40"/>
      <c r="O78" s="40"/>
      <c r="P78" s="40"/>
      <c r="Q78" s="40"/>
      <c r="R78" s="40"/>
      <c r="S78" s="40"/>
      <c r="T78" s="40"/>
      <c r="U78" s="40"/>
      <c r="V78" s="40"/>
      <c r="W78" s="40"/>
      <c r="X78" s="40"/>
      <c r="Y78" s="40"/>
      <c r="Z78" s="40"/>
      <c r="AA78" s="40"/>
      <c r="AB78" s="40"/>
      <c r="AC78" s="40"/>
      <c r="AD78" s="40"/>
      <c r="AE78" s="40"/>
      <c r="AF78" s="40"/>
    </row>
    <row r="79" spans="1:32">
      <c r="A79" s="40"/>
      <c r="B79" s="40"/>
      <c r="C79" s="40"/>
      <c r="D79" s="40"/>
      <c r="E79" s="40"/>
      <c r="F79" s="40"/>
      <c r="G79" s="40"/>
      <c r="H79" s="40"/>
      <c r="I79" s="40"/>
      <c r="J79" s="40"/>
      <c r="K79" s="40"/>
      <c r="L79" s="40"/>
      <c r="M79" s="40"/>
      <c r="N79" s="40"/>
      <c r="O79" s="40"/>
      <c r="P79" s="40"/>
      <c r="Q79" s="40"/>
      <c r="R79" s="40"/>
      <c r="S79" s="40"/>
      <c r="T79" s="40"/>
      <c r="U79" s="40"/>
      <c r="V79" s="40"/>
      <c r="W79" s="40"/>
      <c r="X79" s="40"/>
      <c r="Y79" s="40"/>
      <c r="Z79" s="40"/>
      <c r="AA79" s="40"/>
      <c r="AB79" s="40"/>
      <c r="AC79" s="40"/>
      <c r="AD79" s="40"/>
      <c r="AE79" s="40"/>
      <c r="AF79" s="40"/>
    </row>
    <row r="80" spans="1:32">
      <c r="A80" s="40"/>
      <c r="B80" s="40"/>
      <c r="C80" s="40"/>
      <c r="D80" s="40"/>
      <c r="E80" s="40"/>
      <c r="F80" s="40"/>
      <c r="G80" s="40"/>
      <c r="H80" s="40"/>
      <c r="I80" s="40"/>
      <c r="J80" s="40"/>
      <c r="K80" s="40"/>
      <c r="L80" s="40"/>
      <c r="M80" s="40"/>
      <c r="N80" s="40"/>
      <c r="O80" s="40"/>
      <c r="P80" s="40"/>
      <c r="Q80" s="40"/>
      <c r="R80" s="40"/>
      <c r="S80" s="40"/>
      <c r="T80" s="40"/>
      <c r="U80" s="40"/>
      <c r="V80" s="40"/>
      <c r="W80" s="40"/>
      <c r="X80" s="40"/>
      <c r="Y80" s="40"/>
      <c r="Z80" s="40"/>
      <c r="AA80" s="40"/>
      <c r="AB80" s="40"/>
      <c r="AC80" s="40"/>
      <c r="AD80" s="40"/>
      <c r="AE80" s="40"/>
      <c r="AF80" s="40"/>
    </row>
  </sheetData>
  <mergeCells count="6">
    <mergeCell ref="A33:AF33"/>
    <mergeCell ref="A1:AF1"/>
    <mergeCell ref="A2:AF2"/>
    <mergeCell ref="A3:AF3"/>
    <mergeCell ref="A10:AF10"/>
    <mergeCell ref="A20:AF20"/>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F80"/>
  <sheetViews>
    <sheetView showGridLines="0" workbookViewId="0">
      <selection activeCell="I40" sqref="I40"/>
    </sheetView>
  </sheetViews>
  <sheetFormatPr defaultRowHeight="14"/>
  <cols>
    <col min="1" max="1" width="10" customWidth="1"/>
    <col min="2" max="2" width="34" customWidth="1"/>
    <col min="3" max="32" width="12" customWidth="1"/>
  </cols>
  <sheetData>
    <row r="1" spans="1:32" ht="15" customHeight="1">
      <c r="A1" s="135" t="s">
        <v>632</v>
      </c>
      <c r="B1" s="135"/>
      <c r="C1" s="136"/>
      <c r="D1" s="136"/>
      <c r="E1" s="136"/>
      <c r="F1" s="136"/>
      <c r="G1" s="136"/>
      <c r="H1" s="136"/>
      <c r="I1" s="136"/>
      <c r="J1" s="136"/>
      <c r="K1" s="136"/>
      <c r="L1" s="136"/>
      <c r="M1" s="136"/>
      <c r="N1" s="136"/>
      <c r="O1" s="136"/>
      <c r="P1" s="136"/>
      <c r="Q1" s="136"/>
      <c r="R1" s="136"/>
      <c r="S1" s="136"/>
      <c r="T1" s="136"/>
      <c r="U1" s="136"/>
      <c r="V1" s="136"/>
      <c r="W1" s="136"/>
      <c r="X1" s="136"/>
      <c r="Y1" s="136"/>
      <c r="Z1" s="136"/>
      <c r="AA1" s="136"/>
      <c r="AB1" s="136"/>
      <c r="AC1" s="136"/>
      <c r="AD1" s="136"/>
      <c r="AE1" s="136"/>
      <c r="AF1" s="136"/>
    </row>
    <row r="2" spans="1:32" ht="15" customHeight="1">
      <c r="A2" s="137" t="s">
        <v>633</v>
      </c>
      <c r="B2" s="137"/>
      <c r="C2" s="137"/>
      <c r="D2" s="137"/>
      <c r="E2" s="137"/>
      <c r="F2" s="137"/>
      <c r="G2" s="137"/>
      <c r="H2" s="137"/>
      <c r="I2" s="137"/>
      <c r="J2" s="137"/>
      <c r="K2" s="137"/>
      <c r="L2" s="137"/>
      <c r="M2" s="137"/>
      <c r="N2" s="137"/>
      <c r="O2" s="137"/>
      <c r="P2" s="137"/>
      <c r="Q2" s="137"/>
      <c r="R2" s="137"/>
      <c r="S2" s="137"/>
      <c r="T2" s="137"/>
      <c r="U2" s="137"/>
      <c r="V2" s="137"/>
      <c r="W2" s="137"/>
      <c r="X2" s="137"/>
      <c r="Y2" s="137"/>
      <c r="Z2" s="137"/>
      <c r="AA2" s="137"/>
      <c r="AB2" s="137"/>
      <c r="AC2" s="137"/>
      <c r="AD2" s="137"/>
      <c r="AE2" s="137"/>
      <c r="AF2" s="137"/>
    </row>
    <row r="3" spans="1:32" ht="15" customHeight="1">
      <c r="A3" s="138" t="s">
        <v>467</v>
      </c>
      <c r="B3" s="138"/>
      <c r="C3" s="139"/>
      <c r="D3" s="139"/>
      <c r="E3" s="139"/>
      <c r="F3" s="139"/>
      <c r="G3" s="139"/>
      <c r="H3" s="139"/>
      <c r="I3" s="139"/>
      <c r="J3" s="139"/>
      <c r="K3" s="139"/>
      <c r="L3" s="139"/>
      <c r="M3" s="139"/>
      <c r="N3" s="139"/>
      <c r="O3" s="139"/>
      <c r="P3" s="139"/>
      <c r="Q3" s="139"/>
      <c r="R3" s="139"/>
      <c r="S3" s="139"/>
      <c r="T3" s="139"/>
      <c r="U3" s="139"/>
      <c r="V3" s="139"/>
      <c r="W3" s="139"/>
      <c r="X3" s="139"/>
      <c r="Y3" s="139"/>
      <c r="Z3" s="139"/>
      <c r="AA3" s="139"/>
      <c r="AB3" s="139"/>
      <c r="AC3" s="139"/>
      <c r="AD3" s="139"/>
      <c r="AE3" s="139"/>
      <c r="AF3" s="139"/>
    </row>
    <row r="4" spans="1:32" ht="15" customHeight="1">
      <c r="A4" s="69"/>
      <c r="B4" s="69"/>
      <c r="C4" s="64"/>
      <c r="D4" s="64"/>
      <c r="E4" s="64"/>
      <c r="F4" s="64"/>
      <c r="G4" s="64"/>
      <c r="H4" s="64"/>
      <c r="I4" s="64"/>
      <c r="J4" s="64"/>
      <c r="K4" s="64"/>
      <c r="L4" s="64"/>
      <c r="M4" s="64"/>
      <c r="N4" s="64"/>
      <c r="O4" s="64"/>
      <c r="P4" s="64"/>
      <c r="Q4" s="64"/>
      <c r="R4" s="64"/>
      <c r="S4" s="64"/>
      <c r="T4" s="64"/>
      <c r="U4" s="64"/>
      <c r="V4" s="64"/>
      <c r="W4" s="64"/>
      <c r="X4" s="64"/>
      <c r="Y4" s="64"/>
      <c r="Z4" s="64"/>
      <c r="AA4" s="64"/>
      <c r="AB4" s="64"/>
      <c r="AC4" s="64"/>
      <c r="AD4" s="64"/>
      <c r="AE4" s="64"/>
      <c r="AF4" s="64"/>
    </row>
    <row r="5" spans="1:32" ht="15" customHeight="1">
      <c r="A5" s="69"/>
      <c r="B5" s="69"/>
      <c r="C5" s="64"/>
      <c r="D5" s="64"/>
      <c r="E5" s="64"/>
      <c r="F5" s="64"/>
      <c r="G5" s="64"/>
      <c r="H5" s="64"/>
      <c r="I5" s="64"/>
      <c r="J5" s="64"/>
      <c r="K5" s="64"/>
      <c r="L5" s="64"/>
      <c r="M5" s="64"/>
      <c r="N5" s="64"/>
      <c r="O5" s="64"/>
      <c r="P5" s="64"/>
      <c r="Q5" s="64"/>
      <c r="R5" s="64"/>
      <c r="S5" s="64"/>
      <c r="T5" s="64"/>
      <c r="U5" s="64"/>
      <c r="V5" s="64"/>
      <c r="W5" s="64"/>
      <c r="X5" s="64"/>
      <c r="Y5" s="64"/>
      <c r="Z5" s="64"/>
      <c r="AA5" s="64"/>
      <c r="AB5" s="64"/>
      <c r="AC5" s="64"/>
      <c r="AD5" s="64"/>
      <c r="AE5" s="64"/>
      <c r="AF5" s="64"/>
    </row>
    <row r="6" spans="1:32" ht="15" customHeight="1">
      <c r="A6" s="70"/>
      <c r="B6" s="70" t="s">
        <v>161</v>
      </c>
      <c r="C6" s="41">
        <f>CAPEX!C6</f>
        <v>2026</v>
      </c>
      <c r="D6" s="41">
        <f>CAPEX!D6</f>
        <v>2027</v>
      </c>
      <c r="E6" s="41">
        <f>CAPEX!E6</f>
        <v>2028</v>
      </c>
      <c r="F6" s="41">
        <f>CAPEX!F6</f>
        <v>2029</v>
      </c>
      <c r="G6" s="41">
        <f>CAPEX!G6</f>
        <v>2030</v>
      </c>
      <c r="H6" s="41">
        <f>CAPEX!H6</f>
        <v>2031</v>
      </c>
      <c r="I6" s="41">
        <f>CAPEX!I6</f>
        <v>2032</v>
      </c>
      <c r="J6" s="41">
        <f>CAPEX!J6</f>
        <v>2033</v>
      </c>
      <c r="K6" s="41">
        <f>CAPEX!K6</f>
        <v>2034</v>
      </c>
      <c r="L6" s="41">
        <f>CAPEX!L6</f>
        <v>2035</v>
      </c>
      <c r="M6" s="41">
        <f>CAPEX!M6</f>
        <v>2036</v>
      </c>
      <c r="N6" s="41">
        <f>CAPEX!N6</f>
        <v>2037</v>
      </c>
      <c r="O6" s="41">
        <f>CAPEX!O6</f>
        <v>2038</v>
      </c>
      <c r="P6" s="41">
        <f>CAPEX!P6</f>
        <v>2039</v>
      </c>
      <c r="Q6" s="41">
        <f>CAPEX!Q6</f>
        <v>2040</v>
      </c>
      <c r="R6" s="41">
        <f>CAPEX!R6</f>
        <v>2041</v>
      </c>
      <c r="S6" s="41">
        <f>CAPEX!S6</f>
        <v>2042</v>
      </c>
      <c r="T6" s="41">
        <f>CAPEX!T6</f>
        <v>2043</v>
      </c>
      <c r="U6" s="41">
        <f>CAPEX!U6</f>
        <v>2044</v>
      </c>
      <c r="V6" s="41">
        <f>CAPEX!V6</f>
        <v>2045</v>
      </c>
      <c r="W6" s="41">
        <f>CAPEX!W6</f>
        <v>2046</v>
      </c>
      <c r="X6" s="41">
        <f>CAPEX!X6</f>
        <v>2047</v>
      </c>
      <c r="Y6" s="41">
        <f>CAPEX!Y6</f>
        <v>2048</v>
      </c>
      <c r="Z6" s="41">
        <f>CAPEX!Z6</f>
        <v>2049</v>
      </c>
      <c r="AA6" s="41">
        <f>CAPEX!AA6</f>
        <v>2050</v>
      </c>
      <c r="AB6" s="41">
        <f>CAPEX!AB6</f>
        <v>2051</v>
      </c>
      <c r="AC6" s="41">
        <f>CAPEX!AC6</f>
        <v>2052</v>
      </c>
      <c r="AD6" s="41">
        <f>CAPEX!AD6</f>
        <v>2053</v>
      </c>
      <c r="AE6" s="41">
        <f>CAPEX!AE6</f>
        <v>2054</v>
      </c>
      <c r="AF6" s="41">
        <f>CAPEX!AF6</f>
        <v>2055</v>
      </c>
    </row>
    <row r="7" spans="1:32" ht="15" customHeight="1">
      <c r="A7" s="69"/>
      <c r="B7" s="69" t="s">
        <v>468</v>
      </c>
      <c r="C7" s="65">
        <f>CAPEX!C7</f>
        <v>0</v>
      </c>
      <c r="D7" s="65">
        <f>CAPEX!D7</f>
        <v>1</v>
      </c>
      <c r="E7" s="65">
        <f>CAPEX!E7</f>
        <v>2</v>
      </c>
      <c r="F7" s="65">
        <f>CAPEX!F7</f>
        <v>3</v>
      </c>
      <c r="G7" s="65">
        <f>CAPEX!G7</f>
        <v>4</v>
      </c>
      <c r="H7" s="65">
        <f>CAPEX!H7</f>
        <v>5</v>
      </c>
      <c r="I7" s="65">
        <f>CAPEX!I7</f>
        <v>6</v>
      </c>
      <c r="J7" s="65">
        <f>CAPEX!J7</f>
        <v>7</v>
      </c>
      <c r="K7" s="65">
        <f>CAPEX!K7</f>
        <v>8</v>
      </c>
      <c r="L7" s="65">
        <f>CAPEX!L7</f>
        <v>9</v>
      </c>
      <c r="M7" s="65">
        <f>CAPEX!M7</f>
        <v>10</v>
      </c>
      <c r="N7" s="65">
        <f>CAPEX!N7</f>
        <v>11</v>
      </c>
      <c r="O7" s="65">
        <f>CAPEX!O7</f>
        <v>12</v>
      </c>
      <c r="P7" s="65">
        <f>CAPEX!P7</f>
        <v>13</v>
      </c>
      <c r="Q7" s="65">
        <f>CAPEX!Q7</f>
        <v>14</v>
      </c>
      <c r="R7" s="65">
        <f>CAPEX!R7</f>
        <v>15</v>
      </c>
      <c r="S7" s="65">
        <f>CAPEX!S7</f>
        <v>16</v>
      </c>
      <c r="T7" s="65">
        <f>CAPEX!T7</f>
        <v>17</v>
      </c>
      <c r="U7" s="65">
        <f>CAPEX!U7</f>
        <v>18</v>
      </c>
      <c r="V7" s="65">
        <f>CAPEX!V7</f>
        <v>19</v>
      </c>
      <c r="W7" s="65">
        <f>CAPEX!W7</f>
        <v>20</v>
      </c>
      <c r="X7" s="65">
        <f>CAPEX!X7</f>
        <v>21</v>
      </c>
      <c r="Y7" s="65">
        <f>CAPEX!Y7</f>
        <v>22</v>
      </c>
      <c r="Z7" s="65">
        <f>CAPEX!Z7</f>
        <v>23</v>
      </c>
      <c r="AA7" s="65">
        <f>CAPEX!AA7</f>
        <v>24</v>
      </c>
      <c r="AB7" s="65">
        <f>CAPEX!AB7</f>
        <v>25</v>
      </c>
      <c r="AC7" s="65">
        <f>CAPEX!AC7</f>
        <v>26</v>
      </c>
      <c r="AD7" s="65">
        <f>CAPEX!AD7</f>
        <v>27</v>
      </c>
      <c r="AE7" s="65">
        <f>CAPEX!AE7</f>
        <v>28</v>
      </c>
      <c r="AF7" s="65">
        <f>CAPEX!AF7</f>
        <v>29</v>
      </c>
    </row>
    <row r="8" spans="1:32" ht="15" customHeight="1">
      <c r="A8" s="69"/>
      <c r="B8" s="69" t="s">
        <v>470</v>
      </c>
      <c r="C8" s="65">
        <f>CAPEX!C9</f>
        <v>0</v>
      </c>
      <c r="D8" s="65">
        <f>CAPEX!D9</f>
        <v>0</v>
      </c>
      <c r="E8" s="65">
        <f>CAPEX!E9</f>
        <v>1</v>
      </c>
      <c r="F8" s="65">
        <f>CAPEX!F9</f>
        <v>2</v>
      </c>
      <c r="G8" s="65">
        <f>CAPEX!G9</f>
        <v>3</v>
      </c>
      <c r="H8" s="65">
        <f>CAPEX!H9</f>
        <v>4</v>
      </c>
      <c r="I8" s="65">
        <f>CAPEX!I9</f>
        <v>5</v>
      </c>
      <c r="J8" s="65">
        <f>CAPEX!J9</f>
        <v>6</v>
      </c>
      <c r="K8" s="65">
        <f>CAPEX!K9</f>
        <v>7</v>
      </c>
      <c r="L8" s="65">
        <f>CAPEX!L9</f>
        <v>8</v>
      </c>
      <c r="M8" s="65">
        <f>CAPEX!M9</f>
        <v>9</v>
      </c>
      <c r="N8" s="65">
        <f>CAPEX!N9</f>
        <v>10</v>
      </c>
      <c r="O8" s="65">
        <f>CAPEX!O9</f>
        <v>11</v>
      </c>
      <c r="P8" s="65">
        <f>CAPEX!P9</f>
        <v>12</v>
      </c>
      <c r="Q8" s="65">
        <f>CAPEX!Q9</f>
        <v>13</v>
      </c>
      <c r="R8" s="65">
        <f>CAPEX!R9</f>
        <v>14</v>
      </c>
      <c r="S8" s="65">
        <f>CAPEX!S9</f>
        <v>15</v>
      </c>
      <c r="T8" s="65">
        <f>CAPEX!T9</f>
        <v>16</v>
      </c>
      <c r="U8" s="65">
        <f>CAPEX!U9</f>
        <v>17</v>
      </c>
      <c r="V8" s="65">
        <f>CAPEX!V9</f>
        <v>18</v>
      </c>
      <c r="W8" s="65">
        <f>CAPEX!W9</f>
        <v>19</v>
      </c>
      <c r="X8" s="65">
        <f>CAPEX!X9</f>
        <v>20</v>
      </c>
      <c r="Y8" s="65">
        <f>CAPEX!Y9</f>
        <v>0</v>
      </c>
      <c r="Z8" s="65">
        <f>CAPEX!Z9</f>
        <v>0</v>
      </c>
      <c r="AA8" s="65">
        <f>CAPEX!AA9</f>
        <v>0</v>
      </c>
      <c r="AB8" s="65">
        <f>CAPEX!AB9</f>
        <v>0</v>
      </c>
      <c r="AC8" s="65">
        <f>CAPEX!AC9</f>
        <v>0</v>
      </c>
      <c r="AD8" s="65">
        <f>CAPEX!AD9</f>
        <v>0</v>
      </c>
      <c r="AE8" s="65">
        <f>CAPEX!AE9</f>
        <v>0</v>
      </c>
      <c r="AF8" s="65">
        <f>CAPEX!AF9</f>
        <v>0</v>
      </c>
    </row>
    <row r="9" spans="1:32" ht="15" customHeight="1">
      <c r="A9" s="69"/>
      <c r="B9" s="69"/>
      <c r="C9" s="64"/>
      <c r="D9" s="64"/>
      <c r="E9" s="64"/>
      <c r="F9" s="64"/>
      <c r="G9" s="64"/>
      <c r="H9" s="64"/>
      <c r="I9" s="64"/>
      <c r="J9" s="64"/>
      <c r="K9" s="64"/>
      <c r="L9" s="64"/>
      <c r="M9" s="64"/>
      <c r="N9" s="64"/>
      <c r="O9" s="64"/>
      <c r="P9" s="64"/>
      <c r="Q9" s="64"/>
      <c r="R9" s="64"/>
      <c r="S9" s="64"/>
      <c r="T9" s="64"/>
      <c r="U9" s="64"/>
      <c r="V9" s="64"/>
      <c r="W9" s="64"/>
      <c r="X9" s="64"/>
      <c r="Y9" s="64"/>
      <c r="Z9" s="64"/>
      <c r="AA9" s="64"/>
      <c r="AB9" s="64"/>
      <c r="AC9" s="64"/>
      <c r="AD9" s="64"/>
      <c r="AE9" s="64"/>
      <c r="AF9" s="64"/>
    </row>
    <row r="10" spans="1:32" ht="15" customHeight="1">
      <c r="A10" s="140" t="s">
        <v>634</v>
      </c>
      <c r="B10" s="140"/>
      <c r="C10" s="141"/>
      <c r="D10" s="141"/>
      <c r="E10" s="141"/>
      <c r="F10" s="141"/>
      <c r="G10" s="141"/>
      <c r="H10" s="141"/>
      <c r="I10" s="141"/>
      <c r="J10" s="141"/>
      <c r="K10" s="141"/>
      <c r="L10" s="141"/>
      <c r="M10" s="141"/>
      <c r="N10" s="141"/>
      <c r="O10" s="141"/>
      <c r="P10" s="141"/>
      <c r="Q10" s="141"/>
      <c r="R10" s="141"/>
      <c r="S10" s="141"/>
      <c r="T10" s="141"/>
      <c r="U10" s="141"/>
      <c r="V10" s="141"/>
      <c r="W10" s="141"/>
      <c r="X10" s="141"/>
      <c r="Y10" s="141"/>
      <c r="Z10" s="141"/>
      <c r="AA10" s="141"/>
      <c r="AB10" s="141"/>
      <c r="AC10" s="141"/>
      <c r="AD10" s="141"/>
      <c r="AE10" s="141"/>
      <c r="AF10" s="141"/>
    </row>
    <row r="11" spans="1:32" ht="15" customHeight="1">
      <c r="A11" s="71" t="s">
        <v>635</v>
      </c>
      <c r="B11" s="71" t="s">
        <v>47</v>
      </c>
      <c r="C11" s="44">
        <f>Energy_Revenue!C20</f>
        <v>0</v>
      </c>
      <c r="D11" s="44">
        <f>Energy_Revenue!D20</f>
        <v>0</v>
      </c>
      <c r="E11" s="44">
        <f>Energy_Revenue!E20</f>
        <v>875.167912</v>
      </c>
      <c r="F11" s="44">
        <f>Energy_Revenue!F20</f>
        <v>870.72697617599999</v>
      </c>
      <c r="G11" s="44">
        <f>Energy_Revenue!G20</f>
        <v>866.24111022364809</v>
      </c>
      <c r="H11" s="44">
        <f>Energy_Revenue!H20</f>
        <v>861.7093277632008</v>
      </c>
      <c r="I11" s="44">
        <f>Energy_Revenue!I20</f>
        <v>857.13062286287436</v>
      </c>
      <c r="J11" s="44">
        <f>Energy_Revenue!J20</f>
        <v>852.50396964745244</v>
      </c>
      <c r="K11" s="44">
        <f>Energy_Revenue!K20</f>
        <v>847.82832189906765</v>
      </c>
      <c r="L11" s="44">
        <f>Energy_Revenue!L20</f>
        <v>843.10261264999804</v>
      </c>
      <c r="M11" s="44">
        <f>Energy_Revenue!M20</f>
        <v>838.32575376732075</v>
      </c>
      <c r="N11" s="44">
        <f>Energy_Revenue!N20</f>
        <v>833.49663552926154</v>
      </c>
      <c r="O11" s="44">
        <f>Energy_Revenue!O20</f>
        <v>828.6141261930677</v>
      </c>
      <c r="P11" s="44">
        <f>Energy_Revenue!P20</f>
        <v>823.67707155424387</v>
      </c>
      <c r="Q11" s="44">
        <f>Energy_Revenue!Q20</f>
        <v>818.68429449696873</v>
      </c>
      <c r="R11" s="44">
        <f>Energy_Revenue!R20</f>
        <v>813.63459453552468</v>
      </c>
      <c r="S11" s="44">
        <f>Energy_Revenue!S20</f>
        <v>808.52674734655477</v>
      </c>
      <c r="T11" s="44">
        <f>Energy_Revenue!T20</f>
        <v>803.35950429196475</v>
      </c>
      <c r="U11" s="44">
        <f>Energy_Revenue!U20</f>
        <v>798.1315919322858</v>
      </c>
      <c r="V11" s="44">
        <f>Energy_Revenue!V20</f>
        <v>792.84171153030456</v>
      </c>
      <c r="W11" s="44">
        <f>Energy_Revenue!W20</f>
        <v>787.48853854476465</v>
      </c>
      <c r="X11" s="44">
        <f>Energy_Revenue!X20</f>
        <v>782.07072211394654</v>
      </c>
      <c r="Y11" s="44">
        <f>Energy_Revenue!Y20</f>
        <v>0</v>
      </c>
      <c r="Z11" s="44">
        <f>Energy_Revenue!Z20</f>
        <v>0</v>
      </c>
      <c r="AA11" s="44">
        <f>Energy_Revenue!AA20</f>
        <v>0</v>
      </c>
      <c r="AB11" s="44">
        <f>Energy_Revenue!AB20</f>
        <v>0</v>
      </c>
      <c r="AC11" s="44">
        <f>Energy_Revenue!AC20</f>
        <v>0</v>
      </c>
      <c r="AD11" s="44">
        <f>Energy_Revenue!AD20</f>
        <v>0</v>
      </c>
      <c r="AE11" s="44">
        <f>Energy_Revenue!AE20</f>
        <v>0</v>
      </c>
      <c r="AF11" s="44">
        <f>Energy_Revenue!AF20</f>
        <v>0</v>
      </c>
    </row>
    <row r="12" spans="1:32" ht="15" customHeight="1">
      <c r="A12" s="71" t="s">
        <v>636</v>
      </c>
      <c r="B12" s="71" t="s">
        <v>474</v>
      </c>
      <c r="C12" s="44">
        <f>CAPEX!C15</f>
        <v>2690.6</v>
      </c>
      <c r="D12" s="44">
        <f>CAPEX!D15</f>
        <v>4035.9</v>
      </c>
      <c r="E12" s="44">
        <f>CAPEX!E15</f>
        <v>0</v>
      </c>
      <c r="F12" s="44">
        <f>CAPEX!F15</f>
        <v>0</v>
      </c>
      <c r="G12" s="44">
        <f>CAPEX!G15</f>
        <v>0</v>
      </c>
      <c r="H12" s="44">
        <f>CAPEX!H15</f>
        <v>0</v>
      </c>
      <c r="I12" s="44">
        <f>CAPEX!I15</f>
        <v>0</v>
      </c>
      <c r="J12" s="44">
        <f>CAPEX!J15</f>
        <v>0</v>
      </c>
      <c r="K12" s="44">
        <f>CAPEX!K15</f>
        <v>0</v>
      </c>
      <c r="L12" s="44">
        <f>CAPEX!L15</f>
        <v>0</v>
      </c>
      <c r="M12" s="44">
        <f>CAPEX!M15</f>
        <v>0</v>
      </c>
      <c r="N12" s="44">
        <f>CAPEX!N15</f>
        <v>0</v>
      </c>
      <c r="O12" s="44">
        <f>CAPEX!O15</f>
        <v>0</v>
      </c>
      <c r="P12" s="44">
        <f>CAPEX!P15</f>
        <v>0</v>
      </c>
      <c r="Q12" s="44">
        <f>CAPEX!Q15</f>
        <v>0</v>
      </c>
      <c r="R12" s="44">
        <f>CAPEX!R15</f>
        <v>0</v>
      </c>
      <c r="S12" s="44">
        <f>CAPEX!S15</f>
        <v>0</v>
      </c>
      <c r="T12" s="44">
        <f>CAPEX!T15</f>
        <v>0</v>
      </c>
      <c r="U12" s="44">
        <f>CAPEX!U15</f>
        <v>0</v>
      </c>
      <c r="V12" s="44">
        <f>CAPEX!V15</f>
        <v>0</v>
      </c>
      <c r="W12" s="44">
        <f>CAPEX!W15</f>
        <v>0</v>
      </c>
      <c r="X12" s="44">
        <f>CAPEX!X15</f>
        <v>0</v>
      </c>
      <c r="Y12" s="44">
        <f>CAPEX!Y15</f>
        <v>0</v>
      </c>
      <c r="Z12" s="44">
        <f>CAPEX!Z15</f>
        <v>0</v>
      </c>
      <c r="AA12" s="44">
        <f>CAPEX!AA15</f>
        <v>0</v>
      </c>
      <c r="AB12" s="44">
        <f>CAPEX!AB15</f>
        <v>0</v>
      </c>
      <c r="AC12" s="44">
        <f>CAPEX!AC15</f>
        <v>0</v>
      </c>
      <c r="AD12" s="44">
        <f>CAPEX!AD15</f>
        <v>0</v>
      </c>
      <c r="AE12" s="44">
        <f>CAPEX!AE15</f>
        <v>0</v>
      </c>
      <c r="AF12" s="44">
        <f>CAPEX!AF15</f>
        <v>0</v>
      </c>
    </row>
    <row r="13" spans="1:32" ht="15" customHeight="1">
      <c r="A13" s="71" t="s">
        <v>637</v>
      </c>
      <c r="B13" s="71" t="s">
        <v>476</v>
      </c>
      <c r="C13" s="44">
        <f>CAPEX!C17</f>
        <v>0</v>
      </c>
      <c r="D13" s="44">
        <f>CAPEX!D17</f>
        <v>244.60000000000002</v>
      </c>
      <c r="E13" s="44">
        <f>CAPEX!E17</f>
        <v>366.90000000000003</v>
      </c>
      <c r="F13" s="44">
        <f>CAPEX!F17</f>
        <v>0</v>
      </c>
      <c r="G13" s="44">
        <f>CAPEX!G17</f>
        <v>0</v>
      </c>
      <c r="H13" s="44">
        <f>CAPEX!H17</f>
        <v>0</v>
      </c>
      <c r="I13" s="44">
        <f>CAPEX!I17</f>
        <v>0</v>
      </c>
      <c r="J13" s="44">
        <f>CAPEX!J17</f>
        <v>0</v>
      </c>
      <c r="K13" s="44">
        <f>CAPEX!K17</f>
        <v>0</v>
      </c>
      <c r="L13" s="44">
        <f>CAPEX!L17</f>
        <v>0</v>
      </c>
      <c r="M13" s="44">
        <f>CAPEX!M17</f>
        <v>0</v>
      </c>
      <c r="N13" s="44">
        <f>CAPEX!N17</f>
        <v>0</v>
      </c>
      <c r="O13" s="44">
        <f>CAPEX!O17</f>
        <v>0</v>
      </c>
      <c r="P13" s="44">
        <f>CAPEX!P17</f>
        <v>0</v>
      </c>
      <c r="Q13" s="44">
        <f>CAPEX!Q17</f>
        <v>0</v>
      </c>
      <c r="R13" s="44">
        <f>CAPEX!R17</f>
        <v>0</v>
      </c>
      <c r="S13" s="44">
        <f>CAPEX!S17</f>
        <v>0</v>
      </c>
      <c r="T13" s="44">
        <f>CAPEX!T17</f>
        <v>0</v>
      </c>
      <c r="U13" s="44">
        <f>CAPEX!U17</f>
        <v>0</v>
      </c>
      <c r="V13" s="44">
        <f>CAPEX!V17</f>
        <v>0</v>
      </c>
      <c r="W13" s="44">
        <f>CAPEX!W17</f>
        <v>0</v>
      </c>
      <c r="X13" s="44">
        <f>CAPEX!X17</f>
        <v>0</v>
      </c>
      <c r="Y13" s="44">
        <f>CAPEX!Y17</f>
        <v>0</v>
      </c>
      <c r="Z13" s="44">
        <f>CAPEX!Z17</f>
        <v>0</v>
      </c>
      <c r="AA13" s="44">
        <f>CAPEX!AA17</f>
        <v>0</v>
      </c>
      <c r="AB13" s="44">
        <f>CAPEX!AB17</f>
        <v>0</v>
      </c>
      <c r="AC13" s="44">
        <f>CAPEX!AC17</f>
        <v>0</v>
      </c>
      <c r="AD13" s="44">
        <f>CAPEX!AD17</f>
        <v>0</v>
      </c>
      <c r="AE13" s="44">
        <f>CAPEX!AE17</f>
        <v>0</v>
      </c>
      <c r="AF13" s="44">
        <f>CAPEX!AF17</f>
        <v>0</v>
      </c>
    </row>
    <row r="14" spans="1:32" ht="15" customHeight="1">
      <c r="A14" s="71" t="s">
        <v>638</v>
      </c>
      <c r="B14" s="71" t="s">
        <v>479</v>
      </c>
      <c r="C14" s="44">
        <f>Debt!C12</f>
        <v>1712.1999999999998</v>
      </c>
      <c r="D14" s="44">
        <f>Debt!D12</f>
        <v>2568.2999999999997</v>
      </c>
      <c r="E14" s="44">
        <f>Debt!E12</f>
        <v>0</v>
      </c>
      <c r="F14" s="44">
        <f>Debt!F12</f>
        <v>0</v>
      </c>
      <c r="G14" s="44">
        <f>Debt!G12</f>
        <v>0</v>
      </c>
      <c r="H14" s="44">
        <f>Debt!H12</f>
        <v>0</v>
      </c>
      <c r="I14" s="44">
        <f>Debt!I12</f>
        <v>0</v>
      </c>
      <c r="J14" s="44">
        <f>Debt!J12</f>
        <v>0</v>
      </c>
      <c r="K14" s="44">
        <f>Debt!K12</f>
        <v>0</v>
      </c>
      <c r="L14" s="44">
        <f>Debt!L12</f>
        <v>0</v>
      </c>
      <c r="M14" s="44">
        <f>Debt!M12</f>
        <v>0</v>
      </c>
      <c r="N14" s="44">
        <f>Debt!N12</f>
        <v>0</v>
      </c>
      <c r="O14" s="44">
        <f>Debt!O12</f>
        <v>0</v>
      </c>
      <c r="P14" s="44">
        <f>Debt!P12</f>
        <v>0</v>
      </c>
      <c r="Q14" s="44">
        <f>Debt!Q12</f>
        <v>0</v>
      </c>
      <c r="R14" s="44">
        <f>Debt!R12</f>
        <v>0</v>
      </c>
      <c r="S14" s="44">
        <f>Debt!S12</f>
        <v>0</v>
      </c>
      <c r="T14" s="44">
        <f>Debt!T12</f>
        <v>0</v>
      </c>
      <c r="U14" s="44">
        <f>Debt!U12</f>
        <v>0</v>
      </c>
      <c r="V14" s="44">
        <f>Debt!V12</f>
        <v>0</v>
      </c>
      <c r="W14" s="44">
        <f>Debt!W12</f>
        <v>0</v>
      </c>
      <c r="X14" s="44">
        <f>Debt!X12</f>
        <v>0</v>
      </c>
      <c r="Y14" s="44">
        <f>Debt!Y12</f>
        <v>0</v>
      </c>
      <c r="Z14" s="44">
        <f>Debt!Z12</f>
        <v>0</v>
      </c>
      <c r="AA14" s="44">
        <f>Debt!AA12</f>
        <v>0</v>
      </c>
      <c r="AB14" s="44">
        <f>Debt!AB12</f>
        <v>0</v>
      </c>
      <c r="AC14" s="44">
        <f>Debt!AC12</f>
        <v>0</v>
      </c>
      <c r="AD14" s="44">
        <f>Debt!AD12</f>
        <v>0</v>
      </c>
      <c r="AE14" s="44">
        <f>Debt!AE12</f>
        <v>0</v>
      </c>
      <c r="AF14" s="44">
        <f>Debt!AF12</f>
        <v>0</v>
      </c>
    </row>
    <row r="15" spans="1:32" ht="15" customHeight="1">
      <c r="A15" s="71" t="s">
        <v>639</v>
      </c>
      <c r="B15" s="71" t="s">
        <v>371</v>
      </c>
      <c r="C15" s="44">
        <f>Debt!C19</f>
        <v>32.103749999999998</v>
      </c>
      <c r="D15" s="44">
        <f>Debt!D19</f>
        <v>0</v>
      </c>
      <c r="E15" s="44">
        <f>Debt!E19</f>
        <v>0</v>
      </c>
      <c r="F15" s="44">
        <f>Debt!F19</f>
        <v>0</v>
      </c>
      <c r="G15" s="44">
        <f>Debt!G19</f>
        <v>0</v>
      </c>
      <c r="H15" s="44">
        <f>Debt!H19</f>
        <v>0</v>
      </c>
      <c r="I15" s="44">
        <f>Debt!I19</f>
        <v>0</v>
      </c>
      <c r="J15" s="44">
        <f>Debt!J19</f>
        <v>0</v>
      </c>
      <c r="K15" s="44">
        <f>Debt!K19</f>
        <v>0</v>
      </c>
      <c r="L15" s="44">
        <f>Debt!L19</f>
        <v>0</v>
      </c>
      <c r="M15" s="44">
        <f>Debt!M19</f>
        <v>0</v>
      </c>
      <c r="N15" s="44">
        <f>Debt!N19</f>
        <v>0</v>
      </c>
      <c r="O15" s="44">
        <f>Debt!O19</f>
        <v>0</v>
      </c>
      <c r="P15" s="44">
        <f>Debt!P19</f>
        <v>0</v>
      </c>
      <c r="Q15" s="44">
        <f>Debt!Q19</f>
        <v>0</v>
      </c>
      <c r="R15" s="44">
        <f>Debt!R19</f>
        <v>0</v>
      </c>
      <c r="S15" s="44">
        <f>Debt!S19</f>
        <v>0</v>
      </c>
      <c r="T15" s="44">
        <f>Debt!T19</f>
        <v>0</v>
      </c>
      <c r="U15" s="44">
        <f>Debt!U19</f>
        <v>0</v>
      </c>
      <c r="V15" s="44">
        <f>Debt!V19</f>
        <v>0</v>
      </c>
      <c r="W15" s="44">
        <f>Debt!W19</f>
        <v>0</v>
      </c>
      <c r="X15" s="44">
        <f>Debt!X19</f>
        <v>0</v>
      </c>
      <c r="Y15" s="44">
        <f>Debt!Y19</f>
        <v>0</v>
      </c>
      <c r="Z15" s="44">
        <f>Debt!Z19</f>
        <v>0</v>
      </c>
      <c r="AA15" s="44">
        <f>Debt!AA19</f>
        <v>0</v>
      </c>
      <c r="AB15" s="44">
        <f>Debt!AB19</f>
        <v>0</v>
      </c>
      <c r="AC15" s="44">
        <f>Debt!AC19</f>
        <v>0</v>
      </c>
      <c r="AD15" s="44">
        <f>Debt!AD19</f>
        <v>0</v>
      </c>
      <c r="AE15" s="44">
        <f>Debt!AE19</f>
        <v>0</v>
      </c>
      <c r="AF15" s="44">
        <f>Debt!AF19</f>
        <v>0</v>
      </c>
    </row>
    <row r="16" spans="1:32" ht="15" customHeight="1">
      <c r="A16" s="71" t="s">
        <v>640</v>
      </c>
      <c r="B16" s="71" t="s">
        <v>525</v>
      </c>
      <c r="C16" s="44">
        <f>Debt!C16</f>
        <v>81.329499999999996</v>
      </c>
      <c r="D16" s="44">
        <f>Debt!D16</f>
        <v>284.65324999999996</v>
      </c>
      <c r="E16" s="44">
        <f>Debt!E16</f>
        <v>406.64749999999998</v>
      </c>
      <c r="F16" s="44">
        <f>Debt!F16</f>
        <v>406.64749999999998</v>
      </c>
      <c r="G16" s="44">
        <f>Debt!G16</f>
        <v>379.53766666666667</v>
      </c>
      <c r="H16" s="44">
        <f>Debt!H16</f>
        <v>352.4278333333333</v>
      </c>
      <c r="I16" s="44">
        <f>Debt!I16</f>
        <v>325.31799999999998</v>
      </c>
      <c r="J16" s="44">
        <f>Debt!J16</f>
        <v>298.20816666666661</v>
      </c>
      <c r="K16" s="44">
        <f>Debt!K16</f>
        <v>271.0983333333333</v>
      </c>
      <c r="L16" s="44">
        <f>Debt!L16</f>
        <v>243.98849999999993</v>
      </c>
      <c r="M16" s="44">
        <f>Debt!M16</f>
        <v>216.87866666666659</v>
      </c>
      <c r="N16" s="44">
        <f>Debt!N16</f>
        <v>189.76883333333325</v>
      </c>
      <c r="O16" s="44">
        <f>Debt!O16</f>
        <v>162.65899999999991</v>
      </c>
      <c r="P16" s="44">
        <f>Debt!P16</f>
        <v>135.54916666666657</v>
      </c>
      <c r="Q16" s="44">
        <f>Debt!Q16</f>
        <v>108.43933333333321</v>
      </c>
      <c r="R16" s="44">
        <f>Debt!R16</f>
        <v>81.329499999999868</v>
      </c>
      <c r="S16" s="44">
        <f>Debt!S16</f>
        <v>54.219666666666541</v>
      </c>
      <c r="T16" s="44">
        <f>Debt!T16</f>
        <v>27.109833333333206</v>
      </c>
      <c r="U16" s="44">
        <f>Debt!U16</f>
        <v>0</v>
      </c>
      <c r="V16" s="44">
        <f>Debt!V16</f>
        <v>0</v>
      </c>
      <c r="W16" s="44">
        <f>Debt!W16</f>
        <v>0</v>
      </c>
      <c r="X16" s="44">
        <f>Debt!X16</f>
        <v>0</v>
      </c>
      <c r="Y16" s="44">
        <f>Debt!Y16</f>
        <v>0</v>
      </c>
      <c r="Z16" s="44">
        <f>Debt!Z16</f>
        <v>0</v>
      </c>
      <c r="AA16" s="44">
        <f>Debt!AA16</f>
        <v>0</v>
      </c>
      <c r="AB16" s="44">
        <f>Debt!AB16</f>
        <v>0</v>
      </c>
      <c r="AC16" s="44">
        <f>Debt!AC16</f>
        <v>0</v>
      </c>
      <c r="AD16" s="44">
        <f>Debt!AD16</f>
        <v>0</v>
      </c>
      <c r="AE16" s="44">
        <f>Debt!AE16</f>
        <v>0</v>
      </c>
      <c r="AF16" s="44">
        <f>Debt!AF16</f>
        <v>0</v>
      </c>
    </row>
    <row r="17" spans="1:32" ht="15" customHeight="1">
      <c r="A17" s="71" t="s">
        <v>641</v>
      </c>
      <c r="B17" s="71" t="s">
        <v>523</v>
      </c>
      <c r="C17" s="44">
        <f>Debt!C15</f>
        <v>0</v>
      </c>
      <c r="D17" s="44">
        <f>Debt!D15</f>
        <v>0</v>
      </c>
      <c r="E17" s="44">
        <f>Debt!E15</f>
        <v>0</v>
      </c>
      <c r="F17" s="44">
        <f>Debt!F15</f>
        <v>285.36666666666667</v>
      </c>
      <c r="G17" s="44">
        <f>Debt!G15</f>
        <v>285.36666666666667</v>
      </c>
      <c r="H17" s="44">
        <f>Debt!H15</f>
        <v>285.36666666666667</v>
      </c>
      <c r="I17" s="44">
        <f>Debt!I15</f>
        <v>285.36666666666667</v>
      </c>
      <c r="J17" s="44">
        <f>Debt!J15</f>
        <v>285.36666666666667</v>
      </c>
      <c r="K17" s="44">
        <f>Debt!K15</f>
        <v>285.36666666666667</v>
      </c>
      <c r="L17" s="44">
        <f>Debt!L15</f>
        <v>285.36666666666667</v>
      </c>
      <c r="M17" s="44">
        <f>Debt!M15</f>
        <v>285.36666666666667</v>
      </c>
      <c r="N17" s="44">
        <f>Debt!N15</f>
        <v>285.36666666666667</v>
      </c>
      <c r="O17" s="44">
        <f>Debt!O15</f>
        <v>285.36666666666667</v>
      </c>
      <c r="P17" s="44">
        <f>Debt!P15</f>
        <v>285.36666666666667</v>
      </c>
      <c r="Q17" s="44">
        <f>Debt!Q15</f>
        <v>285.36666666666667</v>
      </c>
      <c r="R17" s="44">
        <f>Debt!R15</f>
        <v>285.36666666666667</v>
      </c>
      <c r="S17" s="44">
        <f>Debt!S15</f>
        <v>285.36666666666667</v>
      </c>
      <c r="T17" s="44">
        <f>Debt!T15</f>
        <v>285.36666666666531</v>
      </c>
      <c r="U17" s="44">
        <f>Debt!U15</f>
        <v>0</v>
      </c>
      <c r="V17" s="44">
        <f>Debt!V15</f>
        <v>0</v>
      </c>
      <c r="W17" s="44">
        <f>Debt!W15</f>
        <v>0</v>
      </c>
      <c r="X17" s="44">
        <f>Debt!X15</f>
        <v>0</v>
      </c>
      <c r="Y17" s="44">
        <f>Debt!Y15</f>
        <v>0</v>
      </c>
      <c r="Z17" s="44">
        <f>Debt!Z15</f>
        <v>0</v>
      </c>
      <c r="AA17" s="44">
        <f>Debt!AA15</f>
        <v>0</v>
      </c>
      <c r="AB17" s="44">
        <f>Debt!AB15</f>
        <v>0</v>
      </c>
      <c r="AC17" s="44">
        <f>Debt!AC15</f>
        <v>0</v>
      </c>
      <c r="AD17" s="44">
        <f>Debt!AD15</f>
        <v>0</v>
      </c>
      <c r="AE17" s="44">
        <f>Debt!AE15</f>
        <v>0</v>
      </c>
      <c r="AF17" s="44">
        <f>Debt!AF15</f>
        <v>0</v>
      </c>
    </row>
    <row r="18" spans="1:32" ht="15" customHeight="1">
      <c r="A18" s="71" t="s">
        <v>642</v>
      </c>
      <c r="B18" s="71" t="s">
        <v>585</v>
      </c>
      <c r="C18" s="44">
        <f>Dep_Tax!C25</f>
        <v>0</v>
      </c>
      <c r="D18" s="44">
        <f>Dep_Tax!D25</f>
        <v>0</v>
      </c>
      <c r="E18" s="44">
        <f>Dep_Tax!E25</f>
        <v>0</v>
      </c>
      <c r="F18" s="44">
        <f>Dep_Tax!F25</f>
        <v>0</v>
      </c>
      <c r="G18" s="44">
        <f>Dep_Tax!G25</f>
        <v>0</v>
      </c>
      <c r="H18" s="44">
        <f>Dep_Tax!H25</f>
        <v>0</v>
      </c>
      <c r="I18" s="44">
        <f>Dep_Tax!I25</f>
        <v>10.388174268143718</v>
      </c>
      <c r="J18" s="44">
        <f>Dep_Tax!J25</f>
        <v>11.512333274039291</v>
      </c>
      <c r="K18" s="44">
        <f>Dep_Tax!K25</f>
        <v>12.634042553286717</v>
      </c>
      <c r="L18" s="44">
        <f>Dep_Tax!L25</f>
        <v>13.753248757499904</v>
      </c>
      <c r="M18" s="44">
        <f>Dep_Tax!M25</f>
        <v>14.869897480032705</v>
      </c>
      <c r="N18" s="44">
        <f>Dep_Tax!N25</f>
        <v>15.983933234796414</v>
      </c>
      <c r="O18" s="44">
        <f>Dep_Tax!O25</f>
        <v>17.095299434653391</v>
      </c>
      <c r="P18" s="44">
        <f>Dep_Tax!P25</f>
        <v>18.203938369378864</v>
      </c>
      <c r="Q18" s="44">
        <f>Dep_Tax!Q25</f>
        <v>19.309791183181776</v>
      </c>
      <c r="R18" s="44">
        <f>Dep_Tax!R25</f>
        <v>40.82559570355248</v>
      </c>
      <c r="S18" s="44">
        <f>Dep_Tax!S25</f>
        <v>43.025794317988826</v>
      </c>
      <c r="T18" s="44">
        <f>Dep_Tax!T25</f>
        <v>90.440106691726314</v>
      </c>
      <c r="U18" s="44">
        <f>Dep_Tax!U25</f>
        <v>94.81649088645716</v>
      </c>
      <c r="V18" s="44">
        <f>Dep_Tax!V25</f>
        <v>93.758514806060916</v>
      </c>
      <c r="W18" s="44">
        <f>Dep_Tax!W25</f>
        <v>92.687880208952933</v>
      </c>
      <c r="X18" s="44">
        <f>Dep_Tax!X25</f>
        <v>91.604316922789309</v>
      </c>
      <c r="Y18" s="44">
        <f>Dep_Tax!Y25</f>
        <v>0</v>
      </c>
      <c r="Z18" s="44">
        <f>Dep_Tax!Z25</f>
        <v>0</v>
      </c>
      <c r="AA18" s="44">
        <f>Dep_Tax!AA25</f>
        <v>0</v>
      </c>
      <c r="AB18" s="44">
        <f>Dep_Tax!AB25</f>
        <v>0</v>
      </c>
      <c r="AC18" s="44">
        <f>Dep_Tax!AC25</f>
        <v>0</v>
      </c>
      <c r="AD18" s="44">
        <f>Dep_Tax!AD25</f>
        <v>0</v>
      </c>
      <c r="AE18" s="44">
        <f>Dep_Tax!AE25</f>
        <v>0</v>
      </c>
      <c r="AF18" s="44">
        <f>Dep_Tax!AF25</f>
        <v>0</v>
      </c>
    </row>
    <row r="19" spans="1:32" ht="15" customHeight="1">
      <c r="A19" s="71" t="s">
        <v>643</v>
      </c>
      <c r="B19" s="71" t="s">
        <v>611</v>
      </c>
      <c r="C19" s="44">
        <f>IF(C$6=Input!$D$18,Input!$D$28,0)</f>
        <v>0</v>
      </c>
      <c r="D19" s="44">
        <f>IF(D$6=Input!$D$18,Input!$D$28,0)</f>
        <v>0</v>
      </c>
      <c r="E19" s="44">
        <f>IF(E$6=Input!$D$18,Input!$D$28,0)</f>
        <v>0</v>
      </c>
      <c r="F19" s="44">
        <f>IF(F$6=Input!$D$18,Input!$D$28,0)</f>
        <v>0</v>
      </c>
      <c r="G19" s="44">
        <f>IF(G$6=Input!$D$18,Input!$D$28,0)</f>
        <v>0</v>
      </c>
      <c r="H19" s="44">
        <f>IF(H$6=Input!$D$18,Input!$D$28,0)</f>
        <v>0</v>
      </c>
      <c r="I19" s="44">
        <f>IF(I$6=Input!$D$18,Input!$D$28,0)</f>
        <v>0</v>
      </c>
      <c r="J19" s="44">
        <f>IF(J$6=Input!$D$18,Input!$D$28,0)</f>
        <v>0</v>
      </c>
      <c r="K19" s="44">
        <f>IF(K$6=Input!$D$18,Input!$D$28,0)</f>
        <v>0</v>
      </c>
      <c r="L19" s="44">
        <f>IF(L$6=Input!$D$18,Input!$D$28,0)</f>
        <v>0</v>
      </c>
      <c r="M19" s="44">
        <f>IF(M$6=Input!$D$18,Input!$D$28,0)</f>
        <v>0</v>
      </c>
      <c r="N19" s="44">
        <f>IF(N$6=Input!$D$18,Input!$D$28,0)</f>
        <v>0</v>
      </c>
      <c r="O19" s="44">
        <f>IF(O$6=Input!$D$18,Input!$D$28,0)</f>
        <v>0</v>
      </c>
      <c r="P19" s="44">
        <f>IF(P$6=Input!$D$18,Input!$D$28,0)</f>
        <v>0</v>
      </c>
      <c r="Q19" s="44">
        <f>IF(Q$6=Input!$D$18,Input!$D$28,0)</f>
        <v>0</v>
      </c>
      <c r="R19" s="44">
        <f>IF(R$6=Input!$D$18,Input!$D$28,0)</f>
        <v>0</v>
      </c>
      <c r="S19" s="44">
        <f>IF(S$6=Input!$D$18,Input!$D$28,0)</f>
        <v>0</v>
      </c>
      <c r="T19" s="44">
        <f>IF(T$6=Input!$D$18,Input!$D$28,0)</f>
        <v>0</v>
      </c>
      <c r="U19" s="44">
        <f>IF(U$6=Input!$D$18,Input!$D$28,0)</f>
        <v>0</v>
      </c>
      <c r="V19" s="44">
        <f>IF(V$6=Input!$D$18,Input!$D$28,0)</f>
        <v>0</v>
      </c>
      <c r="W19" s="44">
        <f>IF(W$6=Input!$D$18,Input!$D$28,0)</f>
        <v>0</v>
      </c>
      <c r="X19" s="44">
        <f>IF(X$6=Input!$D$18,Input!$D$28,0)</f>
        <v>0</v>
      </c>
      <c r="Y19" s="44">
        <f>IF(Y$6=Input!$D$18,Input!$D$28,0)</f>
        <v>0</v>
      </c>
      <c r="Z19" s="44">
        <f>IF(Z$6=Input!$D$18,Input!$D$28,0)</f>
        <v>0</v>
      </c>
      <c r="AA19" s="44">
        <f>IF(AA$6=Input!$D$18,Input!$D$28,0)</f>
        <v>0</v>
      </c>
      <c r="AB19" s="44">
        <f>IF(AB$6=Input!$D$18,Input!$D$28,0)</f>
        <v>0</v>
      </c>
      <c r="AC19" s="44">
        <f>IF(AC$6=Input!$D$18,Input!$D$28,0)</f>
        <v>0</v>
      </c>
      <c r="AD19" s="44">
        <f>IF(AD$6=Input!$D$18,Input!$D$28,0)</f>
        <v>0</v>
      </c>
      <c r="AE19" s="44">
        <f>IF(AE$6=Input!$D$18,Input!$D$28,0)</f>
        <v>0</v>
      </c>
      <c r="AF19" s="44">
        <f>IF(AF$6=Input!$D$18,Input!$D$28,0)</f>
        <v>0</v>
      </c>
    </row>
    <row r="20" spans="1:32" ht="15" customHeight="1">
      <c r="A20" s="71" t="s">
        <v>644</v>
      </c>
      <c r="B20" s="72" t="s">
        <v>61</v>
      </c>
      <c r="C20" s="43">
        <f t="shared" ref="C20:AF20" si="0">C11-C12+C13+C14-C15-C16-C17-C18+C19</f>
        <v>-1091.8332500000001</v>
      </c>
      <c r="D20" s="43">
        <f t="shared" si="0"/>
        <v>-1507.6532500000003</v>
      </c>
      <c r="E20" s="43">
        <f t="shared" si="0"/>
        <v>835.42041199999994</v>
      </c>
      <c r="F20" s="43">
        <f t="shared" si="0"/>
        <v>178.71280950933334</v>
      </c>
      <c r="G20" s="43">
        <f t="shared" si="0"/>
        <v>201.33677689031475</v>
      </c>
      <c r="H20" s="43">
        <f t="shared" si="0"/>
        <v>223.91482776320083</v>
      </c>
      <c r="I20" s="43">
        <f t="shared" si="0"/>
        <v>236.05778192806397</v>
      </c>
      <c r="J20" s="43">
        <f t="shared" si="0"/>
        <v>257.4168030400798</v>
      </c>
      <c r="K20" s="43">
        <f t="shared" si="0"/>
        <v>278.72927934578104</v>
      </c>
      <c r="L20" s="43">
        <f t="shared" si="0"/>
        <v>299.9941972258315</v>
      </c>
      <c r="M20" s="43">
        <f t="shared" si="0"/>
        <v>321.21052295395475</v>
      </c>
      <c r="N20" s="43">
        <f t="shared" si="0"/>
        <v>342.37720229446512</v>
      </c>
      <c r="O20" s="43">
        <f t="shared" si="0"/>
        <v>363.49316009174777</v>
      </c>
      <c r="P20" s="43">
        <f t="shared" si="0"/>
        <v>384.55729985153175</v>
      </c>
      <c r="Q20" s="43">
        <f t="shared" si="0"/>
        <v>405.56850331378701</v>
      </c>
      <c r="R20" s="43">
        <f t="shared" si="0"/>
        <v>406.11283216530569</v>
      </c>
      <c r="S20" s="43">
        <f t="shared" si="0"/>
        <v>425.91461969523277</v>
      </c>
      <c r="T20" s="43">
        <f t="shared" si="0"/>
        <v>400.44289760023992</v>
      </c>
      <c r="U20" s="43">
        <f t="shared" si="0"/>
        <v>703.31510104582867</v>
      </c>
      <c r="V20" s="43">
        <f t="shared" si="0"/>
        <v>699.08319672424363</v>
      </c>
      <c r="W20" s="43">
        <f t="shared" si="0"/>
        <v>694.8006583358117</v>
      </c>
      <c r="X20" s="43">
        <f t="shared" si="0"/>
        <v>690.46640519115726</v>
      </c>
      <c r="Y20" s="43">
        <f t="shared" si="0"/>
        <v>0</v>
      </c>
      <c r="Z20" s="43">
        <f t="shared" si="0"/>
        <v>0</v>
      </c>
      <c r="AA20" s="43">
        <f t="shared" si="0"/>
        <v>0</v>
      </c>
      <c r="AB20" s="43">
        <f t="shared" si="0"/>
        <v>0</v>
      </c>
      <c r="AC20" s="43">
        <f t="shared" si="0"/>
        <v>0</v>
      </c>
      <c r="AD20" s="43">
        <f t="shared" si="0"/>
        <v>0</v>
      </c>
      <c r="AE20" s="43">
        <f t="shared" si="0"/>
        <v>0</v>
      </c>
      <c r="AF20" s="43">
        <f t="shared" si="0"/>
        <v>0</v>
      </c>
    </row>
    <row r="21" spans="1:32" ht="15" customHeight="1">
      <c r="A21" s="71" t="s">
        <v>645</v>
      </c>
      <c r="B21" s="71" t="s">
        <v>615</v>
      </c>
      <c r="C21" s="52">
        <f>IF(C$6="",0,1/(1+Input!$D$78)^C$7)</f>
        <v>1</v>
      </c>
      <c r="D21" s="52">
        <f>IF(D$6="",0,1/(1+Input!$D$78)^D$7)</f>
        <v>0.89285714285714279</v>
      </c>
      <c r="E21" s="52">
        <f>IF(E$6="",0,1/(1+Input!$D$78)^E$7)</f>
        <v>0.79719387755102034</v>
      </c>
      <c r="F21" s="52">
        <f>IF(F$6="",0,1/(1+Input!$D$78)^F$7)</f>
        <v>0.71178024781341087</v>
      </c>
      <c r="G21" s="52">
        <f>IF(G$6="",0,1/(1+Input!$D$78)^G$7)</f>
        <v>0.63551807840483121</v>
      </c>
      <c r="H21" s="52">
        <f>IF(H$6="",0,1/(1+Input!$D$78)^H$7)</f>
        <v>0.56742685571859919</v>
      </c>
      <c r="I21" s="52">
        <f>IF(I$6="",0,1/(1+Input!$D$78)^I$7)</f>
        <v>0.50663112117732068</v>
      </c>
      <c r="J21" s="52">
        <f>IF(J$6="",0,1/(1+Input!$D$78)^J$7)</f>
        <v>0.45234921533689343</v>
      </c>
      <c r="K21" s="52">
        <f>IF(K$6="",0,1/(1+Input!$D$78)^K$7)</f>
        <v>0.4038832279793691</v>
      </c>
      <c r="L21" s="52">
        <f>IF(L$6="",0,1/(1+Input!$D$78)^L$7)</f>
        <v>0.36061002498157957</v>
      </c>
      <c r="M21" s="52">
        <f>IF(M$6="",0,1/(1+Input!$D$78)^M$7)</f>
        <v>0.32197323659069599</v>
      </c>
      <c r="N21" s="52">
        <f>IF(N$6="",0,1/(1+Input!$D$78)^N$7)</f>
        <v>0.28747610409883567</v>
      </c>
      <c r="O21" s="52">
        <f>IF(O$6="",0,1/(1+Input!$D$78)^O$7)</f>
        <v>0.25667509294538904</v>
      </c>
      <c r="P21" s="52">
        <f>IF(P$6="",0,1/(1+Input!$D$78)^P$7)</f>
        <v>0.22917419012981158</v>
      </c>
      <c r="Q21" s="52">
        <f>IF(Q$6="",0,1/(1+Input!$D$78)^Q$7)</f>
        <v>0.20461981261590317</v>
      </c>
      <c r="R21" s="52">
        <f>IF(R$6="",0,1/(1+Input!$D$78)^R$7)</f>
        <v>0.18269626126419927</v>
      </c>
      <c r="S21" s="52">
        <f>IF(S$6="",0,1/(1+Input!$D$78)^S$7)</f>
        <v>0.16312166184303503</v>
      </c>
      <c r="T21" s="52">
        <f>IF(T$6="",0,1/(1+Input!$D$78)^T$7)</f>
        <v>0.14564434093128129</v>
      </c>
      <c r="U21" s="52">
        <f>IF(U$6="",0,1/(1+Input!$D$78)^U$7)</f>
        <v>0.13003959011721541</v>
      </c>
      <c r="V21" s="52">
        <f>IF(V$6="",0,1/(1+Input!$D$78)^V$7)</f>
        <v>0.1161067768903709</v>
      </c>
      <c r="W21" s="52">
        <f>IF(W$6="",0,1/(1+Input!$D$78)^W$7)</f>
        <v>0.1036667650806883</v>
      </c>
      <c r="X21" s="52">
        <f>IF(X$6="",0,1/(1+Input!$D$78)^X$7)</f>
        <v>9.2559611679185971E-2</v>
      </c>
      <c r="Y21" s="52">
        <f>IF(Y$6="",0,1/(1+Input!$D$78)^Y$7)</f>
        <v>8.2642510427844609E-2</v>
      </c>
      <c r="Z21" s="52">
        <f>IF(Z$6="",0,1/(1+Input!$D$78)^Z$7)</f>
        <v>7.3787955739146982E-2</v>
      </c>
      <c r="AA21" s="52">
        <f>IF(AA$6="",0,1/(1+Input!$D$78)^AA$7)</f>
        <v>6.5882103338524081E-2</v>
      </c>
      <c r="AB21" s="52">
        <f>IF(AB$6="",0,1/(1+Input!$D$78)^AB$7)</f>
        <v>5.8823306552253637E-2</v>
      </c>
      <c r="AC21" s="52">
        <f>IF(AC$6="",0,1/(1+Input!$D$78)^AC$7)</f>
        <v>5.2520809421655032E-2</v>
      </c>
      <c r="AD21" s="52">
        <f>IF(AD$6="",0,1/(1+Input!$D$78)^AD$7)</f>
        <v>4.6893579840763415E-2</v>
      </c>
      <c r="AE21" s="52">
        <f>IF(AE$6="",0,1/(1+Input!$D$78)^AE$7)</f>
        <v>4.1869267714967337E-2</v>
      </c>
      <c r="AF21" s="52">
        <f>IF(AF$6="",0,1/(1+Input!$D$78)^AF$7)</f>
        <v>3.7383274745506546E-2</v>
      </c>
    </row>
    <row r="22" spans="1:32" ht="15" customHeight="1">
      <c r="A22" s="71" t="s">
        <v>646</v>
      </c>
      <c r="B22" s="72" t="s">
        <v>647</v>
      </c>
      <c r="C22" s="43">
        <f t="shared" ref="C22:AF22" si="1">C20*C21</f>
        <v>-1091.8332500000001</v>
      </c>
      <c r="D22" s="43">
        <f t="shared" si="1"/>
        <v>-1346.1189732142859</v>
      </c>
      <c r="E22" s="43">
        <f t="shared" si="1"/>
        <v>665.99203762755087</v>
      </c>
      <c r="F22" s="43">
        <f t="shared" si="1"/>
        <v>127.20424783998418</v>
      </c>
      <c r="G22" s="43">
        <f t="shared" si="1"/>
        <v>127.95316156155506</v>
      </c>
      <c r="H22" s="43">
        <f t="shared" si="1"/>
        <v>127.05528666644474</v>
      </c>
      <c r="I22" s="43">
        <f t="shared" si="1"/>
        <v>119.59421872084651</v>
      </c>
      <c r="J22" s="43">
        <f t="shared" si="1"/>
        <v>116.44228886971175</v>
      </c>
      <c r="K22" s="43">
        <f t="shared" si="1"/>
        <v>112.57408107453733</v>
      </c>
      <c r="L22" s="43">
        <f t="shared" si="1"/>
        <v>108.180914955936</v>
      </c>
      <c r="M22" s="43">
        <f t="shared" si="1"/>
        <v>103.42119170247486</v>
      </c>
      <c r="N22" s="43">
        <f t="shared" si="1"/>
        <v>98.42526424787178</v>
      </c>
      <c r="O22" s="43">
        <f t="shared" si="1"/>
        <v>93.299640651562541</v>
      </c>
      <c r="P22" s="43">
        <f t="shared" si="1"/>
        <v>88.130607751981898</v>
      </c>
      <c r="Q22" s="43">
        <f t="shared" si="1"/>
        <v>82.987351150979407</v>
      </c>
      <c r="R22" s="43">
        <f t="shared" si="1"/>
        <v>74.195296088016605</v>
      </c>
      <c r="S22" s="43">
        <f t="shared" si="1"/>
        <v>69.475900567930623</v>
      </c>
      <c r="T22" s="43">
        <f t="shared" si="1"/>
        <v>58.322241901599504</v>
      </c>
      <c r="U22" s="43">
        <f t="shared" si="1"/>
        <v>91.458807463247496</v>
      </c>
      <c r="V22" s="43">
        <f t="shared" si="1"/>
        <v>81.168296749869029</v>
      </c>
      <c r="W22" s="43">
        <f t="shared" si="1"/>
        <v>72.027736625606167</v>
      </c>
      <c r="X22" s="43">
        <f t="shared" si="1"/>
        <v>63.909302342016993</v>
      </c>
      <c r="Y22" s="43">
        <f t="shared" si="1"/>
        <v>0</v>
      </c>
      <c r="Z22" s="43">
        <f t="shared" si="1"/>
        <v>0</v>
      </c>
      <c r="AA22" s="43">
        <f t="shared" si="1"/>
        <v>0</v>
      </c>
      <c r="AB22" s="43">
        <f t="shared" si="1"/>
        <v>0</v>
      </c>
      <c r="AC22" s="43">
        <f t="shared" si="1"/>
        <v>0</v>
      </c>
      <c r="AD22" s="43">
        <f t="shared" si="1"/>
        <v>0</v>
      </c>
      <c r="AE22" s="43">
        <f t="shared" si="1"/>
        <v>0</v>
      </c>
      <c r="AF22" s="43">
        <f t="shared" si="1"/>
        <v>0</v>
      </c>
    </row>
    <row r="23" spans="1:32" ht="15" customHeight="1">
      <c r="A23" s="71" t="s">
        <v>648</v>
      </c>
      <c r="B23" s="72" t="s">
        <v>619</v>
      </c>
      <c r="C23" s="43">
        <f>C20</f>
        <v>-1091.8332500000001</v>
      </c>
      <c r="D23" s="43">
        <f t="shared" ref="D23:AF23" si="2">C23+D20</f>
        <v>-2599.4865000000004</v>
      </c>
      <c r="E23" s="43">
        <f t="shared" si="2"/>
        <v>-1764.0660880000005</v>
      </c>
      <c r="F23" s="43">
        <f t="shared" si="2"/>
        <v>-1585.3532784906672</v>
      </c>
      <c r="G23" s="43">
        <f t="shared" si="2"/>
        <v>-1384.0165016003525</v>
      </c>
      <c r="H23" s="43">
        <f t="shared" si="2"/>
        <v>-1160.1016738371518</v>
      </c>
      <c r="I23" s="43">
        <f t="shared" si="2"/>
        <v>-924.04389190908785</v>
      </c>
      <c r="J23" s="43">
        <f t="shared" si="2"/>
        <v>-666.62708886900805</v>
      </c>
      <c r="K23" s="43">
        <f t="shared" si="2"/>
        <v>-387.89780952322701</v>
      </c>
      <c r="L23" s="43">
        <f t="shared" si="2"/>
        <v>-87.903612297395512</v>
      </c>
      <c r="M23" s="43">
        <f t="shared" si="2"/>
        <v>233.30691065655924</v>
      </c>
      <c r="N23" s="43">
        <f t="shared" si="2"/>
        <v>575.68411295102442</v>
      </c>
      <c r="O23" s="43">
        <f t="shared" si="2"/>
        <v>939.17727304277219</v>
      </c>
      <c r="P23" s="43">
        <f t="shared" si="2"/>
        <v>1323.7345728943039</v>
      </c>
      <c r="Q23" s="43">
        <f t="shared" si="2"/>
        <v>1729.3030762080909</v>
      </c>
      <c r="R23" s="43">
        <f t="shared" si="2"/>
        <v>2135.4159083733966</v>
      </c>
      <c r="S23" s="43">
        <f t="shared" si="2"/>
        <v>2561.3305280686295</v>
      </c>
      <c r="T23" s="43">
        <f t="shared" si="2"/>
        <v>2961.7734256688695</v>
      </c>
      <c r="U23" s="43">
        <f t="shared" si="2"/>
        <v>3665.0885267146982</v>
      </c>
      <c r="V23" s="43">
        <f t="shared" si="2"/>
        <v>4364.1717234389416</v>
      </c>
      <c r="W23" s="43">
        <f t="shared" si="2"/>
        <v>5058.9723817747536</v>
      </c>
      <c r="X23" s="43">
        <f t="shared" si="2"/>
        <v>5749.4387869659113</v>
      </c>
      <c r="Y23" s="43">
        <f t="shared" si="2"/>
        <v>5749.4387869659113</v>
      </c>
      <c r="Z23" s="43">
        <f t="shared" si="2"/>
        <v>5749.4387869659113</v>
      </c>
      <c r="AA23" s="43">
        <f t="shared" si="2"/>
        <v>5749.4387869659113</v>
      </c>
      <c r="AB23" s="43">
        <f t="shared" si="2"/>
        <v>5749.4387869659113</v>
      </c>
      <c r="AC23" s="43">
        <f t="shared" si="2"/>
        <v>5749.4387869659113</v>
      </c>
      <c r="AD23" s="43">
        <f t="shared" si="2"/>
        <v>5749.4387869659113</v>
      </c>
      <c r="AE23" s="43">
        <f t="shared" si="2"/>
        <v>5749.4387869659113</v>
      </c>
      <c r="AF23" s="43">
        <f t="shared" si="2"/>
        <v>5749.4387869659113</v>
      </c>
    </row>
    <row r="24" spans="1:32" ht="15" customHeight="1">
      <c r="A24" s="71" t="s">
        <v>649</v>
      </c>
      <c r="B24" s="71" t="s">
        <v>621</v>
      </c>
      <c r="C24" s="47" t="str">
        <f t="shared" ref="C24:AF24" si="3">IF(C23&gt;=0,C$6,"")</f>
        <v/>
      </c>
      <c r="D24" s="47" t="str">
        <f t="shared" si="3"/>
        <v/>
      </c>
      <c r="E24" s="47" t="str">
        <f t="shared" si="3"/>
        <v/>
      </c>
      <c r="F24" s="47" t="str">
        <f t="shared" si="3"/>
        <v/>
      </c>
      <c r="G24" s="47" t="str">
        <f t="shared" si="3"/>
        <v/>
      </c>
      <c r="H24" s="47" t="str">
        <f t="shared" si="3"/>
        <v/>
      </c>
      <c r="I24" s="47" t="str">
        <f t="shared" si="3"/>
        <v/>
      </c>
      <c r="J24" s="47" t="str">
        <f t="shared" si="3"/>
        <v/>
      </c>
      <c r="K24" s="47" t="str">
        <f t="shared" si="3"/>
        <v/>
      </c>
      <c r="L24" s="47" t="str">
        <f t="shared" si="3"/>
        <v/>
      </c>
      <c r="M24" s="47">
        <f t="shared" si="3"/>
        <v>2036</v>
      </c>
      <c r="N24" s="47">
        <f t="shared" si="3"/>
        <v>2037</v>
      </c>
      <c r="O24" s="47">
        <f t="shared" si="3"/>
        <v>2038</v>
      </c>
      <c r="P24" s="47">
        <f t="shared" si="3"/>
        <v>2039</v>
      </c>
      <c r="Q24" s="47">
        <f t="shared" si="3"/>
        <v>2040</v>
      </c>
      <c r="R24" s="47">
        <f t="shared" si="3"/>
        <v>2041</v>
      </c>
      <c r="S24" s="47">
        <f t="shared" si="3"/>
        <v>2042</v>
      </c>
      <c r="T24" s="47">
        <f t="shared" si="3"/>
        <v>2043</v>
      </c>
      <c r="U24" s="47">
        <f t="shared" si="3"/>
        <v>2044</v>
      </c>
      <c r="V24" s="47">
        <f t="shared" si="3"/>
        <v>2045</v>
      </c>
      <c r="W24" s="47">
        <f t="shared" si="3"/>
        <v>2046</v>
      </c>
      <c r="X24" s="47">
        <f t="shared" si="3"/>
        <v>2047</v>
      </c>
      <c r="Y24" s="47">
        <f t="shared" si="3"/>
        <v>2048</v>
      </c>
      <c r="Z24" s="47">
        <f t="shared" si="3"/>
        <v>2049</v>
      </c>
      <c r="AA24" s="47">
        <f t="shared" si="3"/>
        <v>2050</v>
      </c>
      <c r="AB24" s="47">
        <f t="shared" si="3"/>
        <v>2051</v>
      </c>
      <c r="AC24" s="47">
        <f t="shared" si="3"/>
        <v>2052</v>
      </c>
      <c r="AD24" s="47">
        <f t="shared" si="3"/>
        <v>2053</v>
      </c>
      <c r="AE24" s="47">
        <f t="shared" si="3"/>
        <v>2054</v>
      </c>
      <c r="AF24" s="47">
        <f t="shared" si="3"/>
        <v>2055</v>
      </c>
    </row>
    <row r="25" spans="1:32" ht="15" customHeight="1">
      <c r="A25" s="69"/>
      <c r="B25" s="69"/>
      <c r="C25" s="64"/>
      <c r="D25" s="64"/>
      <c r="E25" s="64"/>
      <c r="F25" s="64"/>
      <c r="G25" s="64"/>
      <c r="H25" s="64"/>
      <c r="I25" s="64"/>
      <c r="J25" s="64"/>
      <c r="K25" s="64"/>
      <c r="L25" s="64"/>
      <c r="M25" s="64"/>
      <c r="N25" s="64"/>
      <c r="O25" s="64"/>
      <c r="P25" s="64"/>
      <c r="Q25" s="64"/>
      <c r="R25" s="64"/>
      <c r="S25" s="64"/>
      <c r="T25" s="64"/>
      <c r="U25" s="64"/>
      <c r="V25" s="64"/>
      <c r="W25" s="64"/>
      <c r="X25" s="64"/>
      <c r="Y25" s="64"/>
      <c r="Z25" s="64"/>
      <c r="AA25" s="64"/>
      <c r="AB25" s="64"/>
      <c r="AC25" s="64"/>
      <c r="AD25" s="64"/>
      <c r="AE25" s="64"/>
      <c r="AF25" s="64"/>
    </row>
    <row r="26" spans="1:32" ht="15" customHeight="1">
      <c r="A26" s="140" t="s">
        <v>650</v>
      </c>
      <c r="B26" s="140"/>
      <c r="C26" s="141"/>
      <c r="D26" s="141"/>
      <c r="E26" s="141"/>
      <c r="F26" s="141"/>
      <c r="G26" s="141"/>
      <c r="H26" s="141"/>
      <c r="I26" s="141"/>
      <c r="J26" s="141"/>
      <c r="K26" s="141"/>
      <c r="L26" s="141"/>
      <c r="M26" s="141"/>
      <c r="N26" s="141"/>
      <c r="O26" s="141"/>
      <c r="P26" s="141"/>
      <c r="Q26" s="141"/>
      <c r="R26" s="141"/>
      <c r="S26" s="141"/>
      <c r="T26" s="141"/>
      <c r="U26" s="141"/>
      <c r="V26" s="141"/>
      <c r="W26" s="141"/>
      <c r="X26" s="141"/>
      <c r="Y26" s="141"/>
      <c r="Z26" s="141"/>
      <c r="AA26" s="141"/>
      <c r="AB26" s="141"/>
      <c r="AC26" s="141"/>
      <c r="AD26" s="141"/>
      <c r="AE26" s="141"/>
      <c r="AF26" s="141"/>
    </row>
    <row r="27" spans="1:32" ht="15" customHeight="1">
      <c r="A27" s="69" t="s">
        <v>539</v>
      </c>
      <c r="B27" s="69" t="s">
        <v>63</v>
      </c>
      <c r="C27" s="75">
        <f>IF(COUNTIF(C20:AF20,"&lt;0")*COUNTIF(C20:AF20,"&gt;0")=0,0,IRR(C20:AF20))</f>
        <v>0.12254153062049333</v>
      </c>
      <c r="D27" s="64"/>
      <c r="E27" s="64"/>
      <c r="F27" s="64"/>
      <c r="G27" s="64"/>
      <c r="H27" s="64"/>
      <c r="I27" s="64"/>
      <c r="J27" s="64"/>
      <c r="K27" s="64"/>
      <c r="L27" s="64"/>
      <c r="M27" s="64"/>
      <c r="N27" s="64"/>
      <c r="O27" s="64"/>
      <c r="P27" s="64"/>
      <c r="Q27" s="64"/>
      <c r="R27" s="64"/>
      <c r="S27" s="64"/>
      <c r="T27" s="64"/>
      <c r="U27" s="64"/>
      <c r="V27" s="64"/>
      <c r="W27" s="64"/>
      <c r="X27" s="64"/>
      <c r="Y27" s="64"/>
      <c r="Z27" s="64"/>
      <c r="AA27" s="64"/>
      <c r="AB27" s="64"/>
      <c r="AC27" s="64"/>
      <c r="AD27" s="64"/>
      <c r="AE27" s="64"/>
      <c r="AF27" s="64"/>
    </row>
    <row r="28" spans="1:32" ht="15" customHeight="1">
      <c r="A28" s="69" t="s">
        <v>540</v>
      </c>
      <c r="B28" s="69" t="s">
        <v>67</v>
      </c>
      <c r="C28" s="67">
        <f>SUM(C22:AF22)</f>
        <v>43.865651345437307</v>
      </c>
      <c r="D28" s="64"/>
      <c r="E28" s="64"/>
      <c r="F28" s="64"/>
      <c r="G28" s="64"/>
      <c r="H28" s="64"/>
      <c r="I28" s="64"/>
      <c r="J28" s="64"/>
      <c r="K28" s="64"/>
      <c r="L28" s="64"/>
      <c r="M28" s="64"/>
      <c r="N28" s="64"/>
      <c r="O28" s="64"/>
      <c r="P28" s="64"/>
      <c r="Q28" s="64"/>
      <c r="R28" s="64"/>
      <c r="S28" s="64"/>
      <c r="T28" s="64"/>
      <c r="U28" s="64"/>
      <c r="V28" s="64"/>
      <c r="W28" s="64"/>
      <c r="X28" s="64"/>
      <c r="Y28" s="64"/>
      <c r="Z28" s="64"/>
      <c r="AA28" s="64"/>
      <c r="AB28" s="64"/>
      <c r="AC28" s="64"/>
      <c r="AD28" s="64"/>
      <c r="AE28" s="64"/>
      <c r="AF28" s="64"/>
    </row>
    <row r="29" spans="1:32" ht="15" customHeight="1">
      <c r="A29" s="69" t="s">
        <v>541</v>
      </c>
      <c r="B29" s="69" t="s">
        <v>651</v>
      </c>
      <c r="C29" s="76">
        <f>IF(COUNT(C24:AF24)=0,0,MIN(C24:AF24))</f>
        <v>2036</v>
      </c>
      <c r="D29" s="64"/>
      <c r="E29" s="64"/>
      <c r="F29" s="64"/>
      <c r="G29" s="64"/>
      <c r="H29" s="64"/>
      <c r="I29" s="64"/>
      <c r="J29" s="64"/>
      <c r="K29" s="64"/>
      <c r="L29" s="64"/>
      <c r="M29" s="64"/>
      <c r="N29" s="64"/>
      <c r="O29" s="64"/>
      <c r="P29" s="64"/>
      <c r="Q29" s="64"/>
      <c r="R29" s="64"/>
      <c r="S29" s="64"/>
      <c r="T29" s="64"/>
      <c r="U29" s="64"/>
      <c r="V29" s="64"/>
      <c r="W29" s="64"/>
      <c r="X29" s="64"/>
      <c r="Y29" s="64"/>
      <c r="Z29" s="64"/>
      <c r="AA29" s="64"/>
      <c r="AB29" s="64"/>
      <c r="AC29" s="64"/>
      <c r="AD29" s="64"/>
      <c r="AE29" s="64"/>
      <c r="AF29" s="64"/>
    </row>
    <row r="30" spans="1:32" ht="15" customHeight="1">
      <c r="A30" s="69" t="s">
        <v>543</v>
      </c>
      <c r="B30" s="69" t="s">
        <v>652</v>
      </c>
      <c r="C30" s="76">
        <f>IF(C29=0,0,C29-Input!$D$14)</f>
        <v>10</v>
      </c>
      <c r="D30" s="64"/>
      <c r="E30" s="64"/>
      <c r="F30" s="64"/>
      <c r="G30" s="64"/>
      <c r="H30" s="64"/>
      <c r="I30" s="64"/>
      <c r="J30" s="64"/>
      <c r="K30" s="64"/>
      <c r="L30" s="64"/>
      <c r="M30" s="64"/>
      <c r="N30" s="64"/>
      <c r="O30" s="64"/>
      <c r="P30" s="64"/>
      <c r="Q30" s="64"/>
      <c r="R30" s="64"/>
      <c r="S30" s="64"/>
      <c r="T30" s="64"/>
      <c r="U30" s="64"/>
      <c r="V30" s="64"/>
      <c r="W30" s="64"/>
      <c r="X30" s="64"/>
      <c r="Y30" s="64"/>
      <c r="Z30" s="64"/>
      <c r="AA30" s="64"/>
      <c r="AB30" s="64"/>
      <c r="AC30" s="64"/>
      <c r="AD30" s="64"/>
      <c r="AE30" s="64"/>
      <c r="AF30" s="64"/>
    </row>
    <row r="31" spans="1:32" ht="15" customHeight="1">
      <c r="A31" s="69" t="s">
        <v>544</v>
      </c>
      <c r="B31" s="69" t="s">
        <v>438</v>
      </c>
      <c r="C31" s="67">
        <f>-SUMIF(C20:AF20,"&lt;0",C20:AF20)</f>
        <v>2599.4865000000004</v>
      </c>
      <c r="D31" s="64"/>
      <c r="E31" s="64"/>
      <c r="F31" s="64"/>
      <c r="G31" s="64"/>
      <c r="H31" s="64"/>
      <c r="I31" s="64"/>
      <c r="J31" s="64"/>
      <c r="K31" s="64"/>
      <c r="L31" s="64"/>
      <c r="M31" s="64"/>
      <c r="N31" s="64"/>
      <c r="O31" s="64"/>
      <c r="P31" s="64"/>
      <c r="Q31" s="64"/>
      <c r="R31" s="64"/>
      <c r="S31" s="64"/>
      <c r="T31" s="64"/>
      <c r="U31" s="64"/>
      <c r="V31" s="64"/>
      <c r="W31" s="64"/>
      <c r="X31" s="64"/>
      <c r="Y31" s="64"/>
      <c r="Z31" s="64"/>
      <c r="AA31" s="64"/>
      <c r="AB31" s="64"/>
      <c r="AC31" s="64"/>
      <c r="AD31" s="64"/>
      <c r="AE31" s="64"/>
      <c r="AF31" s="64"/>
    </row>
    <row r="32" spans="1:32" ht="15" customHeight="1">
      <c r="A32" s="69"/>
      <c r="B32" s="69"/>
      <c r="C32" s="64"/>
      <c r="D32" s="64"/>
      <c r="E32" s="64"/>
      <c r="F32" s="64"/>
      <c r="G32" s="64"/>
      <c r="H32" s="64"/>
      <c r="I32" s="64"/>
      <c r="J32" s="64"/>
      <c r="K32" s="64"/>
      <c r="L32" s="64"/>
      <c r="M32" s="64"/>
      <c r="N32" s="64"/>
      <c r="O32" s="64"/>
      <c r="P32" s="64"/>
      <c r="Q32" s="64"/>
      <c r="R32" s="64"/>
      <c r="S32" s="64"/>
      <c r="T32" s="64"/>
      <c r="U32" s="64"/>
      <c r="V32" s="64"/>
      <c r="W32" s="64"/>
      <c r="X32" s="64"/>
      <c r="Y32" s="64"/>
      <c r="Z32" s="64"/>
      <c r="AA32" s="64"/>
      <c r="AB32" s="64"/>
      <c r="AC32" s="64"/>
      <c r="AD32" s="64"/>
      <c r="AE32" s="64"/>
      <c r="AF32" s="64"/>
    </row>
    <row r="33" spans="1:32" ht="15" customHeight="1">
      <c r="A33" s="69"/>
      <c r="B33" s="69"/>
      <c r="C33" s="64"/>
      <c r="D33" s="64"/>
      <c r="E33" s="64"/>
      <c r="F33" s="64"/>
      <c r="G33" s="64"/>
      <c r="H33" s="64"/>
      <c r="I33" s="64"/>
      <c r="J33" s="64"/>
      <c r="K33" s="64"/>
      <c r="L33" s="64"/>
      <c r="M33" s="64"/>
      <c r="N33" s="64"/>
      <c r="O33" s="64"/>
      <c r="P33" s="64"/>
      <c r="Q33" s="64"/>
      <c r="R33" s="64"/>
      <c r="S33" s="64"/>
      <c r="T33" s="64"/>
      <c r="U33" s="64"/>
      <c r="V33" s="64"/>
      <c r="W33" s="64"/>
      <c r="X33" s="64"/>
      <c r="Y33" s="64"/>
      <c r="Z33" s="64"/>
      <c r="AA33" s="64"/>
      <c r="AB33" s="64"/>
      <c r="AC33" s="64"/>
      <c r="AD33" s="64"/>
      <c r="AE33" s="64"/>
      <c r="AF33" s="64"/>
    </row>
    <row r="34" spans="1:32" ht="15" customHeight="1">
      <c r="A34" s="69"/>
      <c r="B34" s="69"/>
      <c r="C34" s="64"/>
      <c r="D34" s="64"/>
      <c r="E34" s="64"/>
      <c r="F34" s="64"/>
      <c r="G34" s="64"/>
      <c r="H34" s="64"/>
      <c r="I34" s="64"/>
      <c r="J34" s="64"/>
      <c r="K34" s="64"/>
      <c r="L34" s="64"/>
      <c r="M34" s="64"/>
      <c r="N34" s="64"/>
      <c r="O34" s="64"/>
      <c r="P34" s="64"/>
      <c r="Q34" s="64"/>
      <c r="R34" s="64"/>
      <c r="S34" s="64"/>
      <c r="T34" s="64"/>
      <c r="U34" s="64"/>
      <c r="V34" s="64"/>
      <c r="W34" s="64"/>
      <c r="X34" s="64"/>
      <c r="Y34" s="64"/>
      <c r="Z34" s="64"/>
      <c r="AA34" s="64"/>
      <c r="AB34" s="64"/>
      <c r="AC34" s="64"/>
      <c r="AD34" s="64"/>
      <c r="AE34" s="64"/>
      <c r="AF34" s="64"/>
    </row>
    <row r="35" spans="1:32" ht="15" customHeight="1">
      <c r="A35" s="69"/>
      <c r="B35" s="69"/>
      <c r="C35" s="64"/>
      <c r="D35" s="64"/>
      <c r="E35" s="64"/>
      <c r="F35" s="64"/>
      <c r="G35" s="64"/>
      <c r="H35" s="64"/>
      <c r="I35" s="64"/>
      <c r="J35" s="64"/>
      <c r="K35" s="64"/>
      <c r="L35" s="64"/>
      <c r="M35" s="64"/>
      <c r="N35" s="64"/>
      <c r="O35" s="64"/>
      <c r="P35" s="64"/>
      <c r="Q35" s="64"/>
      <c r="R35" s="64"/>
      <c r="S35" s="64"/>
      <c r="T35" s="64"/>
      <c r="U35" s="64"/>
      <c r="V35" s="64"/>
      <c r="W35" s="64"/>
      <c r="X35" s="64"/>
      <c r="Y35" s="64"/>
      <c r="Z35" s="64"/>
      <c r="AA35" s="64"/>
      <c r="AB35" s="64"/>
      <c r="AC35" s="64"/>
      <c r="AD35" s="64"/>
      <c r="AE35" s="64"/>
      <c r="AF35" s="64"/>
    </row>
    <row r="36" spans="1:32" ht="15" customHeight="1">
      <c r="A36" s="69"/>
      <c r="B36" s="69"/>
      <c r="C36" s="64"/>
      <c r="D36" s="64"/>
      <c r="E36" s="64"/>
      <c r="F36" s="64"/>
      <c r="G36" s="64"/>
      <c r="H36" s="64"/>
      <c r="I36" s="64"/>
      <c r="J36" s="64"/>
      <c r="K36" s="64"/>
      <c r="L36" s="64"/>
      <c r="M36" s="64"/>
      <c r="N36" s="64"/>
      <c r="O36" s="64"/>
      <c r="P36" s="64"/>
      <c r="Q36" s="64"/>
      <c r="R36" s="64"/>
      <c r="S36" s="64"/>
      <c r="T36" s="64"/>
      <c r="U36" s="64"/>
      <c r="V36" s="64"/>
      <c r="W36" s="64"/>
      <c r="X36" s="64"/>
      <c r="Y36" s="64"/>
      <c r="Z36" s="64"/>
      <c r="AA36" s="64"/>
      <c r="AB36" s="64"/>
      <c r="AC36" s="64"/>
      <c r="AD36" s="64"/>
      <c r="AE36" s="64"/>
      <c r="AF36" s="64"/>
    </row>
    <row r="37" spans="1:32" ht="15" customHeight="1">
      <c r="A37" s="69"/>
      <c r="B37" s="69"/>
      <c r="C37" s="64"/>
      <c r="D37" s="64"/>
      <c r="E37" s="64"/>
      <c r="F37" s="64"/>
      <c r="G37" s="64"/>
      <c r="H37" s="64"/>
      <c r="I37" s="64"/>
      <c r="J37" s="64"/>
      <c r="K37" s="64"/>
      <c r="L37" s="64"/>
      <c r="M37" s="64"/>
      <c r="N37" s="64"/>
      <c r="O37" s="64"/>
      <c r="P37" s="64"/>
      <c r="Q37" s="64"/>
      <c r="R37" s="64"/>
      <c r="S37" s="64"/>
      <c r="T37" s="64"/>
      <c r="U37" s="64"/>
      <c r="V37" s="64"/>
      <c r="W37" s="64"/>
      <c r="X37" s="64"/>
      <c r="Y37" s="64"/>
      <c r="Z37" s="64"/>
      <c r="AA37" s="64"/>
      <c r="AB37" s="64"/>
      <c r="AC37" s="64"/>
      <c r="AD37" s="64"/>
      <c r="AE37" s="64"/>
      <c r="AF37" s="64"/>
    </row>
    <row r="38" spans="1:32" ht="15" customHeight="1">
      <c r="A38" s="69"/>
      <c r="B38" s="69"/>
      <c r="C38" s="64"/>
      <c r="D38" s="64"/>
      <c r="E38" s="64"/>
      <c r="F38" s="64"/>
      <c r="G38" s="64"/>
      <c r="H38" s="64"/>
      <c r="I38" s="64"/>
      <c r="J38" s="64"/>
      <c r="K38" s="64"/>
      <c r="L38" s="64"/>
      <c r="M38" s="64"/>
      <c r="N38" s="64"/>
      <c r="O38" s="64"/>
      <c r="P38" s="64"/>
      <c r="Q38" s="64"/>
      <c r="R38" s="64"/>
      <c r="S38" s="64"/>
      <c r="T38" s="64"/>
      <c r="U38" s="64"/>
      <c r="V38" s="64"/>
      <c r="W38" s="64"/>
      <c r="X38" s="64"/>
      <c r="Y38" s="64"/>
      <c r="Z38" s="64"/>
      <c r="AA38" s="64"/>
      <c r="AB38" s="64"/>
      <c r="AC38" s="64"/>
      <c r="AD38" s="64"/>
      <c r="AE38" s="64"/>
      <c r="AF38" s="64"/>
    </row>
    <row r="39" spans="1:32" ht="15" customHeight="1">
      <c r="A39" s="69"/>
      <c r="B39" s="69"/>
      <c r="C39" s="64"/>
      <c r="D39" s="64"/>
      <c r="E39" s="64"/>
      <c r="F39" s="64"/>
      <c r="G39" s="64"/>
      <c r="H39" s="64"/>
      <c r="I39" s="64"/>
      <c r="J39" s="64"/>
      <c r="K39" s="64"/>
      <c r="L39" s="64"/>
      <c r="M39" s="64"/>
      <c r="N39" s="64"/>
      <c r="O39" s="64"/>
      <c r="P39" s="64"/>
      <c r="Q39" s="64"/>
      <c r="R39" s="64"/>
      <c r="S39" s="64"/>
      <c r="T39" s="64"/>
      <c r="U39" s="64"/>
      <c r="V39" s="64"/>
      <c r="W39" s="64"/>
      <c r="X39" s="64"/>
      <c r="Y39" s="64"/>
      <c r="Z39" s="64"/>
      <c r="AA39" s="64"/>
      <c r="AB39" s="64"/>
      <c r="AC39" s="64"/>
      <c r="AD39" s="64"/>
      <c r="AE39" s="64"/>
      <c r="AF39" s="64"/>
    </row>
    <row r="40" spans="1:32" ht="15" customHeight="1">
      <c r="A40" s="69"/>
      <c r="B40" s="69"/>
      <c r="C40" s="64"/>
      <c r="D40" s="64"/>
      <c r="E40" s="64"/>
      <c r="F40" s="64"/>
      <c r="G40" s="64"/>
      <c r="H40" s="64"/>
      <c r="I40" s="64"/>
      <c r="J40" s="64"/>
      <c r="K40" s="64"/>
      <c r="L40" s="64"/>
      <c r="M40" s="64"/>
      <c r="N40" s="64"/>
      <c r="O40" s="64"/>
      <c r="P40" s="64"/>
      <c r="Q40" s="64"/>
      <c r="R40" s="64"/>
      <c r="S40" s="64"/>
      <c r="T40" s="64"/>
      <c r="U40" s="64"/>
      <c r="V40" s="64"/>
      <c r="W40" s="64"/>
      <c r="X40" s="64"/>
      <c r="Y40" s="64"/>
      <c r="Z40" s="64"/>
      <c r="AA40" s="64"/>
      <c r="AB40" s="64"/>
      <c r="AC40" s="64"/>
      <c r="AD40" s="64"/>
      <c r="AE40" s="64"/>
      <c r="AF40" s="64"/>
    </row>
    <row r="41" spans="1:32">
      <c r="A41" s="40"/>
      <c r="B41" s="40"/>
      <c r="C41" s="40"/>
      <c r="D41" s="40"/>
      <c r="E41" s="40"/>
      <c r="F41" s="40"/>
      <c r="G41" s="40"/>
      <c r="H41" s="40"/>
      <c r="I41" s="40"/>
      <c r="J41" s="40"/>
      <c r="K41" s="40"/>
      <c r="L41" s="40"/>
      <c r="M41" s="40"/>
      <c r="N41" s="40"/>
      <c r="O41" s="40"/>
      <c r="P41" s="40"/>
      <c r="Q41" s="40"/>
      <c r="R41" s="40"/>
      <c r="S41" s="40"/>
      <c r="T41" s="40"/>
      <c r="U41" s="40"/>
      <c r="V41" s="40"/>
      <c r="W41" s="40"/>
      <c r="X41" s="40"/>
      <c r="Y41" s="40"/>
      <c r="Z41" s="40"/>
      <c r="AA41" s="40"/>
      <c r="AB41" s="40"/>
      <c r="AC41" s="40"/>
      <c r="AD41" s="40"/>
      <c r="AE41" s="40"/>
      <c r="AF41" s="40"/>
    </row>
    <row r="42" spans="1:32">
      <c r="A42" s="40"/>
      <c r="B42" s="40"/>
      <c r="C42" s="40"/>
      <c r="D42" s="40"/>
      <c r="E42" s="40"/>
      <c r="F42" s="40"/>
      <c r="G42" s="40"/>
      <c r="H42" s="40"/>
      <c r="I42" s="40"/>
      <c r="J42" s="40"/>
      <c r="K42" s="40"/>
      <c r="L42" s="40"/>
      <c r="M42" s="40"/>
      <c r="N42" s="40"/>
      <c r="O42" s="40"/>
      <c r="P42" s="40"/>
      <c r="Q42" s="40"/>
      <c r="R42" s="40"/>
      <c r="S42" s="40"/>
      <c r="T42" s="40"/>
      <c r="U42" s="40"/>
      <c r="V42" s="40"/>
      <c r="W42" s="40"/>
      <c r="X42" s="40"/>
      <c r="Y42" s="40"/>
      <c r="Z42" s="40"/>
      <c r="AA42" s="40"/>
      <c r="AB42" s="40"/>
      <c r="AC42" s="40"/>
      <c r="AD42" s="40"/>
      <c r="AE42" s="40"/>
      <c r="AF42" s="40"/>
    </row>
    <row r="43" spans="1:32">
      <c r="A43" s="40"/>
      <c r="B43" s="40"/>
      <c r="C43" s="40"/>
      <c r="D43" s="40"/>
      <c r="E43" s="40"/>
      <c r="F43" s="40"/>
      <c r="G43" s="40"/>
      <c r="H43" s="40"/>
      <c r="I43" s="40"/>
      <c r="J43" s="40"/>
      <c r="K43" s="40"/>
      <c r="L43" s="40"/>
      <c r="M43" s="40"/>
      <c r="N43" s="40"/>
      <c r="O43" s="40"/>
      <c r="P43" s="40"/>
      <c r="Q43" s="40"/>
      <c r="R43" s="40"/>
      <c r="S43" s="40"/>
      <c r="T43" s="40"/>
      <c r="U43" s="40"/>
      <c r="V43" s="40"/>
      <c r="W43" s="40"/>
      <c r="X43" s="40"/>
      <c r="Y43" s="40"/>
      <c r="Z43" s="40"/>
      <c r="AA43" s="40"/>
      <c r="AB43" s="40"/>
      <c r="AC43" s="40"/>
      <c r="AD43" s="40"/>
      <c r="AE43" s="40"/>
      <c r="AF43" s="40"/>
    </row>
    <row r="44" spans="1:32">
      <c r="A44" s="40"/>
      <c r="B44" s="40"/>
      <c r="C44" s="40"/>
      <c r="D44" s="40"/>
      <c r="E44" s="40"/>
      <c r="F44" s="40"/>
      <c r="G44" s="40"/>
      <c r="H44" s="40"/>
      <c r="I44" s="40"/>
      <c r="J44" s="40"/>
      <c r="K44" s="40"/>
      <c r="L44" s="40"/>
      <c r="M44" s="40"/>
      <c r="N44" s="40"/>
      <c r="O44" s="40"/>
      <c r="P44" s="40"/>
      <c r="Q44" s="40"/>
      <c r="R44" s="40"/>
      <c r="S44" s="40"/>
      <c r="T44" s="40"/>
      <c r="U44" s="40"/>
      <c r="V44" s="40"/>
      <c r="W44" s="40"/>
      <c r="X44" s="40"/>
      <c r="Y44" s="40"/>
      <c r="Z44" s="40"/>
      <c r="AA44" s="40"/>
      <c r="AB44" s="40"/>
      <c r="AC44" s="40"/>
      <c r="AD44" s="40"/>
      <c r="AE44" s="40"/>
      <c r="AF44" s="40"/>
    </row>
    <row r="45" spans="1:32">
      <c r="A45" s="40"/>
      <c r="B45" s="40"/>
      <c r="C45" s="40"/>
      <c r="D45" s="40"/>
      <c r="E45" s="40"/>
      <c r="F45" s="40"/>
      <c r="G45" s="40"/>
      <c r="H45" s="40"/>
      <c r="I45" s="40"/>
      <c r="J45" s="40"/>
      <c r="K45" s="40"/>
      <c r="L45" s="40"/>
      <c r="M45" s="40"/>
      <c r="N45" s="40"/>
      <c r="O45" s="40"/>
      <c r="P45" s="40"/>
      <c r="Q45" s="40"/>
      <c r="R45" s="40"/>
      <c r="S45" s="40"/>
      <c r="T45" s="40"/>
      <c r="U45" s="40"/>
      <c r="V45" s="40"/>
      <c r="W45" s="40"/>
      <c r="X45" s="40"/>
      <c r="Y45" s="40"/>
      <c r="Z45" s="40"/>
      <c r="AA45" s="40"/>
      <c r="AB45" s="40"/>
      <c r="AC45" s="40"/>
      <c r="AD45" s="40"/>
      <c r="AE45" s="40"/>
      <c r="AF45" s="40"/>
    </row>
    <row r="46" spans="1:32">
      <c r="A46" s="40"/>
      <c r="B46" s="40"/>
      <c r="C46" s="40"/>
      <c r="D46" s="40"/>
      <c r="E46" s="40"/>
      <c r="F46" s="40"/>
      <c r="G46" s="40"/>
      <c r="H46" s="40"/>
      <c r="I46" s="40"/>
      <c r="J46" s="40"/>
      <c r="K46" s="40"/>
      <c r="L46" s="40"/>
      <c r="M46" s="40"/>
      <c r="N46" s="40"/>
      <c r="O46" s="40"/>
      <c r="P46" s="40"/>
      <c r="Q46" s="40"/>
      <c r="R46" s="40"/>
      <c r="S46" s="40"/>
      <c r="T46" s="40"/>
      <c r="U46" s="40"/>
      <c r="V46" s="40"/>
      <c r="W46" s="40"/>
      <c r="X46" s="40"/>
      <c r="Y46" s="40"/>
      <c r="Z46" s="40"/>
      <c r="AA46" s="40"/>
      <c r="AB46" s="40"/>
      <c r="AC46" s="40"/>
      <c r="AD46" s="40"/>
      <c r="AE46" s="40"/>
      <c r="AF46" s="40"/>
    </row>
    <row r="47" spans="1:32">
      <c r="A47" s="40"/>
      <c r="B47" s="40"/>
      <c r="C47" s="40"/>
      <c r="D47" s="40"/>
      <c r="E47" s="40"/>
      <c r="F47" s="40"/>
      <c r="G47" s="40"/>
      <c r="H47" s="40"/>
      <c r="I47" s="40"/>
      <c r="J47" s="40"/>
      <c r="K47" s="40"/>
      <c r="L47" s="40"/>
      <c r="M47" s="40"/>
      <c r="N47" s="40"/>
      <c r="O47" s="40"/>
      <c r="P47" s="40"/>
      <c r="Q47" s="40"/>
      <c r="R47" s="40"/>
      <c r="S47" s="40"/>
      <c r="T47" s="40"/>
      <c r="U47" s="40"/>
      <c r="V47" s="40"/>
      <c r="W47" s="40"/>
      <c r="X47" s="40"/>
      <c r="Y47" s="40"/>
      <c r="Z47" s="40"/>
      <c r="AA47" s="40"/>
      <c r="AB47" s="40"/>
      <c r="AC47" s="40"/>
      <c r="AD47" s="40"/>
      <c r="AE47" s="40"/>
      <c r="AF47" s="40"/>
    </row>
    <row r="48" spans="1:32">
      <c r="A48" s="40"/>
      <c r="B48" s="40"/>
      <c r="C48" s="40"/>
      <c r="D48" s="40"/>
      <c r="E48" s="40"/>
      <c r="F48" s="40"/>
      <c r="G48" s="40"/>
      <c r="H48" s="40"/>
      <c r="I48" s="40"/>
      <c r="J48" s="40"/>
      <c r="K48" s="40"/>
      <c r="L48" s="40"/>
      <c r="M48" s="40"/>
      <c r="N48" s="40"/>
      <c r="O48" s="40"/>
      <c r="P48" s="40"/>
      <c r="Q48" s="40"/>
      <c r="R48" s="40"/>
      <c r="S48" s="40"/>
      <c r="T48" s="40"/>
      <c r="U48" s="40"/>
      <c r="V48" s="40"/>
      <c r="W48" s="40"/>
      <c r="X48" s="40"/>
      <c r="Y48" s="40"/>
      <c r="Z48" s="40"/>
      <c r="AA48" s="40"/>
      <c r="AB48" s="40"/>
      <c r="AC48" s="40"/>
      <c r="AD48" s="40"/>
      <c r="AE48" s="40"/>
      <c r="AF48" s="40"/>
    </row>
    <row r="49" spans="1:32">
      <c r="A49" s="40"/>
      <c r="B49" s="40"/>
      <c r="C49" s="40"/>
      <c r="D49" s="40"/>
      <c r="E49" s="40"/>
      <c r="F49" s="40"/>
      <c r="G49" s="40"/>
      <c r="H49" s="40"/>
      <c r="I49" s="40"/>
      <c r="J49" s="40"/>
      <c r="K49" s="40"/>
      <c r="L49" s="40"/>
      <c r="M49" s="40"/>
      <c r="N49" s="40"/>
      <c r="O49" s="40"/>
      <c r="P49" s="40"/>
      <c r="Q49" s="40"/>
      <c r="R49" s="40"/>
      <c r="S49" s="40"/>
      <c r="T49" s="40"/>
      <c r="U49" s="40"/>
      <c r="V49" s="40"/>
      <c r="W49" s="40"/>
      <c r="X49" s="40"/>
      <c r="Y49" s="40"/>
      <c r="Z49" s="40"/>
      <c r="AA49" s="40"/>
      <c r="AB49" s="40"/>
      <c r="AC49" s="40"/>
      <c r="AD49" s="40"/>
      <c r="AE49" s="40"/>
      <c r="AF49" s="40"/>
    </row>
    <row r="50" spans="1:32">
      <c r="A50" s="40"/>
      <c r="B50" s="40"/>
      <c r="C50" s="40"/>
      <c r="D50" s="40"/>
      <c r="E50" s="40"/>
      <c r="F50" s="40"/>
      <c r="G50" s="40"/>
      <c r="H50" s="40"/>
      <c r="I50" s="40"/>
      <c r="J50" s="40"/>
      <c r="K50" s="40"/>
      <c r="L50" s="40"/>
      <c r="M50" s="40"/>
      <c r="N50" s="40"/>
      <c r="O50" s="40"/>
      <c r="P50" s="40"/>
      <c r="Q50" s="40"/>
      <c r="R50" s="40"/>
      <c r="S50" s="40"/>
      <c r="T50" s="40"/>
      <c r="U50" s="40"/>
      <c r="V50" s="40"/>
      <c r="W50" s="40"/>
      <c r="X50" s="40"/>
      <c r="Y50" s="40"/>
      <c r="Z50" s="40"/>
      <c r="AA50" s="40"/>
      <c r="AB50" s="40"/>
      <c r="AC50" s="40"/>
      <c r="AD50" s="40"/>
      <c r="AE50" s="40"/>
      <c r="AF50" s="40"/>
    </row>
    <row r="51" spans="1:32">
      <c r="A51" s="40"/>
      <c r="B51" s="40"/>
      <c r="C51" s="40"/>
      <c r="D51" s="40"/>
      <c r="E51" s="40"/>
      <c r="F51" s="40"/>
      <c r="G51" s="40"/>
      <c r="H51" s="40"/>
      <c r="I51" s="40"/>
      <c r="J51" s="40"/>
      <c r="K51" s="40"/>
      <c r="L51" s="40"/>
      <c r="M51" s="40"/>
      <c r="N51" s="40"/>
      <c r="O51" s="40"/>
      <c r="P51" s="40"/>
      <c r="Q51" s="40"/>
      <c r="R51" s="40"/>
      <c r="S51" s="40"/>
      <c r="T51" s="40"/>
      <c r="U51" s="40"/>
      <c r="V51" s="40"/>
      <c r="W51" s="40"/>
      <c r="X51" s="40"/>
      <c r="Y51" s="40"/>
      <c r="Z51" s="40"/>
      <c r="AA51" s="40"/>
      <c r="AB51" s="40"/>
      <c r="AC51" s="40"/>
      <c r="AD51" s="40"/>
      <c r="AE51" s="40"/>
      <c r="AF51" s="40"/>
    </row>
    <row r="52" spans="1:32">
      <c r="A52" s="40"/>
      <c r="B52" s="40"/>
      <c r="C52" s="40"/>
      <c r="D52" s="40"/>
      <c r="E52" s="40"/>
      <c r="F52" s="40"/>
      <c r="G52" s="40"/>
      <c r="H52" s="40"/>
      <c r="I52" s="40"/>
      <c r="J52" s="40"/>
      <c r="K52" s="40"/>
      <c r="L52" s="40"/>
      <c r="M52" s="40"/>
      <c r="N52" s="40"/>
      <c r="O52" s="40"/>
      <c r="P52" s="40"/>
      <c r="Q52" s="40"/>
      <c r="R52" s="40"/>
      <c r="S52" s="40"/>
      <c r="T52" s="40"/>
      <c r="U52" s="40"/>
      <c r="V52" s="40"/>
      <c r="W52" s="40"/>
      <c r="X52" s="40"/>
      <c r="Y52" s="40"/>
      <c r="Z52" s="40"/>
      <c r="AA52" s="40"/>
      <c r="AB52" s="40"/>
      <c r="AC52" s="40"/>
      <c r="AD52" s="40"/>
      <c r="AE52" s="40"/>
      <c r="AF52" s="40"/>
    </row>
    <row r="53" spans="1:32">
      <c r="A53" s="40"/>
      <c r="B53" s="40"/>
      <c r="C53" s="40"/>
      <c r="D53" s="40"/>
      <c r="E53" s="40"/>
      <c r="F53" s="40"/>
      <c r="G53" s="40"/>
      <c r="H53" s="40"/>
      <c r="I53" s="40"/>
      <c r="J53" s="40"/>
      <c r="K53" s="40"/>
      <c r="L53" s="40"/>
      <c r="M53" s="40"/>
      <c r="N53" s="40"/>
      <c r="O53" s="40"/>
      <c r="P53" s="40"/>
      <c r="Q53" s="40"/>
      <c r="R53" s="40"/>
      <c r="S53" s="40"/>
      <c r="T53" s="40"/>
      <c r="U53" s="40"/>
      <c r="V53" s="40"/>
      <c r="W53" s="40"/>
      <c r="X53" s="40"/>
      <c r="Y53" s="40"/>
      <c r="Z53" s="40"/>
      <c r="AA53" s="40"/>
      <c r="AB53" s="40"/>
      <c r="AC53" s="40"/>
      <c r="AD53" s="40"/>
      <c r="AE53" s="40"/>
      <c r="AF53" s="40"/>
    </row>
    <row r="54" spans="1:32">
      <c r="A54" s="40"/>
      <c r="B54" s="40"/>
      <c r="C54" s="40"/>
      <c r="D54" s="40"/>
      <c r="E54" s="40"/>
      <c r="F54" s="40"/>
      <c r="G54" s="40"/>
      <c r="H54" s="40"/>
      <c r="I54" s="40"/>
      <c r="J54" s="40"/>
      <c r="K54" s="40"/>
      <c r="L54" s="40"/>
      <c r="M54" s="40"/>
      <c r="N54" s="40"/>
      <c r="O54" s="40"/>
      <c r="P54" s="40"/>
      <c r="Q54" s="40"/>
      <c r="R54" s="40"/>
      <c r="S54" s="40"/>
      <c r="T54" s="40"/>
      <c r="U54" s="40"/>
      <c r="V54" s="40"/>
      <c r="W54" s="40"/>
      <c r="X54" s="40"/>
      <c r="Y54" s="40"/>
      <c r="Z54" s="40"/>
      <c r="AA54" s="40"/>
      <c r="AB54" s="40"/>
      <c r="AC54" s="40"/>
      <c r="AD54" s="40"/>
      <c r="AE54" s="40"/>
      <c r="AF54" s="40"/>
    </row>
    <row r="55" spans="1:32">
      <c r="A55" s="40"/>
      <c r="B55" s="40"/>
      <c r="C55" s="40"/>
      <c r="D55" s="40"/>
      <c r="E55" s="40"/>
      <c r="F55" s="40"/>
      <c r="G55" s="40"/>
      <c r="H55" s="40"/>
      <c r="I55" s="40"/>
      <c r="J55" s="40"/>
      <c r="K55" s="40"/>
      <c r="L55" s="40"/>
      <c r="M55" s="40"/>
      <c r="N55" s="40"/>
      <c r="O55" s="40"/>
      <c r="P55" s="40"/>
      <c r="Q55" s="40"/>
      <c r="R55" s="40"/>
      <c r="S55" s="40"/>
      <c r="T55" s="40"/>
      <c r="U55" s="40"/>
      <c r="V55" s="40"/>
      <c r="W55" s="40"/>
      <c r="X55" s="40"/>
      <c r="Y55" s="40"/>
      <c r="Z55" s="40"/>
      <c r="AA55" s="40"/>
      <c r="AB55" s="40"/>
      <c r="AC55" s="40"/>
      <c r="AD55" s="40"/>
      <c r="AE55" s="40"/>
      <c r="AF55" s="40"/>
    </row>
    <row r="56" spans="1:32">
      <c r="A56" s="40"/>
      <c r="B56" s="40"/>
      <c r="C56" s="40"/>
      <c r="D56" s="40"/>
      <c r="E56" s="40"/>
      <c r="F56" s="40"/>
      <c r="G56" s="40"/>
      <c r="H56" s="40"/>
      <c r="I56" s="40"/>
      <c r="J56" s="40"/>
      <c r="K56" s="40"/>
      <c r="L56" s="40"/>
      <c r="M56" s="40"/>
      <c r="N56" s="40"/>
      <c r="O56" s="40"/>
      <c r="P56" s="40"/>
      <c r="Q56" s="40"/>
      <c r="R56" s="40"/>
      <c r="S56" s="40"/>
      <c r="T56" s="40"/>
      <c r="U56" s="40"/>
      <c r="V56" s="40"/>
      <c r="W56" s="40"/>
      <c r="X56" s="40"/>
      <c r="Y56" s="40"/>
      <c r="Z56" s="40"/>
      <c r="AA56" s="40"/>
      <c r="AB56" s="40"/>
      <c r="AC56" s="40"/>
      <c r="AD56" s="40"/>
      <c r="AE56" s="40"/>
      <c r="AF56" s="40"/>
    </row>
    <row r="57" spans="1:32">
      <c r="A57" s="40"/>
      <c r="B57" s="40"/>
      <c r="C57" s="40"/>
      <c r="D57" s="40"/>
      <c r="E57" s="40"/>
      <c r="F57" s="40"/>
      <c r="G57" s="40"/>
      <c r="H57" s="40"/>
      <c r="I57" s="40"/>
      <c r="J57" s="40"/>
      <c r="K57" s="40"/>
      <c r="L57" s="40"/>
      <c r="M57" s="40"/>
      <c r="N57" s="40"/>
      <c r="O57" s="40"/>
      <c r="P57" s="40"/>
      <c r="Q57" s="40"/>
      <c r="R57" s="40"/>
      <c r="S57" s="40"/>
      <c r="T57" s="40"/>
      <c r="U57" s="40"/>
      <c r="V57" s="40"/>
      <c r="W57" s="40"/>
      <c r="X57" s="40"/>
      <c r="Y57" s="40"/>
      <c r="Z57" s="40"/>
      <c r="AA57" s="40"/>
      <c r="AB57" s="40"/>
      <c r="AC57" s="40"/>
      <c r="AD57" s="40"/>
      <c r="AE57" s="40"/>
      <c r="AF57" s="40"/>
    </row>
    <row r="58" spans="1:32">
      <c r="A58" s="40"/>
      <c r="B58" s="40"/>
      <c r="C58" s="40"/>
      <c r="D58" s="40"/>
      <c r="E58" s="40"/>
      <c r="F58" s="40"/>
      <c r="G58" s="40"/>
      <c r="H58" s="40"/>
      <c r="I58" s="40"/>
      <c r="J58" s="40"/>
      <c r="K58" s="40"/>
      <c r="L58" s="40"/>
      <c r="M58" s="40"/>
      <c r="N58" s="40"/>
      <c r="O58" s="40"/>
      <c r="P58" s="40"/>
      <c r="Q58" s="40"/>
      <c r="R58" s="40"/>
      <c r="S58" s="40"/>
      <c r="T58" s="40"/>
      <c r="U58" s="40"/>
      <c r="V58" s="40"/>
      <c r="W58" s="40"/>
      <c r="X58" s="40"/>
      <c r="Y58" s="40"/>
      <c r="Z58" s="40"/>
      <c r="AA58" s="40"/>
      <c r="AB58" s="40"/>
      <c r="AC58" s="40"/>
      <c r="AD58" s="40"/>
      <c r="AE58" s="40"/>
      <c r="AF58" s="40"/>
    </row>
    <row r="59" spans="1:32">
      <c r="A59" s="40"/>
      <c r="B59" s="40"/>
      <c r="C59" s="40"/>
      <c r="D59" s="40"/>
      <c r="E59" s="40"/>
      <c r="F59" s="40"/>
      <c r="G59" s="40"/>
      <c r="H59" s="40"/>
      <c r="I59" s="40"/>
      <c r="J59" s="40"/>
      <c r="K59" s="40"/>
      <c r="L59" s="40"/>
      <c r="M59" s="40"/>
      <c r="N59" s="40"/>
      <c r="O59" s="40"/>
      <c r="P59" s="40"/>
      <c r="Q59" s="40"/>
      <c r="R59" s="40"/>
      <c r="S59" s="40"/>
      <c r="T59" s="40"/>
      <c r="U59" s="40"/>
      <c r="V59" s="40"/>
      <c r="W59" s="40"/>
      <c r="X59" s="40"/>
      <c r="Y59" s="40"/>
      <c r="Z59" s="40"/>
      <c r="AA59" s="40"/>
      <c r="AB59" s="40"/>
      <c r="AC59" s="40"/>
      <c r="AD59" s="40"/>
      <c r="AE59" s="40"/>
      <c r="AF59" s="40"/>
    </row>
    <row r="60" spans="1:32">
      <c r="A60" s="40"/>
      <c r="B60" s="40"/>
      <c r="C60" s="40"/>
      <c r="D60" s="40"/>
      <c r="E60" s="40"/>
      <c r="F60" s="40"/>
      <c r="G60" s="40"/>
      <c r="H60" s="40"/>
      <c r="I60" s="40"/>
      <c r="J60" s="40"/>
      <c r="K60" s="40"/>
      <c r="L60" s="40"/>
      <c r="M60" s="40"/>
      <c r="N60" s="40"/>
      <c r="O60" s="40"/>
      <c r="P60" s="40"/>
      <c r="Q60" s="40"/>
      <c r="R60" s="40"/>
      <c r="S60" s="40"/>
      <c r="T60" s="40"/>
      <c r="U60" s="40"/>
      <c r="V60" s="40"/>
      <c r="W60" s="40"/>
      <c r="X60" s="40"/>
      <c r="Y60" s="40"/>
      <c r="Z60" s="40"/>
      <c r="AA60" s="40"/>
      <c r="AB60" s="40"/>
      <c r="AC60" s="40"/>
      <c r="AD60" s="40"/>
      <c r="AE60" s="40"/>
      <c r="AF60" s="40"/>
    </row>
    <row r="61" spans="1:32">
      <c r="A61" s="40"/>
      <c r="B61" s="40"/>
      <c r="C61" s="40"/>
      <c r="D61" s="40"/>
      <c r="E61" s="40"/>
      <c r="F61" s="40"/>
      <c r="G61" s="40"/>
      <c r="H61" s="40"/>
      <c r="I61" s="40"/>
      <c r="J61" s="40"/>
      <c r="K61" s="40"/>
      <c r="L61" s="40"/>
      <c r="M61" s="40"/>
      <c r="N61" s="40"/>
      <c r="O61" s="40"/>
      <c r="P61" s="40"/>
      <c r="Q61" s="40"/>
      <c r="R61" s="40"/>
      <c r="S61" s="40"/>
      <c r="T61" s="40"/>
      <c r="U61" s="40"/>
      <c r="V61" s="40"/>
      <c r="W61" s="40"/>
      <c r="X61" s="40"/>
      <c r="Y61" s="40"/>
      <c r="Z61" s="40"/>
      <c r="AA61" s="40"/>
      <c r="AB61" s="40"/>
      <c r="AC61" s="40"/>
      <c r="AD61" s="40"/>
      <c r="AE61" s="40"/>
      <c r="AF61" s="40"/>
    </row>
    <row r="62" spans="1:32">
      <c r="A62" s="40"/>
      <c r="B62" s="40"/>
      <c r="C62" s="40"/>
      <c r="D62" s="40"/>
      <c r="E62" s="40"/>
      <c r="F62" s="40"/>
      <c r="G62" s="40"/>
      <c r="H62" s="40"/>
      <c r="I62" s="40"/>
      <c r="J62" s="40"/>
      <c r="K62" s="40"/>
      <c r="L62" s="40"/>
      <c r="M62" s="40"/>
      <c r="N62" s="40"/>
      <c r="O62" s="40"/>
      <c r="P62" s="40"/>
      <c r="Q62" s="40"/>
      <c r="R62" s="40"/>
      <c r="S62" s="40"/>
      <c r="T62" s="40"/>
      <c r="U62" s="40"/>
      <c r="V62" s="40"/>
      <c r="W62" s="40"/>
      <c r="X62" s="40"/>
      <c r="Y62" s="40"/>
      <c r="Z62" s="40"/>
      <c r="AA62" s="40"/>
      <c r="AB62" s="40"/>
      <c r="AC62" s="40"/>
      <c r="AD62" s="40"/>
      <c r="AE62" s="40"/>
      <c r="AF62" s="40"/>
    </row>
    <row r="63" spans="1:32">
      <c r="A63" s="40"/>
      <c r="B63" s="40"/>
      <c r="C63" s="40"/>
      <c r="D63" s="40"/>
      <c r="E63" s="40"/>
      <c r="F63" s="40"/>
      <c r="G63" s="40"/>
      <c r="H63" s="40"/>
      <c r="I63" s="40"/>
      <c r="J63" s="40"/>
      <c r="K63" s="40"/>
      <c r="L63" s="40"/>
      <c r="M63" s="40"/>
      <c r="N63" s="40"/>
      <c r="O63" s="40"/>
      <c r="P63" s="40"/>
      <c r="Q63" s="40"/>
      <c r="R63" s="40"/>
      <c r="S63" s="40"/>
      <c r="T63" s="40"/>
      <c r="U63" s="40"/>
      <c r="V63" s="40"/>
      <c r="W63" s="40"/>
      <c r="X63" s="40"/>
      <c r="Y63" s="40"/>
      <c r="Z63" s="40"/>
      <c r="AA63" s="40"/>
      <c r="AB63" s="40"/>
      <c r="AC63" s="40"/>
      <c r="AD63" s="40"/>
      <c r="AE63" s="40"/>
      <c r="AF63" s="40"/>
    </row>
    <row r="64" spans="1:32">
      <c r="A64" s="40"/>
      <c r="B64" s="40"/>
      <c r="C64" s="40"/>
      <c r="D64" s="40"/>
      <c r="E64" s="40"/>
      <c r="F64" s="40"/>
      <c r="G64" s="40"/>
      <c r="H64" s="40"/>
      <c r="I64" s="40"/>
      <c r="J64" s="40"/>
      <c r="K64" s="40"/>
      <c r="L64" s="40"/>
      <c r="M64" s="40"/>
      <c r="N64" s="40"/>
      <c r="O64" s="40"/>
      <c r="P64" s="40"/>
      <c r="Q64" s="40"/>
      <c r="R64" s="40"/>
      <c r="S64" s="40"/>
      <c r="T64" s="40"/>
      <c r="U64" s="40"/>
      <c r="V64" s="40"/>
      <c r="W64" s="40"/>
      <c r="X64" s="40"/>
      <c r="Y64" s="40"/>
      <c r="Z64" s="40"/>
      <c r="AA64" s="40"/>
      <c r="AB64" s="40"/>
      <c r="AC64" s="40"/>
      <c r="AD64" s="40"/>
      <c r="AE64" s="40"/>
      <c r="AF64" s="40"/>
    </row>
    <row r="65" spans="1:32">
      <c r="A65" s="40"/>
      <c r="B65" s="40"/>
      <c r="C65" s="40"/>
      <c r="D65" s="40"/>
      <c r="E65" s="40"/>
      <c r="F65" s="40"/>
      <c r="G65" s="40"/>
      <c r="H65" s="40"/>
      <c r="I65" s="40"/>
      <c r="J65" s="40"/>
      <c r="K65" s="40"/>
      <c r="L65" s="40"/>
      <c r="M65" s="40"/>
      <c r="N65" s="40"/>
      <c r="O65" s="40"/>
      <c r="P65" s="40"/>
      <c r="Q65" s="40"/>
      <c r="R65" s="40"/>
      <c r="S65" s="40"/>
      <c r="T65" s="40"/>
      <c r="U65" s="40"/>
      <c r="V65" s="40"/>
      <c r="W65" s="40"/>
      <c r="X65" s="40"/>
      <c r="Y65" s="40"/>
      <c r="Z65" s="40"/>
      <c r="AA65" s="40"/>
      <c r="AB65" s="40"/>
      <c r="AC65" s="40"/>
      <c r="AD65" s="40"/>
      <c r="AE65" s="40"/>
      <c r="AF65" s="40"/>
    </row>
    <row r="66" spans="1:32">
      <c r="A66" s="40"/>
      <c r="B66" s="40"/>
      <c r="C66" s="40"/>
      <c r="D66" s="40"/>
      <c r="E66" s="40"/>
      <c r="F66" s="40"/>
      <c r="G66" s="40"/>
      <c r="H66" s="40"/>
      <c r="I66" s="40"/>
      <c r="J66" s="40"/>
      <c r="K66" s="40"/>
      <c r="L66" s="40"/>
      <c r="M66" s="40"/>
      <c r="N66" s="40"/>
      <c r="O66" s="40"/>
      <c r="P66" s="40"/>
      <c r="Q66" s="40"/>
      <c r="R66" s="40"/>
      <c r="S66" s="40"/>
      <c r="T66" s="40"/>
      <c r="U66" s="40"/>
      <c r="V66" s="40"/>
      <c r="W66" s="40"/>
      <c r="X66" s="40"/>
      <c r="Y66" s="40"/>
      <c r="Z66" s="40"/>
      <c r="AA66" s="40"/>
      <c r="AB66" s="40"/>
      <c r="AC66" s="40"/>
      <c r="AD66" s="40"/>
      <c r="AE66" s="40"/>
      <c r="AF66" s="40"/>
    </row>
    <row r="67" spans="1:32">
      <c r="A67" s="40"/>
      <c r="B67" s="40"/>
      <c r="C67" s="40"/>
      <c r="D67" s="40"/>
      <c r="E67" s="40"/>
      <c r="F67" s="40"/>
      <c r="G67" s="40"/>
      <c r="H67" s="40"/>
      <c r="I67" s="40"/>
      <c r="J67" s="40"/>
      <c r="K67" s="40"/>
      <c r="L67" s="40"/>
      <c r="M67" s="40"/>
      <c r="N67" s="40"/>
      <c r="O67" s="40"/>
      <c r="P67" s="40"/>
      <c r="Q67" s="40"/>
      <c r="R67" s="40"/>
      <c r="S67" s="40"/>
      <c r="T67" s="40"/>
      <c r="U67" s="40"/>
      <c r="V67" s="40"/>
      <c r="W67" s="40"/>
      <c r="X67" s="40"/>
      <c r="Y67" s="40"/>
      <c r="Z67" s="40"/>
      <c r="AA67" s="40"/>
      <c r="AB67" s="40"/>
      <c r="AC67" s="40"/>
      <c r="AD67" s="40"/>
      <c r="AE67" s="40"/>
      <c r="AF67" s="40"/>
    </row>
    <row r="68" spans="1:32">
      <c r="A68" s="40"/>
      <c r="B68" s="40"/>
      <c r="C68" s="40"/>
      <c r="D68" s="40"/>
      <c r="E68" s="40"/>
      <c r="F68" s="40"/>
      <c r="G68" s="40"/>
      <c r="H68" s="40"/>
      <c r="I68" s="40"/>
      <c r="J68" s="40"/>
      <c r="K68" s="40"/>
      <c r="L68" s="40"/>
      <c r="M68" s="40"/>
      <c r="N68" s="40"/>
      <c r="O68" s="40"/>
      <c r="P68" s="40"/>
      <c r="Q68" s="40"/>
      <c r="R68" s="40"/>
      <c r="S68" s="40"/>
      <c r="T68" s="40"/>
      <c r="U68" s="40"/>
      <c r="V68" s="40"/>
      <c r="W68" s="40"/>
      <c r="X68" s="40"/>
      <c r="Y68" s="40"/>
      <c r="Z68" s="40"/>
      <c r="AA68" s="40"/>
      <c r="AB68" s="40"/>
      <c r="AC68" s="40"/>
      <c r="AD68" s="40"/>
      <c r="AE68" s="40"/>
      <c r="AF68" s="40"/>
    </row>
    <row r="69" spans="1:32">
      <c r="A69" s="40"/>
      <c r="B69" s="40"/>
      <c r="C69" s="40"/>
      <c r="D69" s="40"/>
      <c r="E69" s="40"/>
      <c r="F69" s="40"/>
      <c r="G69" s="40"/>
      <c r="H69" s="40"/>
      <c r="I69" s="40"/>
      <c r="J69" s="40"/>
      <c r="K69" s="40"/>
      <c r="L69" s="40"/>
      <c r="M69" s="40"/>
      <c r="N69" s="40"/>
      <c r="O69" s="40"/>
      <c r="P69" s="40"/>
      <c r="Q69" s="40"/>
      <c r="R69" s="40"/>
      <c r="S69" s="40"/>
      <c r="T69" s="40"/>
      <c r="U69" s="40"/>
      <c r="V69" s="40"/>
      <c r="W69" s="40"/>
      <c r="X69" s="40"/>
      <c r="Y69" s="40"/>
      <c r="Z69" s="40"/>
      <c r="AA69" s="40"/>
      <c r="AB69" s="40"/>
      <c r="AC69" s="40"/>
      <c r="AD69" s="40"/>
      <c r="AE69" s="40"/>
      <c r="AF69" s="40"/>
    </row>
    <row r="70" spans="1:32">
      <c r="A70" s="40"/>
      <c r="B70" s="40"/>
      <c r="C70" s="40"/>
      <c r="D70" s="40"/>
      <c r="E70" s="40"/>
      <c r="F70" s="40"/>
      <c r="G70" s="40"/>
      <c r="H70" s="40"/>
      <c r="I70" s="40"/>
      <c r="J70" s="40"/>
      <c r="K70" s="40"/>
      <c r="L70" s="40"/>
      <c r="M70" s="40"/>
      <c r="N70" s="40"/>
      <c r="O70" s="40"/>
      <c r="P70" s="40"/>
      <c r="Q70" s="40"/>
      <c r="R70" s="40"/>
      <c r="S70" s="40"/>
      <c r="T70" s="40"/>
      <c r="U70" s="40"/>
      <c r="V70" s="40"/>
      <c r="W70" s="40"/>
      <c r="X70" s="40"/>
      <c r="Y70" s="40"/>
      <c r="Z70" s="40"/>
      <c r="AA70" s="40"/>
      <c r="AB70" s="40"/>
      <c r="AC70" s="40"/>
      <c r="AD70" s="40"/>
      <c r="AE70" s="40"/>
      <c r="AF70" s="40"/>
    </row>
    <row r="71" spans="1:32">
      <c r="A71" s="40"/>
      <c r="B71" s="40"/>
      <c r="C71" s="40"/>
      <c r="D71" s="40"/>
      <c r="E71" s="40"/>
      <c r="F71" s="40"/>
      <c r="G71" s="40"/>
      <c r="H71" s="40"/>
      <c r="I71" s="40"/>
      <c r="J71" s="40"/>
      <c r="K71" s="40"/>
      <c r="L71" s="40"/>
      <c r="M71" s="40"/>
      <c r="N71" s="40"/>
      <c r="O71" s="40"/>
      <c r="P71" s="40"/>
      <c r="Q71" s="40"/>
      <c r="R71" s="40"/>
      <c r="S71" s="40"/>
      <c r="T71" s="40"/>
      <c r="U71" s="40"/>
      <c r="V71" s="40"/>
      <c r="W71" s="40"/>
      <c r="X71" s="40"/>
      <c r="Y71" s="40"/>
      <c r="Z71" s="40"/>
      <c r="AA71" s="40"/>
      <c r="AB71" s="40"/>
      <c r="AC71" s="40"/>
      <c r="AD71" s="40"/>
      <c r="AE71" s="40"/>
      <c r="AF71" s="40"/>
    </row>
    <row r="72" spans="1:32">
      <c r="A72" s="40"/>
      <c r="B72" s="40"/>
      <c r="C72" s="40"/>
      <c r="D72" s="40"/>
      <c r="E72" s="40"/>
      <c r="F72" s="40"/>
      <c r="G72" s="40"/>
      <c r="H72" s="40"/>
      <c r="I72" s="40"/>
      <c r="J72" s="40"/>
      <c r="K72" s="40"/>
      <c r="L72" s="40"/>
      <c r="M72" s="40"/>
      <c r="N72" s="40"/>
      <c r="O72" s="40"/>
      <c r="P72" s="40"/>
      <c r="Q72" s="40"/>
      <c r="R72" s="40"/>
      <c r="S72" s="40"/>
      <c r="T72" s="40"/>
      <c r="U72" s="40"/>
      <c r="V72" s="40"/>
      <c r="W72" s="40"/>
      <c r="X72" s="40"/>
      <c r="Y72" s="40"/>
      <c r="Z72" s="40"/>
      <c r="AA72" s="40"/>
      <c r="AB72" s="40"/>
      <c r="AC72" s="40"/>
      <c r="AD72" s="40"/>
      <c r="AE72" s="40"/>
      <c r="AF72" s="40"/>
    </row>
    <row r="73" spans="1:32">
      <c r="A73" s="40"/>
      <c r="B73" s="40"/>
      <c r="C73" s="40"/>
      <c r="D73" s="40"/>
      <c r="E73" s="40"/>
      <c r="F73" s="40"/>
      <c r="G73" s="40"/>
      <c r="H73" s="40"/>
      <c r="I73" s="40"/>
      <c r="J73" s="40"/>
      <c r="K73" s="40"/>
      <c r="L73" s="40"/>
      <c r="M73" s="40"/>
      <c r="N73" s="40"/>
      <c r="O73" s="40"/>
      <c r="P73" s="40"/>
      <c r="Q73" s="40"/>
      <c r="R73" s="40"/>
      <c r="S73" s="40"/>
      <c r="T73" s="40"/>
      <c r="U73" s="40"/>
      <c r="V73" s="40"/>
      <c r="W73" s="40"/>
      <c r="X73" s="40"/>
      <c r="Y73" s="40"/>
      <c r="Z73" s="40"/>
      <c r="AA73" s="40"/>
      <c r="AB73" s="40"/>
      <c r="AC73" s="40"/>
      <c r="AD73" s="40"/>
      <c r="AE73" s="40"/>
      <c r="AF73" s="40"/>
    </row>
    <row r="74" spans="1:32">
      <c r="A74" s="40"/>
      <c r="B74" s="40"/>
      <c r="C74" s="40"/>
      <c r="D74" s="40"/>
      <c r="E74" s="40"/>
      <c r="F74" s="40"/>
      <c r="G74" s="40"/>
      <c r="H74" s="40"/>
      <c r="I74" s="40"/>
      <c r="J74" s="40"/>
      <c r="K74" s="40"/>
      <c r="L74" s="40"/>
      <c r="M74" s="40"/>
      <c r="N74" s="40"/>
      <c r="O74" s="40"/>
      <c r="P74" s="40"/>
      <c r="Q74" s="40"/>
      <c r="R74" s="40"/>
      <c r="S74" s="40"/>
      <c r="T74" s="40"/>
      <c r="U74" s="40"/>
      <c r="V74" s="40"/>
      <c r="W74" s="40"/>
      <c r="X74" s="40"/>
      <c r="Y74" s="40"/>
      <c r="Z74" s="40"/>
      <c r="AA74" s="40"/>
      <c r="AB74" s="40"/>
      <c r="AC74" s="40"/>
      <c r="AD74" s="40"/>
      <c r="AE74" s="40"/>
      <c r="AF74" s="40"/>
    </row>
    <row r="75" spans="1:32">
      <c r="A75" s="40"/>
      <c r="B75" s="40"/>
      <c r="C75" s="40"/>
      <c r="D75" s="40"/>
      <c r="E75" s="40"/>
      <c r="F75" s="40"/>
      <c r="G75" s="40"/>
      <c r="H75" s="40"/>
      <c r="I75" s="40"/>
      <c r="J75" s="40"/>
      <c r="K75" s="40"/>
      <c r="L75" s="40"/>
      <c r="M75" s="40"/>
      <c r="N75" s="40"/>
      <c r="O75" s="40"/>
      <c r="P75" s="40"/>
      <c r="Q75" s="40"/>
      <c r="R75" s="40"/>
      <c r="S75" s="40"/>
      <c r="T75" s="40"/>
      <c r="U75" s="40"/>
      <c r="V75" s="40"/>
      <c r="W75" s="40"/>
      <c r="X75" s="40"/>
      <c r="Y75" s="40"/>
      <c r="Z75" s="40"/>
      <c r="AA75" s="40"/>
      <c r="AB75" s="40"/>
      <c r="AC75" s="40"/>
      <c r="AD75" s="40"/>
      <c r="AE75" s="40"/>
      <c r="AF75" s="40"/>
    </row>
    <row r="76" spans="1:32">
      <c r="A76" s="40"/>
      <c r="B76" s="40"/>
      <c r="C76" s="40"/>
      <c r="D76" s="40"/>
      <c r="E76" s="40"/>
      <c r="F76" s="40"/>
      <c r="G76" s="40"/>
      <c r="H76" s="40"/>
      <c r="I76" s="40"/>
      <c r="J76" s="40"/>
      <c r="K76" s="40"/>
      <c r="L76" s="40"/>
      <c r="M76" s="40"/>
      <c r="N76" s="40"/>
      <c r="O76" s="40"/>
      <c r="P76" s="40"/>
      <c r="Q76" s="40"/>
      <c r="R76" s="40"/>
      <c r="S76" s="40"/>
      <c r="T76" s="40"/>
      <c r="U76" s="40"/>
      <c r="V76" s="40"/>
      <c r="W76" s="40"/>
      <c r="X76" s="40"/>
      <c r="Y76" s="40"/>
      <c r="Z76" s="40"/>
      <c r="AA76" s="40"/>
      <c r="AB76" s="40"/>
      <c r="AC76" s="40"/>
      <c r="AD76" s="40"/>
      <c r="AE76" s="40"/>
      <c r="AF76" s="40"/>
    </row>
    <row r="77" spans="1:32">
      <c r="A77" s="40"/>
      <c r="B77" s="40"/>
      <c r="C77" s="40"/>
      <c r="D77" s="40"/>
      <c r="E77" s="40"/>
      <c r="F77" s="40"/>
      <c r="G77" s="40"/>
      <c r="H77" s="40"/>
      <c r="I77" s="40"/>
      <c r="J77" s="40"/>
      <c r="K77" s="40"/>
      <c r="L77" s="40"/>
      <c r="M77" s="40"/>
      <c r="N77" s="40"/>
      <c r="O77" s="40"/>
      <c r="P77" s="40"/>
      <c r="Q77" s="40"/>
      <c r="R77" s="40"/>
      <c r="S77" s="40"/>
      <c r="T77" s="40"/>
      <c r="U77" s="40"/>
      <c r="V77" s="40"/>
      <c r="W77" s="40"/>
      <c r="X77" s="40"/>
      <c r="Y77" s="40"/>
      <c r="Z77" s="40"/>
      <c r="AA77" s="40"/>
      <c r="AB77" s="40"/>
      <c r="AC77" s="40"/>
      <c r="AD77" s="40"/>
      <c r="AE77" s="40"/>
      <c r="AF77" s="40"/>
    </row>
    <row r="78" spans="1:32">
      <c r="A78" s="40"/>
      <c r="B78" s="40"/>
      <c r="C78" s="40"/>
      <c r="D78" s="40"/>
      <c r="E78" s="40"/>
      <c r="F78" s="40"/>
      <c r="G78" s="40"/>
      <c r="H78" s="40"/>
      <c r="I78" s="40"/>
      <c r="J78" s="40"/>
      <c r="K78" s="40"/>
      <c r="L78" s="40"/>
      <c r="M78" s="40"/>
      <c r="N78" s="40"/>
      <c r="O78" s="40"/>
      <c r="P78" s="40"/>
      <c r="Q78" s="40"/>
      <c r="R78" s="40"/>
      <c r="S78" s="40"/>
      <c r="T78" s="40"/>
      <c r="U78" s="40"/>
      <c r="V78" s="40"/>
      <c r="W78" s="40"/>
      <c r="X78" s="40"/>
      <c r="Y78" s="40"/>
      <c r="Z78" s="40"/>
      <c r="AA78" s="40"/>
      <c r="AB78" s="40"/>
      <c r="AC78" s="40"/>
      <c r="AD78" s="40"/>
      <c r="AE78" s="40"/>
      <c r="AF78" s="40"/>
    </row>
    <row r="79" spans="1:32">
      <c r="A79" s="40"/>
      <c r="B79" s="40"/>
      <c r="C79" s="40"/>
      <c r="D79" s="40"/>
      <c r="E79" s="40"/>
      <c r="F79" s="40"/>
      <c r="G79" s="40"/>
      <c r="H79" s="40"/>
      <c r="I79" s="40"/>
      <c r="J79" s="40"/>
      <c r="K79" s="40"/>
      <c r="L79" s="40"/>
      <c r="M79" s="40"/>
      <c r="N79" s="40"/>
      <c r="O79" s="40"/>
      <c r="P79" s="40"/>
      <c r="Q79" s="40"/>
      <c r="R79" s="40"/>
      <c r="S79" s="40"/>
      <c r="T79" s="40"/>
      <c r="U79" s="40"/>
      <c r="V79" s="40"/>
      <c r="W79" s="40"/>
      <c r="X79" s="40"/>
      <c r="Y79" s="40"/>
      <c r="Z79" s="40"/>
      <c r="AA79" s="40"/>
      <c r="AB79" s="40"/>
      <c r="AC79" s="40"/>
      <c r="AD79" s="40"/>
      <c r="AE79" s="40"/>
      <c r="AF79" s="40"/>
    </row>
    <row r="80" spans="1:32">
      <c r="A80" s="40"/>
      <c r="B80" s="40"/>
      <c r="C80" s="40"/>
      <c r="D80" s="40"/>
      <c r="E80" s="40"/>
      <c r="F80" s="40"/>
      <c r="G80" s="40"/>
      <c r="H80" s="40"/>
      <c r="I80" s="40"/>
      <c r="J80" s="40"/>
      <c r="K80" s="40"/>
      <c r="L80" s="40"/>
      <c r="M80" s="40"/>
      <c r="N80" s="40"/>
      <c r="O80" s="40"/>
      <c r="P80" s="40"/>
      <c r="Q80" s="40"/>
      <c r="R80" s="40"/>
      <c r="S80" s="40"/>
      <c r="T80" s="40"/>
      <c r="U80" s="40"/>
      <c r="V80" s="40"/>
      <c r="W80" s="40"/>
      <c r="X80" s="40"/>
      <c r="Y80" s="40"/>
      <c r="Z80" s="40"/>
      <c r="AA80" s="40"/>
      <c r="AB80" s="40"/>
      <c r="AC80" s="40"/>
      <c r="AD80" s="40"/>
      <c r="AE80" s="40"/>
      <c r="AF80" s="40"/>
    </row>
  </sheetData>
  <mergeCells count="5">
    <mergeCell ref="A1:AF1"/>
    <mergeCell ref="A2:AF2"/>
    <mergeCell ref="A3:AF3"/>
    <mergeCell ref="A10:AF10"/>
    <mergeCell ref="A26:AF26"/>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F94"/>
  <sheetViews>
    <sheetView showGridLines="0" workbookViewId="0">
      <selection sqref="A1:G1"/>
    </sheetView>
  </sheetViews>
  <sheetFormatPr defaultRowHeight="14"/>
  <cols>
    <col min="1" max="1" width="5" customWidth="1"/>
    <col min="2" max="2" width="28" customWidth="1"/>
    <col min="3" max="7" width="15" customWidth="1"/>
    <col min="8" max="8" width="3" customWidth="1"/>
    <col min="9" max="32" width="12" customWidth="1"/>
  </cols>
  <sheetData>
    <row r="1" spans="1:32" ht="28" customHeight="1">
      <c r="A1" s="145" t="s">
        <v>653</v>
      </c>
      <c r="B1" s="145"/>
      <c r="C1" s="145"/>
      <c r="D1" s="145"/>
      <c r="E1" s="145"/>
      <c r="F1" s="145"/>
      <c r="G1" s="145"/>
      <c r="H1" s="37"/>
      <c r="I1" s="37"/>
      <c r="J1" s="37"/>
      <c r="K1" s="37"/>
      <c r="L1" s="37"/>
      <c r="M1" s="37"/>
      <c r="N1" s="37"/>
      <c r="O1" s="37"/>
      <c r="P1" s="37"/>
      <c r="Q1" s="37"/>
      <c r="R1" s="37"/>
      <c r="S1" s="37"/>
      <c r="T1" s="37"/>
      <c r="U1" s="37"/>
      <c r="V1" s="37"/>
      <c r="W1" s="37"/>
      <c r="X1" s="37"/>
      <c r="Y1" s="37"/>
      <c r="Z1" s="37"/>
      <c r="AA1" s="37"/>
      <c r="AB1" s="37"/>
      <c r="AC1" s="37"/>
      <c r="AD1" s="37"/>
      <c r="AE1" s="37"/>
      <c r="AF1" s="37"/>
    </row>
    <row r="2" spans="1:32" ht="24" customHeight="1">
      <c r="A2" s="146" t="s">
        <v>654</v>
      </c>
      <c r="B2" s="146"/>
      <c r="C2" s="146"/>
      <c r="D2" s="146"/>
      <c r="E2" s="146"/>
      <c r="F2" s="146"/>
      <c r="G2" s="146"/>
      <c r="H2" s="38"/>
      <c r="I2" s="38"/>
      <c r="J2" s="38"/>
      <c r="K2" s="38"/>
      <c r="L2" s="38"/>
      <c r="M2" s="38"/>
      <c r="N2" s="38"/>
      <c r="O2" s="38"/>
      <c r="P2" s="38"/>
      <c r="Q2" s="38"/>
      <c r="R2" s="38"/>
      <c r="S2" s="38"/>
      <c r="T2" s="38"/>
      <c r="U2" s="38"/>
      <c r="V2" s="38"/>
      <c r="W2" s="38"/>
      <c r="X2" s="38"/>
      <c r="Y2" s="38"/>
      <c r="Z2" s="38"/>
      <c r="AA2" s="38"/>
      <c r="AB2" s="38"/>
      <c r="AC2" s="38"/>
      <c r="AD2" s="38"/>
      <c r="AE2" s="38"/>
      <c r="AF2" s="38"/>
    </row>
    <row r="3" spans="1:32">
      <c r="A3" s="147" t="s">
        <v>467</v>
      </c>
      <c r="B3" s="147"/>
      <c r="C3" s="147"/>
      <c r="D3" s="147"/>
      <c r="E3" s="147"/>
      <c r="F3" s="147"/>
      <c r="G3" s="147"/>
      <c r="H3" s="39"/>
      <c r="I3" s="39"/>
      <c r="J3" s="39"/>
      <c r="K3" s="39"/>
      <c r="L3" s="39"/>
      <c r="M3" s="39"/>
      <c r="N3" s="39"/>
      <c r="O3" s="39"/>
      <c r="P3" s="39"/>
      <c r="Q3" s="39"/>
      <c r="R3" s="39"/>
      <c r="S3" s="39"/>
      <c r="T3" s="39"/>
      <c r="U3" s="39"/>
      <c r="V3" s="39"/>
      <c r="W3" s="39"/>
      <c r="X3" s="39"/>
      <c r="Y3" s="39"/>
      <c r="Z3" s="39"/>
      <c r="AA3" s="39"/>
      <c r="AB3" s="39"/>
      <c r="AC3" s="39"/>
      <c r="AD3" s="39"/>
      <c r="AE3" s="39"/>
      <c r="AF3" s="39"/>
    </row>
    <row r="4" spans="1:32">
      <c r="A4" s="40"/>
      <c r="B4" s="40"/>
      <c r="C4" s="40"/>
      <c r="D4" s="40"/>
      <c r="E4" s="40"/>
      <c r="F4" s="40"/>
      <c r="G4" s="40"/>
      <c r="H4" s="40"/>
      <c r="I4" s="40"/>
      <c r="J4" s="40"/>
      <c r="K4" s="40"/>
      <c r="L4" s="40"/>
      <c r="M4" s="40"/>
      <c r="N4" s="40"/>
      <c r="O4" s="40"/>
      <c r="P4" s="40"/>
      <c r="Q4" s="40"/>
      <c r="R4" s="40"/>
      <c r="S4" s="40"/>
      <c r="T4" s="40"/>
      <c r="U4" s="40"/>
      <c r="V4" s="40"/>
      <c r="W4" s="40"/>
      <c r="X4" s="40"/>
      <c r="Y4" s="40"/>
      <c r="Z4" s="40"/>
      <c r="AA4" s="40"/>
      <c r="AB4" s="40"/>
      <c r="AC4" s="40"/>
      <c r="AD4" s="40"/>
      <c r="AE4" s="40"/>
      <c r="AF4" s="40"/>
    </row>
    <row r="5" spans="1:32">
      <c r="A5" s="144" t="s">
        <v>655</v>
      </c>
      <c r="B5" s="144"/>
      <c r="C5" s="144"/>
      <c r="D5" s="144"/>
      <c r="E5" s="144"/>
      <c r="F5" s="144"/>
      <c r="G5" s="144"/>
      <c r="H5" s="40"/>
      <c r="I5" s="40"/>
      <c r="J5" s="40"/>
      <c r="K5" s="40"/>
      <c r="L5" s="40"/>
      <c r="M5" s="40"/>
      <c r="N5" s="40"/>
      <c r="O5" s="40"/>
      <c r="P5" s="40"/>
      <c r="Q5" s="40"/>
      <c r="R5" s="40"/>
      <c r="S5" s="40"/>
      <c r="T5" s="40"/>
      <c r="U5" s="40"/>
      <c r="V5" s="40"/>
      <c r="W5" s="40"/>
      <c r="X5" s="40"/>
      <c r="Y5" s="40"/>
      <c r="Z5" s="40"/>
      <c r="AA5" s="40"/>
      <c r="AB5" s="40"/>
      <c r="AC5" s="40"/>
      <c r="AD5" s="40"/>
      <c r="AE5" s="40"/>
      <c r="AF5" s="40"/>
    </row>
    <row r="6" spans="1:32">
      <c r="A6" s="54" t="s">
        <v>162</v>
      </c>
      <c r="B6" s="54" t="s">
        <v>656</v>
      </c>
      <c r="C6" s="54" t="s">
        <v>657</v>
      </c>
      <c r="D6" s="54" t="s">
        <v>658</v>
      </c>
      <c r="E6" s="54" t="s">
        <v>659</v>
      </c>
      <c r="F6" s="54" t="s">
        <v>660</v>
      </c>
      <c r="G6" s="54" t="s">
        <v>661</v>
      </c>
      <c r="H6" s="40"/>
      <c r="I6" s="40"/>
      <c r="J6" s="40"/>
      <c r="K6" s="40"/>
      <c r="L6" s="40"/>
      <c r="M6" s="40"/>
      <c r="N6" s="40"/>
      <c r="O6" s="40"/>
      <c r="P6" s="40"/>
      <c r="Q6" s="40"/>
      <c r="R6" s="40"/>
      <c r="S6" s="40"/>
      <c r="T6" s="40"/>
      <c r="U6" s="40"/>
      <c r="V6" s="40"/>
      <c r="W6" s="40"/>
      <c r="X6" s="40"/>
      <c r="Y6" s="40"/>
      <c r="Z6" s="40"/>
      <c r="AA6" s="40"/>
      <c r="AB6" s="40"/>
      <c r="AC6" s="40"/>
      <c r="AD6" s="40"/>
      <c r="AE6" s="40"/>
      <c r="AF6" s="40"/>
    </row>
    <row r="7" spans="1:32">
      <c r="A7" s="40" t="s">
        <v>662</v>
      </c>
      <c r="B7" s="40" t="s">
        <v>663</v>
      </c>
      <c r="C7" s="53">
        <f>IF(COUNTIF(C40:AF40,"&lt;0")*COUNTIF(C40:AF40,"&gt;0")=0,0,IRR(C40:AF40))</f>
        <v>9.4749503873108099E-2</v>
      </c>
      <c r="D7" s="53">
        <f>IF(COUNTIF(C41:AF41,"&lt;0")*COUNTIF(C41:AF41,"&gt;0")=0,0,IRR(C41:AF41))</f>
        <v>0.10364037754575683</v>
      </c>
      <c r="E7" s="53">
        <f>IF(COUNTIF(C42:AF42,"&lt;0")*COUNTIF(C42:AF42,"&gt;0")=0,0,IRR(C42:AF42))</f>
        <v>0.11231179217095022</v>
      </c>
      <c r="F7" s="53">
        <f>IF(COUNTIF(C43:AF43,"&lt;0")*COUNTIF(C43:AF43,"&gt;0")=0,0,IRR(C43:AF43))</f>
        <v>0.12078757055224543</v>
      </c>
      <c r="G7" s="53">
        <f>IF(COUNTIF(C44:AF44,"&lt;0")*COUNTIF(C44:AF44,"&gt;0")=0,0,IRR(C44:AF44))</f>
        <v>0.12908785043932736</v>
      </c>
      <c r="H7" s="40"/>
      <c r="I7" s="40"/>
      <c r="J7" s="40"/>
      <c r="K7" s="40"/>
      <c r="L7" s="40"/>
      <c r="M7" s="40"/>
      <c r="N7" s="40"/>
      <c r="O7" s="40"/>
      <c r="P7" s="40"/>
      <c r="Q7" s="40"/>
      <c r="R7" s="40"/>
      <c r="S7" s="40"/>
      <c r="T7" s="40"/>
      <c r="U7" s="40"/>
      <c r="V7" s="40"/>
      <c r="W7" s="40"/>
      <c r="X7" s="40"/>
      <c r="Y7" s="40"/>
      <c r="Z7" s="40"/>
      <c r="AA7" s="40"/>
      <c r="AB7" s="40"/>
      <c r="AC7" s="40"/>
      <c r="AD7" s="40"/>
      <c r="AE7" s="40"/>
      <c r="AF7" s="40"/>
    </row>
    <row r="8" spans="1:32">
      <c r="A8" s="40" t="s">
        <v>664</v>
      </c>
      <c r="B8" s="40" t="s">
        <v>213</v>
      </c>
      <c r="C8" s="53">
        <f>IF(COUNTIF(C45:AF45,"&lt;0")*COUNTIF(C45:AF45,"&gt;0")=0,0,IRR(C45:AF45))</f>
        <v>9.4749503873108099E-2</v>
      </c>
      <c r="D8" s="53">
        <f>IF(COUNTIF(C46:AF46,"&lt;0")*COUNTIF(C46:AF46,"&gt;0")=0,0,IRR(C46:AF46))</f>
        <v>0.10364037754575683</v>
      </c>
      <c r="E8" s="53">
        <f>IF(COUNTIF(C47:AF47,"&lt;0")*COUNTIF(C47:AF47,"&gt;0")=0,0,IRR(C47:AF47))</f>
        <v>0.11231179217095022</v>
      </c>
      <c r="F8" s="53">
        <f>IF(COUNTIF(C48:AF48,"&lt;0")*COUNTIF(C48:AF48,"&gt;0")=0,0,IRR(C48:AF48))</f>
        <v>0.12078757055224543</v>
      </c>
      <c r="G8" s="53">
        <f>IF(COUNTIF(C49:AF49,"&lt;0")*COUNTIF(C49:AF49,"&gt;0")=0,0,IRR(C49:AF49))</f>
        <v>0.12908785043932736</v>
      </c>
      <c r="H8" s="40"/>
      <c r="I8" s="40"/>
      <c r="J8" s="40"/>
      <c r="K8" s="40"/>
      <c r="L8" s="40"/>
      <c r="M8" s="40"/>
      <c r="N8" s="40"/>
      <c r="O8" s="40"/>
      <c r="P8" s="40"/>
      <c r="Q8" s="40"/>
      <c r="R8" s="40"/>
      <c r="S8" s="40"/>
      <c r="T8" s="40"/>
      <c r="U8" s="40"/>
      <c r="V8" s="40"/>
      <c r="W8" s="40"/>
      <c r="X8" s="40"/>
      <c r="Y8" s="40"/>
      <c r="Z8" s="40"/>
      <c r="AA8" s="40"/>
      <c r="AB8" s="40"/>
      <c r="AC8" s="40"/>
      <c r="AD8" s="40"/>
      <c r="AE8" s="40"/>
      <c r="AF8" s="40"/>
    </row>
    <row r="9" spans="1:32">
      <c r="A9" s="40" t="s">
        <v>665</v>
      </c>
      <c r="B9" s="40" t="s">
        <v>666</v>
      </c>
      <c r="C9" s="53">
        <f>IF(COUNTIF(C50:AF50,"&lt;0")*COUNTIF(C50:AF50,"&gt;0")=0,0,IRR(C50:AF50))</f>
        <v>0.1283730074351348</v>
      </c>
      <c r="D9" s="53">
        <f>IF(COUNTIF(C51:AF51,"&lt;0")*COUNTIF(C51:AF51,"&gt;0")=0,0,IRR(C51:AF51))</f>
        <v>0.11999525882150386</v>
      </c>
      <c r="E9" s="53">
        <f>IF(COUNTIF(C52:AF52,"&lt;0")*COUNTIF(C52:AF52,"&gt;0")=0,0,IRR(C52:AF52))</f>
        <v>0.11231179217095022</v>
      </c>
      <c r="F9" s="53">
        <f>IF(COUNTIF(C53:AF53,"&lt;0")*COUNTIF(C53:AF53,"&gt;0")=0,0,IRR(C53:AF53))</f>
        <v>0.1052311791430387</v>
      </c>
      <c r="G9" s="53">
        <f>IF(COUNTIF(C54:AF54,"&lt;0")*COUNTIF(C54:AF54,"&gt;0")=0,0,IRR(C54:AF54))</f>
        <v>9.8677893836606856E-2</v>
      </c>
      <c r="H9" s="40"/>
      <c r="I9" s="40"/>
      <c r="J9" s="40"/>
      <c r="K9" s="40"/>
      <c r="L9" s="40"/>
      <c r="M9" s="40"/>
      <c r="N9" s="40"/>
      <c r="O9" s="40"/>
      <c r="P9" s="40"/>
      <c r="Q9" s="40"/>
      <c r="R9" s="40"/>
      <c r="S9" s="40"/>
      <c r="T9" s="40"/>
      <c r="U9" s="40"/>
      <c r="V9" s="40"/>
      <c r="W9" s="40"/>
      <c r="X9" s="40"/>
      <c r="Y9" s="40"/>
      <c r="Z9" s="40"/>
      <c r="AA9" s="40"/>
      <c r="AB9" s="40"/>
      <c r="AC9" s="40"/>
      <c r="AD9" s="40"/>
      <c r="AE9" s="40"/>
      <c r="AF9" s="40"/>
    </row>
    <row r="10" spans="1:32">
      <c r="A10" s="40" t="s">
        <v>667</v>
      </c>
      <c r="B10" s="40" t="s">
        <v>501</v>
      </c>
      <c r="C10" s="53">
        <f>IF(COUNTIF(C55:AF55,"&lt;0")*COUNTIF(C55:AF55,"&gt;0")=0,0,IRR(C55:AF55))</f>
        <v>0.11470467689961716</v>
      </c>
      <c r="D10" s="53">
        <f>IF(COUNTIF(C56:AF56,"&lt;0")*COUNTIF(C56:AF56,"&gt;0")=0,0,IRR(C56:AF56))</f>
        <v>0.11351084992535898</v>
      </c>
      <c r="E10" s="53">
        <f>IF(COUNTIF(C57:AF57,"&lt;0")*COUNTIF(C57:AF57,"&gt;0")=0,0,IRR(C57:AF57))</f>
        <v>0.11231179217095022</v>
      </c>
      <c r="F10" s="53">
        <f>IF(COUNTIF(C58:AF58,"&lt;0")*COUNTIF(C58:AF58,"&gt;0")=0,0,IRR(C58:AF58))</f>
        <v>0.11110740809585185</v>
      </c>
      <c r="G10" s="53">
        <f>IF(COUNTIF(C59:AF59,"&lt;0")*COUNTIF(C59:AF59,"&gt;0")=0,0,IRR(C59:AF59))</f>
        <v>0.10989759949897793</v>
      </c>
      <c r="H10" s="40"/>
      <c r="I10" s="40"/>
      <c r="J10" s="40"/>
      <c r="K10" s="40"/>
      <c r="L10" s="40"/>
      <c r="M10" s="40"/>
      <c r="N10" s="40"/>
      <c r="O10" s="40"/>
      <c r="P10" s="40"/>
      <c r="Q10" s="40"/>
      <c r="R10" s="40"/>
      <c r="S10" s="40"/>
      <c r="T10" s="40"/>
      <c r="U10" s="40"/>
      <c r="V10" s="40"/>
      <c r="W10" s="40"/>
      <c r="X10" s="40"/>
      <c r="Y10" s="40"/>
      <c r="Z10" s="40"/>
      <c r="AA10" s="40"/>
      <c r="AB10" s="40"/>
      <c r="AC10" s="40"/>
      <c r="AD10" s="40"/>
      <c r="AE10" s="40"/>
      <c r="AF10" s="40"/>
    </row>
    <row r="11" spans="1:32">
      <c r="A11" s="40" t="s">
        <v>668</v>
      </c>
      <c r="B11" s="40" t="s">
        <v>354</v>
      </c>
      <c r="C11" s="53">
        <f>IF(COUNTIF(C60:AF60,"&lt;0")*COUNTIF(C60:AF60,"&gt;0")=0,0,IRR(C60:AF60))</f>
        <v>0.11231179217095022</v>
      </c>
      <c r="D11" s="53">
        <f>IF(COUNTIF(C61:AF61,"&lt;0")*COUNTIF(C61:AF61,"&gt;0")=0,0,IRR(C61:AF61))</f>
        <v>0.11231179217095022</v>
      </c>
      <c r="E11" s="53">
        <f>IF(COUNTIF(C62:AF62,"&lt;0")*COUNTIF(C62:AF62,"&gt;0")=0,0,IRR(C62:AF62))</f>
        <v>0.11231179217095022</v>
      </c>
      <c r="F11" s="53">
        <f>IF(COUNTIF(C63:AF63,"&lt;0")*COUNTIF(C63:AF63,"&gt;0")=0,0,IRR(C63:AF63))</f>
        <v>0.11231179217095022</v>
      </c>
      <c r="G11" s="53">
        <f>IF(COUNTIF(C64:AF64,"&lt;0")*COUNTIF(C64:AF64,"&gt;0")=0,0,IRR(C64:AF64))</f>
        <v>0.11231179217095022</v>
      </c>
      <c r="H11" s="40"/>
      <c r="I11" s="40"/>
      <c r="J11" s="40"/>
      <c r="K11" s="40"/>
      <c r="L11" s="40"/>
      <c r="M11" s="40"/>
      <c r="N11" s="40"/>
      <c r="O11" s="40"/>
      <c r="P11" s="40"/>
      <c r="Q11" s="40"/>
      <c r="R11" s="40"/>
      <c r="S11" s="40"/>
      <c r="T11" s="40"/>
      <c r="U11" s="40"/>
      <c r="V11" s="40"/>
      <c r="W11" s="40"/>
      <c r="X11" s="40"/>
      <c r="Y11" s="40"/>
      <c r="Z11" s="40"/>
      <c r="AA11" s="40"/>
      <c r="AB11" s="40"/>
      <c r="AC11" s="40"/>
      <c r="AD11" s="40"/>
      <c r="AE11" s="40"/>
      <c r="AF11" s="40"/>
    </row>
    <row r="12" spans="1:32">
      <c r="A12" s="40"/>
      <c r="B12" s="40"/>
      <c r="C12" s="40"/>
      <c r="D12" s="40"/>
      <c r="E12" s="40"/>
      <c r="F12" s="40"/>
      <c r="G12" s="40"/>
      <c r="H12" s="40"/>
      <c r="I12" s="40"/>
      <c r="J12" s="40"/>
      <c r="K12" s="40"/>
      <c r="L12" s="40"/>
      <c r="M12" s="40"/>
      <c r="N12" s="40"/>
      <c r="O12" s="40"/>
      <c r="P12" s="40"/>
      <c r="Q12" s="40"/>
      <c r="R12" s="40"/>
      <c r="S12" s="40"/>
      <c r="T12" s="40"/>
      <c r="U12" s="40"/>
      <c r="V12" s="40"/>
      <c r="W12" s="40"/>
      <c r="X12" s="40"/>
      <c r="Y12" s="40"/>
      <c r="Z12" s="40"/>
      <c r="AA12" s="40"/>
      <c r="AB12" s="40"/>
      <c r="AC12" s="40"/>
      <c r="AD12" s="40"/>
      <c r="AE12" s="40"/>
      <c r="AF12" s="40"/>
    </row>
    <row r="13" spans="1:32">
      <c r="A13" s="40"/>
      <c r="B13" s="40"/>
      <c r="C13" s="40"/>
      <c r="D13" s="40"/>
      <c r="E13" s="40"/>
      <c r="F13" s="40"/>
      <c r="G13" s="40"/>
      <c r="H13" s="40"/>
      <c r="I13" s="40"/>
      <c r="J13" s="40"/>
      <c r="K13" s="40"/>
      <c r="L13" s="40"/>
      <c r="M13" s="40"/>
      <c r="N13" s="40"/>
      <c r="O13" s="40"/>
      <c r="P13" s="40"/>
      <c r="Q13" s="40"/>
      <c r="R13" s="40"/>
      <c r="S13" s="40"/>
      <c r="T13" s="40"/>
      <c r="U13" s="40"/>
      <c r="V13" s="40"/>
      <c r="W13" s="40"/>
      <c r="X13" s="40"/>
      <c r="Y13" s="40"/>
      <c r="Z13" s="40"/>
      <c r="AA13" s="40"/>
      <c r="AB13" s="40"/>
      <c r="AC13" s="40"/>
      <c r="AD13" s="40"/>
      <c r="AE13" s="40"/>
      <c r="AF13" s="40"/>
    </row>
    <row r="14" spans="1:32">
      <c r="A14" s="144" t="s">
        <v>669</v>
      </c>
      <c r="B14" s="144"/>
      <c r="C14" s="144"/>
      <c r="D14" s="144"/>
      <c r="E14" s="144"/>
      <c r="F14" s="144"/>
      <c r="G14" s="144"/>
      <c r="H14" s="40"/>
      <c r="I14" s="40"/>
      <c r="J14" s="40"/>
      <c r="K14" s="40"/>
      <c r="L14" s="40"/>
      <c r="M14" s="40"/>
      <c r="N14" s="40"/>
      <c r="O14" s="40"/>
      <c r="P14" s="40"/>
      <c r="Q14" s="40"/>
      <c r="R14" s="40"/>
      <c r="S14" s="40"/>
      <c r="T14" s="40"/>
      <c r="U14" s="40"/>
      <c r="V14" s="40"/>
      <c r="W14" s="40"/>
      <c r="X14" s="40"/>
      <c r="Y14" s="40"/>
      <c r="Z14" s="40"/>
      <c r="AA14" s="40"/>
      <c r="AB14" s="40"/>
      <c r="AC14" s="40"/>
      <c r="AD14" s="40"/>
      <c r="AE14" s="40"/>
      <c r="AF14" s="40"/>
    </row>
    <row r="15" spans="1:32">
      <c r="A15" s="54" t="s">
        <v>162</v>
      </c>
      <c r="B15" s="54" t="s">
        <v>656</v>
      </c>
      <c r="C15" s="54" t="s">
        <v>657</v>
      </c>
      <c r="D15" s="54" t="s">
        <v>658</v>
      </c>
      <c r="E15" s="54" t="s">
        <v>659</v>
      </c>
      <c r="F15" s="54" t="s">
        <v>660</v>
      </c>
      <c r="G15" s="54" t="s">
        <v>661</v>
      </c>
      <c r="H15" s="40"/>
      <c r="I15" s="40"/>
      <c r="J15" s="40"/>
      <c r="K15" s="40"/>
      <c r="L15" s="40"/>
      <c r="M15" s="40"/>
      <c r="N15" s="40"/>
      <c r="O15" s="40"/>
      <c r="P15" s="40"/>
      <c r="Q15" s="40"/>
      <c r="R15" s="40"/>
      <c r="S15" s="40"/>
      <c r="T15" s="40"/>
      <c r="U15" s="40"/>
      <c r="V15" s="40"/>
      <c r="W15" s="40"/>
      <c r="X15" s="40"/>
      <c r="Y15" s="40"/>
      <c r="Z15" s="40"/>
      <c r="AA15" s="40"/>
      <c r="AB15" s="40"/>
      <c r="AC15" s="40"/>
      <c r="AD15" s="40"/>
      <c r="AE15" s="40"/>
      <c r="AF15" s="40"/>
    </row>
    <row r="16" spans="1:32">
      <c r="A16" s="40" t="s">
        <v>662</v>
      </c>
      <c r="B16" s="40" t="s">
        <v>663</v>
      </c>
      <c r="C16" s="53">
        <f>IF(COUNTIF(C70:AF70,"&lt;0")*COUNTIF(C70:AF70,"&gt;0")=0,0,IRR(C70:AF70))</f>
        <v>8.573872725156706E-2</v>
      </c>
      <c r="D16" s="53">
        <f>IF(COUNTIF(C71:AF71,"&lt;0")*COUNTIF(C71:AF71,"&gt;0")=0,0,IRR(C71:AF71))</f>
        <v>0.10426085045315614</v>
      </c>
      <c r="E16" s="53">
        <f>IF(COUNTIF(C72:AF72,"&lt;0")*COUNTIF(C72:AF72,"&gt;0")=0,0,IRR(C72:AF72))</f>
        <v>0.12254153062049333</v>
      </c>
      <c r="F16" s="53">
        <f>IF(COUNTIF(C73:AF73,"&lt;0")*COUNTIF(C73:AF73,"&gt;0")=0,0,IRR(C73:AF73))</f>
        <v>0.14060832858931072</v>
      </c>
      <c r="G16" s="53">
        <f>IF(COUNTIF(C74:AF74,"&lt;0")*COUNTIF(C74:AF74,"&gt;0")=0,0,IRR(C74:AF74))</f>
        <v>0.15847961583936288</v>
      </c>
      <c r="H16" s="40"/>
      <c r="I16" s="40"/>
      <c r="J16" s="40"/>
      <c r="K16" s="40"/>
      <c r="L16" s="40"/>
      <c r="M16" s="40"/>
      <c r="N16" s="40"/>
      <c r="O16" s="40"/>
      <c r="P16" s="40"/>
      <c r="Q16" s="40"/>
      <c r="R16" s="40"/>
      <c r="S16" s="40"/>
      <c r="T16" s="40"/>
      <c r="U16" s="40"/>
      <c r="V16" s="40"/>
      <c r="W16" s="40"/>
      <c r="X16" s="40"/>
      <c r="Y16" s="40"/>
      <c r="Z16" s="40"/>
      <c r="AA16" s="40"/>
      <c r="AB16" s="40"/>
      <c r="AC16" s="40"/>
      <c r="AD16" s="40"/>
      <c r="AE16" s="40"/>
      <c r="AF16" s="40"/>
    </row>
    <row r="17" spans="1:32">
      <c r="A17" s="40" t="s">
        <v>664</v>
      </c>
      <c r="B17" s="40" t="s">
        <v>213</v>
      </c>
      <c r="C17" s="53">
        <f>IF(COUNTIF(C75:AF75,"&lt;0")*COUNTIF(C75:AF75,"&gt;0")=0,0,IRR(C75:AF75))</f>
        <v>8.573872725156706E-2</v>
      </c>
      <c r="D17" s="53">
        <f>IF(COUNTIF(C76:AF76,"&lt;0")*COUNTIF(C76:AF76,"&gt;0")=0,0,IRR(C76:AF76))</f>
        <v>0.10426085045315614</v>
      </c>
      <c r="E17" s="53">
        <f>IF(COUNTIF(C77:AF77,"&lt;0")*COUNTIF(C77:AF77,"&gt;0")=0,0,IRR(C77:AF77))</f>
        <v>0.12254153062049333</v>
      </c>
      <c r="F17" s="53">
        <f>IF(COUNTIF(C78:AF78,"&lt;0")*COUNTIF(C78:AF78,"&gt;0")=0,0,IRR(C78:AF78))</f>
        <v>0.14060832858931072</v>
      </c>
      <c r="G17" s="53">
        <f>IF(COUNTIF(C79:AF79,"&lt;0")*COUNTIF(C79:AF79,"&gt;0")=0,0,IRR(C79:AF79))</f>
        <v>0.15847961583936288</v>
      </c>
      <c r="H17" s="40"/>
      <c r="I17" s="40"/>
      <c r="J17" s="40"/>
      <c r="K17" s="40"/>
      <c r="L17" s="40"/>
      <c r="M17" s="40"/>
      <c r="N17" s="40"/>
      <c r="O17" s="40"/>
      <c r="P17" s="40"/>
      <c r="Q17" s="40"/>
      <c r="R17" s="40"/>
      <c r="S17" s="40"/>
      <c r="T17" s="40"/>
      <c r="U17" s="40"/>
      <c r="V17" s="40"/>
      <c r="W17" s="40"/>
      <c r="X17" s="40"/>
      <c r="Y17" s="40"/>
      <c r="Z17" s="40"/>
      <c r="AA17" s="40"/>
      <c r="AB17" s="40"/>
      <c r="AC17" s="40"/>
      <c r="AD17" s="40"/>
      <c r="AE17" s="40"/>
      <c r="AF17" s="40"/>
    </row>
    <row r="18" spans="1:32">
      <c r="A18" s="40" t="s">
        <v>665</v>
      </c>
      <c r="B18" s="40" t="s">
        <v>666</v>
      </c>
      <c r="C18" s="53">
        <f>IF(COUNTIF(C80:AF80,"&lt;0")*COUNTIF(C80:AF80,"&gt;0")=0,0,IRR(C80:AF80))</f>
        <v>0.13374846678234653</v>
      </c>
      <c r="D18" s="53">
        <f>IF(COUNTIF(C81:AF81,"&lt;0")*COUNTIF(C81:AF81,"&gt;0")=0,0,IRR(C81:AF81))</f>
        <v>0.12795228393928681</v>
      </c>
      <c r="E18" s="53">
        <f>IF(COUNTIF(C82:AF82,"&lt;0")*COUNTIF(C82:AF82,"&gt;0")=0,0,IRR(C82:AF82))</f>
        <v>0.12254153062049333</v>
      </c>
      <c r="F18" s="53">
        <f>IF(COUNTIF(C83:AF83,"&lt;0")*COUNTIF(C83:AF83,"&gt;0")=0,0,IRR(C83:AF83))</f>
        <v>0.11747283868338543</v>
      </c>
      <c r="G18" s="53">
        <f>IF(COUNTIF(C84:AF84,"&lt;0")*COUNTIF(C84:AF84,"&gt;0")=0,0,IRR(C84:AF84))</f>
        <v>0.11270944298478724</v>
      </c>
      <c r="H18" s="40"/>
      <c r="I18" s="40"/>
      <c r="J18" s="40"/>
      <c r="K18" s="40"/>
      <c r="L18" s="40"/>
      <c r="M18" s="40"/>
      <c r="N18" s="40"/>
      <c r="O18" s="40"/>
      <c r="P18" s="40"/>
      <c r="Q18" s="40"/>
      <c r="R18" s="40"/>
      <c r="S18" s="40"/>
      <c r="T18" s="40"/>
      <c r="U18" s="40"/>
      <c r="V18" s="40"/>
      <c r="W18" s="40"/>
      <c r="X18" s="40"/>
      <c r="Y18" s="40"/>
      <c r="Z18" s="40"/>
      <c r="AA18" s="40"/>
      <c r="AB18" s="40"/>
      <c r="AC18" s="40"/>
      <c r="AD18" s="40"/>
      <c r="AE18" s="40"/>
      <c r="AF18" s="40"/>
    </row>
    <row r="19" spans="1:32">
      <c r="A19" s="40" t="s">
        <v>667</v>
      </c>
      <c r="B19" s="40" t="s">
        <v>501</v>
      </c>
      <c r="C19" s="53">
        <f>IF(COUNTIF(C85:AF85,"&lt;0")*COUNTIF(C85:AF85,"&gt;0")=0,0,IRR(C85:AF85))</f>
        <v>0.12759045009108627</v>
      </c>
      <c r="D19" s="53">
        <f>IF(COUNTIF(C86:AF86,"&lt;0")*COUNTIF(C86:AF86,"&gt;0")=0,0,IRR(C86:AF86))</f>
        <v>0.12507110506109309</v>
      </c>
      <c r="E19" s="53">
        <f>IF(COUNTIF(C87:AF87,"&lt;0")*COUNTIF(C87:AF87,"&gt;0")=0,0,IRR(C87:AF87))</f>
        <v>0.12254153062049333</v>
      </c>
      <c r="F19" s="53">
        <f>IF(COUNTIF(C88:AF88,"&lt;0")*COUNTIF(C88:AF88,"&gt;0")=0,0,IRR(C88:AF88))</f>
        <v>0.12000148357438567</v>
      </c>
      <c r="G19" s="53">
        <f>IF(COUNTIF(C89:AF89,"&lt;0")*COUNTIF(C89:AF89,"&gt;0")=0,0,IRR(C89:AF89))</f>
        <v>0.11745071120558226</v>
      </c>
      <c r="H19" s="40"/>
      <c r="I19" s="40"/>
      <c r="J19" s="40"/>
      <c r="K19" s="40"/>
      <c r="L19" s="40"/>
      <c r="M19" s="40"/>
      <c r="N19" s="40"/>
      <c r="O19" s="40"/>
      <c r="P19" s="40"/>
      <c r="Q19" s="40"/>
      <c r="R19" s="40"/>
      <c r="S19" s="40"/>
      <c r="T19" s="40"/>
      <c r="U19" s="40"/>
      <c r="V19" s="40"/>
      <c r="W19" s="40"/>
      <c r="X19" s="40"/>
      <c r="Y19" s="40"/>
      <c r="Z19" s="40"/>
      <c r="AA19" s="40"/>
      <c r="AB19" s="40"/>
      <c r="AC19" s="40"/>
      <c r="AD19" s="40"/>
      <c r="AE19" s="40"/>
      <c r="AF19" s="40"/>
    </row>
    <row r="20" spans="1:32">
      <c r="A20" s="40" t="s">
        <v>668</v>
      </c>
      <c r="B20" s="40" t="s">
        <v>354</v>
      </c>
      <c r="C20" s="53">
        <f>IF(COUNTIF(C90:AF90,"&lt;0")*COUNTIF(C90:AF90,"&gt;0")=0,0,IRR(C90:AF90))</f>
        <v>0.13510024495809625</v>
      </c>
      <c r="D20" s="53">
        <f>IF(COUNTIF(C91:AF91,"&lt;0")*COUNTIF(C91:AF91,"&gt;0")=0,0,IRR(C91:AF91))</f>
        <v>0.12873390335710511</v>
      </c>
      <c r="E20" s="53">
        <f>IF(COUNTIF(C92:AF92,"&lt;0")*COUNTIF(C92:AF92,"&gt;0")=0,0,IRR(C92:AF92))</f>
        <v>0.12254153062049333</v>
      </c>
      <c r="F20" s="53">
        <f>IF(COUNTIF(C93:AF93,"&lt;0")*COUNTIF(C93:AF93,"&gt;0")=0,0,IRR(C93:AF93))</f>
        <v>0.11652019736711816</v>
      </c>
      <c r="G20" s="53">
        <f>IF(COUNTIF(C94:AF94,"&lt;0")*COUNTIF(C94:AF94,"&gt;0")=0,0,IRR(C94:AF94))</f>
        <v>0.11066664418990113</v>
      </c>
      <c r="H20" s="40"/>
      <c r="I20" s="40"/>
      <c r="J20" s="40"/>
      <c r="K20" s="40"/>
      <c r="L20" s="40"/>
      <c r="M20" s="40"/>
      <c r="N20" s="40"/>
      <c r="O20" s="40"/>
      <c r="P20" s="40"/>
      <c r="Q20" s="40"/>
      <c r="R20" s="40"/>
      <c r="S20" s="40"/>
      <c r="T20" s="40"/>
      <c r="U20" s="40"/>
      <c r="V20" s="40"/>
      <c r="W20" s="40"/>
      <c r="X20" s="40"/>
      <c r="Y20" s="40"/>
      <c r="Z20" s="40"/>
      <c r="AA20" s="40"/>
      <c r="AB20" s="40"/>
      <c r="AC20" s="40"/>
      <c r="AD20" s="40"/>
      <c r="AE20" s="40"/>
      <c r="AF20" s="40"/>
    </row>
    <row r="21" spans="1:32">
      <c r="A21" s="40"/>
      <c r="B21" s="40"/>
      <c r="C21" s="40"/>
      <c r="D21" s="40"/>
      <c r="E21" s="40"/>
      <c r="F21" s="40"/>
      <c r="G21" s="40"/>
      <c r="H21" s="40"/>
      <c r="I21" s="40"/>
      <c r="J21" s="40"/>
      <c r="K21" s="40"/>
      <c r="L21" s="40"/>
      <c r="M21" s="40"/>
      <c r="N21" s="40"/>
      <c r="O21" s="40"/>
      <c r="P21" s="40"/>
      <c r="Q21" s="40"/>
      <c r="R21" s="40"/>
      <c r="S21" s="40"/>
      <c r="T21" s="40"/>
      <c r="U21" s="40"/>
      <c r="V21" s="40"/>
      <c r="W21" s="40"/>
      <c r="X21" s="40"/>
      <c r="Y21" s="40"/>
      <c r="Z21" s="40"/>
      <c r="AA21" s="40"/>
      <c r="AB21" s="40"/>
      <c r="AC21" s="40"/>
      <c r="AD21" s="40"/>
      <c r="AE21" s="40"/>
      <c r="AF21" s="40"/>
    </row>
    <row r="22" spans="1:32">
      <c r="A22" s="40"/>
      <c r="B22" s="40"/>
      <c r="C22" s="40"/>
      <c r="D22" s="40"/>
      <c r="E22" s="40"/>
      <c r="F22" s="40"/>
      <c r="G22" s="40"/>
      <c r="H22" s="40"/>
      <c r="I22" s="40"/>
      <c r="J22" s="40"/>
      <c r="K22" s="40"/>
      <c r="L22" s="40"/>
      <c r="M22" s="40"/>
      <c r="N22" s="40"/>
      <c r="O22" s="40"/>
      <c r="P22" s="40"/>
      <c r="Q22" s="40"/>
      <c r="R22" s="40"/>
      <c r="S22" s="40"/>
      <c r="T22" s="40"/>
      <c r="U22" s="40"/>
      <c r="V22" s="40"/>
      <c r="W22" s="40"/>
      <c r="X22" s="40"/>
      <c r="Y22" s="40"/>
      <c r="Z22" s="40"/>
      <c r="AA22" s="40"/>
      <c r="AB22" s="40"/>
      <c r="AC22" s="40"/>
      <c r="AD22" s="40"/>
      <c r="AE22" s="40"/>
      <c r="AF22" s="40"/>
    </row>
    <row r="23" spans="1:32">
      <c r="A23" s="143" t="s">
        <v>670</v>
      </c>
      <c r="B23" s="143"/>
      <c r="C23" s="143"/>
      <c r="D23" s="143"/>
      <c r="E23" s="143"/>
      <c r="F23" s="143"/>
      <c r="G23" s="143"/>
      <c r="H23" s="40"/>
      <c r="I23" s="40"/>
      <c r="J23" s="40"/>
      <c r="K23" s="40"/>
      <c r="L23" s="40"/>
      <c r="M23" s="40"/>
      <c r="N23" s="40"/>
      <c r="O23" s="40"/>
      <c r="P23" s="40"/>
      <c r="Q23" s="40"/>
      <c r="R23" s="40"/>
      <c r="S23" s="40"/>
      <c r="T23" s="40"/>
      <c r="U23" s="40"/>
      <c r="V23" s="40"/>
      <c r="W23" s="40"/>
      <c r="X23" s="40"/>
      <c r="Y23" s="40"/>
      <c r="Z23" s="40"/>
      <c r="AA23" s="40"/>
      <c r="AB23" s="40"/>
      <c r="AC23" s="40"/>
      <c r="AD23" s="40"/>
      <c r="AE23" s="40"/>
      <c r="AF23" s="40"/>
    </row>
    <row r="24" spans="1:32">
      <c r="A24" s="143"/>
      <c r="B24" s="143"/>
      <c r="C24" s="143"/>
      <c r="D24" s="143"/>
      <c r="E24" s="143"/>
      <c r="F24" s="143"/>
      <c r="G24" s="143"/>
      <c r="H24" s="40"/>
      <c r="I24" s="40"/>
      <c r="J24" s="40"/>
      <c r="K24" s="40"/>
      <c r="L24" s="40"/>
      <c r="M24" s="40"/>
      <c r="N24" s="40"/>
      <c r="O24" s="40"/>
      <c r="P24" s="40"/>
      <c r="Q24" s="40"/>
      <c r="R24" s="40"/>
      <c r="S24" s="40"/>
      <c r="T24" s="40"/>
      <c r="U24" s="40"/>
      <c r="V24" s="40"/>
      <c r="W24" s="40"/>
      <c r="X24" s="40"/>
      <c r="Y24" s="40"/>
      <c r="Z24" s="40"/>
      <c r="AA24" s="40"/>
      <c r="AB24" s="40"/>
      <c r="AC24" s="40"/>
      <c r="AD24" s="40"/>
      <c r="AE24" s="40"/>
      <c r="AF24" s="40"/>
    </row>
    <row r="25" spans="1:32">
      <c r="A25" s="143"/>
      <c r="B25" s="143"/>
      <c r="C25" s="143"/>
      <c r="D25" s="143"/>
      <c r="E25" s="143"/>
      <c r="F25" s="143"/>
      <c r="G25" s="143"/>
      <c r="H25" s="40"/>
      <c r="I25" s="40"/>
      <c r="J25" s="40"/>
      <c r="K25" s="40"/>
      <c r="L25" s="40"/>
      <c r="M25" s="40"/>
      <c r="N25" s="40"/>
      <c r="O25" s="40"/>
      <c r="P25" s="40"/>
      <c r="Q25" s="40"/>
      <c r="R25" s="40"/>
      <c r="S25" s="40"/>
      <c r="T25" s="40"/>
      <c r="U25" s="40"/>
      <c r="V25" s="40"/>
      <c r="W25" s="40"/>
      <c r="X25" s="40"/>
      <c r="Y25" s="40"/>
      <c r="Z25" s="40"/>
      <c r="AA25" s="40"/>
      <c r="AB25" s="40"/>
      <c r="AC25" s="40"/>
      <c r="AD25" s="40"/>
      <c r="AE25" s="40"/>
      <c r="AF25" s="40"/>
    </row>
    <row r="26" spans="1:32">
      <c r="A26" s="40"/>
      <c r="B26" s="40"/>
      <c r="C26" s="40"/>
      <c r="D26" s="40"/>
      <c r="E26" s="40"/>
      <c r="F26" s="40"/>
      <c r="G26" s="40"/>
      <c r="H26" s="40"/>
      <c r="I26" s="40"/>
      <c r="J26" s="40"/>
      <c r="K26" s="40"/>
      <c r="L26" s="40"/>
      <c r="M26" s="40"/>
      <c r="N26" s="40"/>
      <c r="O26" s="40"/>
      <c r="P26" s="40"/>
      <c r="Q26" s="40"/>
      <c r="R26" s="40"/>
      <c r="S26" s="40"/>
      <c r="T26" s="40"/>
      <c r="U26" s="40"/>
      <c r="V26" s="40"/>
      <c r="W26" s="40"/>
      <c r="X26" s="40"/>
      <c r="Y26" s="40"/>
      <c r="Z26" s="40"/>
      <c r="AA26" s="40"/>
      <c r="AB26" s="40"/>
      <c r="AC26" s="40"/>
      <c r="AD26" s="40"/>
      <c r="AE26" s="40"/>
      <c r="AF26" s="40"/>
    </row>
    <row r="27" spans="1:32">
      <c r="A27" s="40"/>
      <c r="B27" s="40"/>
      <c r="C27" s="40"/>
      <c r="D27" s="40"/>
      <c r="E27" s="40"/>
      <c r="F27" s="40"/>
      <c r="G27" s="40"/>
      <c r="H27" s="40"/>
      <c r="I27" s="40"/>
      <c r="J27" s="40"/>
      <c r="K27" s="40"/>
      <c r="L27" s="40"/>
      <c r="M27" s="40"/>
      <c r="N27" s="40"/>
      <c r="O27" s="40"/>
      <c r="P27" s="40"/>
      <c r="Q27" s="40"/>
      <c r="R27" s="40"/>
      <c r="S27" s="40"/>
      <c r="T27" s="40"/>
      <c r="U27" s="40"/>
      <c r="V27" s="40"/>
      <c r="W27" s="40"/>
      <c r="X27" s="40"/>
      <c r="Y27" s="40"/>
      <c r="Z27" s="40"/>
      <c r="AA27" s="40"/>
      <c r="AB27" s="40"/>
      <c r="AC27" s="40"/>
      <c r="AD27" s="40"/>
      <c r="AE27" s="40"/>
      <c r="AF27" s="40"/>
    </row>
    <row r="28" spans="1:32">
      <c r="A28" s="144" t="s">
        <v>671</v>
      </c>
      <c r="B28" s="144"/>
      <c r="C28" s="144"/>
      <c r="D28" s="144"/>
      <c r="E28" s="144"/>
      <c r="F28" s="144"/>
      <c r="G28" s="144"/>
      <c r="H28" s="144"/>
      <c r="I28" s="144"/>
      <c r="J28" s="144"/>
      <c r="K28" s="144"/>
      <c r="L28" s="144"/>
      <c r="M28" s="144"/>
      <c r="N28" s="144"/>
      <c r="O28" s="144"/>
      <c r="P28" s="144"/>
      <c r="Q28" s="144"/>
      <c r="R28" s="144"/>
      <c r="S28" s="144"/>
      <c r="T28" s="144"/>
      <c r="U28" s="144"/>
      <c r="V28" s="144"/>
      <c r="W28" s="144"/>
      <c r="X28" s="144"/>
      <c r="Y28" s="144"/>
      <c r="Z28" s="144"/>
      <c r="AA28" s="144"/>
      <c r="AB28" s="144"/>
      <c r="AC28" s="144"/>
      <c r="AD28" s="144"/>
      <c r="AE28" s="144"/>
      <c r="AF28" s="144"/>
    </row>
    <row r="29" spans="1:32">
      <c r="A29" s="40"/>
      <c r="B29" s="40"/>
      <c r="C29" s="40"/>
      <c r="D29" s="40"/>
      <c r="E29" s="40"/>
      <c r="F29" s="40"/>
      <c r="G29" s="40"/>
      <c r="H29" s="40"/>
      <c r="I29" s="40"/>
      <c r="J29" s="40"/>
      <c r="K29" s="40"/>
      <c r="L29" s="40"/>
      <c r="M29" s="40"/>
      <c r="N29" s="40"/>
      <c r="O29" s="40"/>
      <c r="P29" s="40"/>
      <c r="Q29" s="40"/>
      <c r="R29" s="40"/>
      <c r="S29" s="40"/>
      <c r="T29" s="40"/>
      <c r="U29" s="40"/>
      <c r="V29" s="40"/>
      <c r="W29" s="40"/>
      <c r="X29" s="40"/>
      <c r="Y29" s="40"/>
      <c r="Z29" s="40"/>
      <c r="AA29" s="40"/>
      <c r="AB29" s="40"/>
      <c r="AC29" s="40"/>
      <c r="AD29" s="40"/>
      <c r="AE29" s="40"/>
      <c r="AF29" s="40"/>
    </row>
    <row r="30" spans="1:32">
      <c r="A30" s="40"/>
      <c r="B30" s="40"/>
      <c r="C30" s="40"/>
      <c r="D30" s="40"/>
      <c r="E30" s="40"/>
      <c r="F30" s="40"/>
      <c r="G30" s="40"/>
      <c r="H30" s="40"/>
      <c r="I30" s="40"/>
      <c r="J30" s="40"/>
      <c r="K30" s="40"/>
      <c r="L30" s="40"/>
      <c r="M30" s="40"/>
      <c r="N30" s="40"/>
      <c r="O30" s="40"/>
      <c r="P30" s="40"/>
      <c r="Q30" s="40"/>
      <c r="R30" s="40"/>
      <c r="S30" s="40"/>
      <c r="T30" s="40"/>
      <c r="U30" s="40"/>
      <c r="V30" s="40"/>
      <c r="W30" s="40"/>
      <c r="X30" s="40"/>
      <c r="Y30" s="40"/>
      <c r="Z30" s="40"/>
      <c r="AA30" s="40"/>
      <c r="AB30" s="40"/>
      <c r="AC30" s="40"/>
      <c r="AD30" s="40"/>
      <c r="AE30" s="40"/>
      <c r="AF30" s="40"/>
    </row>
    <row r="31" spans="1:32">
      <c r="A31" s="40"/>
      <c r="B31" s="40"/>
      <c r="C31" s="40"/>
      <c r="D31" s="40"/>
      <c r="E31" s="40"/>
      <c r="F31" s="40"/>
      <c r="G31" s="40"/>
      <c r="H31" s="40"/>
      <c r="I31" s="40"/>
      <c r="J31" s="40"/>
      <c r="K31" s="40"/>
      <c r="L31" s="40"/>
      <c r="M31" s="40"/>
      <c r="N31" s="40"/>
      <c r="O31" s="40"/>
      <c r="P31" s="40"/>
      <c r="Q31" s="40"/>
      <c r="R31" s="40"/>
      <c r="S31" s="40"/>
      <c r="T31" s="40"/>
      <c r="U31" s="40"/>
      <c r="V31" s="40"/>
      <c r="W31" s="40"/>
      <c r="X31" s="40"/>
      <c r="Y31" s="40"/>
      <c r="Z31" s="40"/>
      <c r="AA31" s="40"/>
      <c r="AB31" s="40"/>
      <c r="AC31" s="40"/>
      <c r="AD31" s="40"/>
      <c r="AE31" s="40"/>
      <c r="AF31" s="40"/>
    </row>
    <row r="32" spans="1:32">
      <c r="A32" s="40"/>
      <c r="B32" s="40"/>
      <c r="C32" s="40"/>
      <c r="D32" s="40"/>
      <c r="E32" s="40"/>
      <c r="F32" s="40"/>
      <c r="G32" s="40"/>
      <c r="H32" s="40"/>
      <c r="I32" s="40"/>
      <c r="J32" s="40"/>
      <c r="K32" s="40"/>
      <c r="L32" s="40"/>
      <c r="M32" s="40"/>
      <c r="N32" s="40"/>
      <c r="O32" s="40"/>
      <c r="P32" s="40"/>
      <c r="Q32" s="40"/>
      <c r="R32" s="40"/>
      <c r="S32" s="40"/>
      <c r="T32" s="40"/>
      <c r="U32" s="40"/>
      <c r="V32" s="40"/>
      <c r="W32" s="40"/>
      <c r="X32" s="40"/>
      <c r="Y32" s="40"/>
      <c r="Z32" s="40"/>
      <c r="AA32" s="40"/>
      <c r="AB32" s="40"/>
      <c r="AC32" s="40"/>
      <c r="AD32" s="40"/>
      <c r="AE32" s="40"/>
      <c r="AF32" s="40"/>
    </row>
    <row r="33" spans="1:32">
      <c r="A33" s="40"/>
      <c r="B33" s="40"/>
      <c r="C33" s="40"/>
      <c r="D33" s="40"/>
      <c r="E33" s="40"/>
      <c r="F33" s="40"/>
      <c r="G33" s="40"/>
      <c r="H33" s="40"/>
      <c r="I33" s="40"/>
      <c r="J33" s="40"/>
      <c r="K33" s="40"/>
      <c r="L33" s="40"/>
      <c r="M33" s="40"/>
      <c r="N33" s="40"/>
      <c r="O33" s="40"/>
      <c r="P33" s="40"/>
      <c r="Q33" s="40"/>
      <c r="R33" s="40"/>
      <c r="S33" s="40"/>
      <c r="T33" s="40"/>
      <c r="U33" s="40"/>
      <c r="V33" s="40"/>
      <c r="W33" s="40"/>
      <c r="X33" s="40"/>
      <c r="Y33" s="40"/>
      <c r="Z33" s="40"/>
      <c r="AA33" s="40"/>
      <c r="AB33" s="40"/>
      <c r="AC33" s="40"/>
      <c r="AD33" s="40"/>
      <c r="AE33" s="40"/>
      <c r="AF33" s="40"/>
    </row>
    <row r="34" spans="1:32">
      <c r="A34" s="40"/>
      <c r="B34" s="40"/>
      <c r="C34" s="40"/>
      <c r="D34" s="40"/>
      <c r="E34" s="40"/>
      <c r="F34" s="40"/>
      <c r="G34" s="40"/>
      <c r="H34" s="40"/>
      <c r="I34" s="40"/>
      <c r="J34" s="40"/>
      <c r="K34" s="40"/>
      <c r="L34" s="40"/>
      <c r="M34" s="40"/>
      <c r="N34" s="40"/>
      <c r="O34" s="40"/>
      <c r="P34" s="40"/>
      <c r="Q34" s="40"/>
      <c r="R34" s="40"/>
      <c r="S34" s="40"/>
      <c r="T34" s="40"/>
      <c r="U34" s="40"/>
      <c r="V34" s="40"/>
      <c r="W34" s="40"/>
      <c r="X34" s="40"/>
      <c r="Y34" s="40"/>
      <c r="Z34" s="40"/>
      <c r="AA34" s="40"/>
      <c r="AB34" s="40"/>
      <c r="AC34" s="40"/>
      <c r="AD34" s="40"/>
      <c r="AE34" s="40"/>
      <c r="AF34" s="40"/>
    </row>
    <row r="35" spans="1:32">
      <c r="A35" s="40"/>
      <c r="B35" s="40"/>
      <c r="C35" s="40"/>
      <c r="D35" s="40"/>
      <c r="E35" s="40"/>
      <c r="F35" s="40"/>
      <c r="G35" s="40"/>
      <c r="H35" s="40"/>
      <c r="I35" s="40"/>
      <c r="J35" s="40"/>
      <c r="K35" s="40"/>
      <c r="L35" s="40"/>
      <c r="M35" s="40"/>
      <c r="N35" s="40"/>
      <c r="O35" s="40"/>
      <c r="P35" s="40"/>
      <c r="Q35" s="40"/>
      <c r="R35" s="40"/>
      <c r="S35" s="40"/>
      <c r="T35" s="40"/>
      <c r="U35" s="40"/>
      <c r="V35" s="40"/>
      <c r="W35" s="40"/>
      <c r="X35" s="40"/>
      <c r="Y35" s="40"/>
      <c r="Z35" s="40"/>
      <c r="AA35" s="40"/>
      <c r="AB35" s="40"/>
      <c r="AC35" s="40"/>
      <c r="AD35" s="40"/>
      <c r="AE35" s="40"/>
      <c r="AF35" s="40"/>
    </row>
    <row r="36" spans="1:32">
      <c r="A36" s="40"/>
      <c r="B36" s="40"/>
      <c r="C36" s="40"/>
      <c r="D36" s="40"/>
      <c r="E36" s="40"/>
      <c r="F36" s="40"/>
      <c r="G36" s="40"/>
      <c r="H36" s="40"/>
      <c r="I36" s="40"/>
      <c r="J36" s="40"/>
      <c r="K36" s="40"/>
      <c r="L36" s="40"/>
      <c r="M36" s="40"/>
      <c r="N36" s="40"/>
      <c r="O36" s="40"/>
      <c r="P36" s="40"/>
      <c r="Q36" s="40"/>
      <c r="R36" s="40"/>
      <c r="S36" s="40"/>
      <c r="T36" s="40"/>
      <c r="U36" s="40"/>
      <c r="V36" s="40"/>
      <c r="W36" s="40"/>
      <c r="X36" s="40"/>
      <c r="Y36" s="40"/>
      <c r="Z36" s="40"/>
      <c r="AA36" s="40"/>
      <c r="AB36" s="40"/>
      <c r="AC36" s="40"/>
      <c r="AD36" s="40"/>
      <c r="AE36" s="40"/>
      <c r="AF36" s="40"/>
    </row>
    <row r="37" spans="1:32">
      <c r="A37" s="40"/>
      <c r="B37" s="40"/>
      <c r="C37" s="40"/>
      <c r="D37" s="40"/>
      <c r="E37" s="40"/>
      <c r="F37" s="40"/>
      <c r="G37" s="40"/>
      <c r="H37" s="40"/>
      <c r="I37" s="40"/>
      <c r="J37" s="40"/>
      <c r="K37" s="40"/>
      <c r="L37" s="40"/>
      <c r="M37" s="40"/>
      <c r="N37" s="40"/>
      <c r="O37" s="40"/>
      <c r="P37" s="40"/>
      <c r="Q37" s="40"/>
      <c r="R37" s="40"/>
      <c r="S37" s="40"/>
      <c r="T37" s="40"/>
      <c r="U37" s="40"/>
      <c r="V37" s="40"/>
      <c r="W37" s="40"/>
      <c r="X37" s="40"/>
      <c r="Y37" s="40"/>
      <c r="Z37" s="40"/>
      <c r="AA37" s="40"/>
      <c r="AB37" s="40"/>
      <c r="AC37" s="40"/>
      <c r="AD37" s="40"/>
      <c r="AE37" s="40"/>
      <c r="AF37" s="40"/>
    </row>
    <row r="38" spans="1:32">
      <c r="A38" s="40"/>
      <c r="B38" s="40"/>
      <c r="C38" s="40"/>
      <c r="D38" s="40"/>
      <c r="E38" s="40"/>
      <c r="F38" s="40"/>
      <c r="G38" s="40"/>
      <c r="H38" s="40"/>
      <c r="I38" s="40"/>
      <c r="J38" s="40"/>
      <c r="K38" s="40"/>
      <c r="L38" s="40"/>
      <c r="M38" s="40"/>
      <c r="N38" s="40"/>
      <c r="O38" s="40"/>
      <c r="P38" s="40"/>
      <c r="Q38" s="40"/>
      <c r="R38" s="40"/>
      <c r="S38" s="40"/>
      <c r="T38" s="40"/>
      <c r="U38" s="40"/>
      <c r="V38" s="40"/>
      <c r="W38" s="40"/>
      <c r="X38" s="40"/>
      <c r="Y38" s="40"/>
      <c r="Z38" s="40"/>
      <c r="AA38" s="40"/>
      <c r="AB38" s="40"/>
      <c r="AC38" s="40"/>
      <c r="AD38" s="40"/>
      <c r="AE38" s="40"/>
      <c r="AF38" s="40"/>
    </row>
    <row r="39" spans="1:32">
      <c r="A39" s="40"/>
      <c r="B39" s="40"/>
      <c r="C39" s="40"/>
      <c r="D39" s="40"/>
      <c r="E39" s="40"/>
      <c r="F39" s="40"/>
      <c r="G39" s="40"/>
      <c r="H39" s="40"/>
      <c r="I39" s="40"/>
      <c r="J39" s="40"/>
      <c r="K39" s="40"/>
      <c r="L39" s="40"/>
      <c r="M39" s="40"/>
      <c r="N39" s="40"/>
      <c r="O39" s="40"/>
      <c r="P39" s="40"/>
      <c r="Q39" s="40"/>
      <c r="R39" s="40"/>
      <c r="S39" s="40"/>
      <c r="T39" s="40"/>
      <c r="U39" s="40"/>
      <c r="V39" s="40"/>
      <c r="W39" s="40"/>
      <c r="X39" s="40"/>
      <c r="Y39" s="40"/>
      <c r="Z39" s="40"/>
      <c r="AA39" s="40"/>
      <c r="AB39" s="40"/>
      <c r="AC39" s="40"/>
      <c r="AD39" s="40"/>
      <c r="AE39" s="40"/>
      <c r="AF39" s="40"/>
    </row>
    <row r="40" spans="1:32">
      <c r="A40" s="40" t="s">
        <v>672</v>
      </c>
      <c r="B40" s="40" t="s">
        <v>673</v>
      </c>
      <c r="C40" s="55">
        <f>Project_CF!C24+(Energy_Revenue!C14*-0.0999999999999999)*(1-Dep_Tax!C24)</f>
        <v>-2690.6</v>
      </c>
      <c r="D40" s="55">
        <f>Project_CF!D24+(Energy_Revenue!D14*-0.0999999999999999)*(1-Dep_Tax!D24)</f>
        <v>-3791.3</v>
      </c>
      <c r="E40" s="55">
        <f>Project_CF!E24+(Energy_Revenue!E14*-0.0999999999999999)*(1-Dep_Tax!E24)</f>
        <v>1142.3211208</v>
      </c>
      <c r="F40" s="55">
        <f>Project_CF!F24+(Energy_Revenue!F14*-0.0999999999999999)*(1-Dep_Tax!F24)</f>
        <v>771.17967855840016</v>
      </c>
      <c r="G40" s="55">
        <f>Project_CF!G24+(Energy_Revenue!G14*-0.0999999999999999)*(1-Dep_Tax!G24)</f>
        <v>766.89290720128338</v>
      </c>
      <c r="H40" s="55">
        <f>Project_CF!H24+(Energy_Revenue!H14*-0.0999999999999999)*(1-Dep_Tax!H24)</f>
        <v>762.55982114688084</v>
      </c>
      <c r="I40" s="55">
        <f>Project_CF!I24+(Energy_Revenue!I14*-0.0999999999999999)*(1-Dep_Tax!I24)</f>
        <v>736.47290137179766</v>
      </c>
      <c r="J40" s="55">
        <f>Project_CF!J24+(Energy_Revenue!J14*-0.0999999999999999)*(1-Dep_Tax!J24)</f>
        <v>732.26558811159282</v>
      </c>
      <c r="K40" s="55">
        <f>Project_CF!K24+(Energy_Revenue!K14*-0.0999999999999999)*(1-Dep_Tax!K24)</f>
        <v>728.0113540304842</v>
      </c>
      <c r="L40" s="55">
        <f>Project_CF!L24+(Energy_Revenue!L14*-0.0999999999999999)*(1-Dep_Tax!L24)</f>
        <v>723.7091862611652</v>
      </c>
      <c r="M40" s="55">
        <f>Project_CF!M24+(Energy_Revenue!M14*-0.0999999999999999)*(1-Dep_Tax!M24)</f>
        <v>719.35805182788454</v>
      </c>
      <c r="N40" s="55">
        <f>Project_CF!N24+(Energy_Revenue!N14*-0.0999999999999999)*(1-Dep_Tax!N24)</f>
        <v>714.95689724398039</v>
      </c>
      <c r="O40" s="55">
        <f>Project_CF!O24+(Energy_Revenue!O14*-0.0999999999999999)*(1-Dep_Tax!O24)</f>
        <v>710.50464810136384</v>
      </c>
      <c r="P40" s="55">
        <f>Project_CF!P24+(Energy_Revenue!P14*-0.0999999999999999)*(1-Dep_Tax!P24)</f>
        <v>706.00020865179533</v>
      </c>
      <c r="Q40" s="55">
        <f>Project_CF!Q24+(Energy_Revenue!Q14*-0.0999999999999999)*(1-Dep_Tax!Q24)</f>
        <v>701.44246137978337</v>
      </c>
      <c r="R40" s="55">
        <f>Project_CF!R24+(Energy_Revenue!R14*-0.0999999999999999)*(1-Dep_Tax!R24)</f>
        <v>677.21020714237022</v>
      </c>
      <c r="S40" s="55">
        <f>Project_CF!S24+(Energy_Revenue!S14*-0.0999999999999999)*(1-Dep_Tax!S24)</f>
        <v>672.78807635567637</v>
      </c>
      <c r="T40" s="55">
        <f>Project_CF!T24+(Energy_Revenue!T14*-0.0999999999999999)*(1-Dep_Tax!T24)</f>
        <v>630.06069476805135</v>
      </c>
      <c r="U40" s="55">
        <f>Project_CF!U24+(Energy_Revenue!U14*-0.0999999999999999)*(1-Dep_Tax!U24)</f>
        <v>626.03323835263927</v>
      </c>
      <c r="V40" s="55">
        <f>Project_CF!V24+(Energy_Revenue!V14*-0.0999999999999999)*(1-Dep_Tax!V24)</f>
        <v>621.95589775644066</v>
      </c>
      <c r="W40" s="55">
        <f>Project_CF!W24+(Energy_Revenue!W14*-0.0999999999999999)*(1-Dep_Tax!W24)</f>
        <v>617.82761396594435</v>
      </c>
      <c r="X40" s="55">
        <f>Project_CF!X24+(Energy_Revenue!X14*-0.0999999999999999)*(1-Dep_Tax!X24)</f>
        <v>613.64730691002967</v>
      </c>
      <c r="Y40" s="55">
        <f>Project_CF!Y24+(Energy_Revenue!Y14*-0.0999999999999999)*(1-Dep_Tax!Y24)</f>
        <v>0</v>
      </c>
      <c r="Z40" s="55">
        <f>Project_CF!Z24+(Energy_Revenue!Z14*-0.0999999999999999)*(1-Dep_Tax!Z24)</f>
        <v>0</v>
      </c>
      <c r="AA40" s="55">
        <f>Project_CF!AA24+(Energy_Revenue!AA14*-0.0999999999999999)*(1-Dep_Tax!AA24)</f>
        <v>0</v>
      </c>
      <c r="AB40" s="55">
        <f>Project_CF!AB24+(Energy_Revenue!AB14*-0.0999999999999999)*(1-Dep_Tax!AB24)</f>
        <v>0</v>
      </c>
      <c r="AC40" s="55">
        <f>Project_CF!AC24+(Energy_Revenue!AC14*-0.0999999999999999)*(1-Dep_Tax!AC24)</f>
        <v>0</v>
      </c>
      <c r="AD40" s="55">
        <f>Project_CF!AD24+(Energy_Revenue!AD14*-0.0999999999999999)*(1-Dep_Tax!AD24)</f>
        <v>0</v>
      </c>
      <c r="AE40" s="55">
        <f>Project_CF!AE24+(Energy_Revenue!AE14*-0.0999999999999999)*(1-Dep_Tax!AE24)</f>
        <v>0</v>
      </c>
      <c r="AF40" s="55">
        <f>Project_CF!AF24+(Energy_Revenue!AF14*-0.0999999999999999)*(1-Dep_Tax!AF24)</f>
        <v>0</v>
      </c>
    </row>
    <row r="41" spans="1:32">
      <c r="A41" s="40" t="s">
        <v>674</v>
      </c>
      <c r="B41" s="40" t="s">
        <v>675</v>
      </c>
      <c r="C41" s="55">
        <f>Project_CF!C24+(Energy_Revenue!C14*-0.05)*(1-Dep_Tax!C24)</f>
        <v>-2690.6</v>
      </c>
      <c r="D41" s="55">
        <f>Project_CF!D24+(Energy_Revenue!D14*-0.05)*(1-Dep_Tax!D24)</f>
        <v>-3791.3</v>
      </c>
      <c r="E41" s="55">
        <f>Project_CF!E24+(Energy_Revenue!E14*-0.05)*(1-Dep_Tax!E24)</f>
        <v>1192.1945163999999</v>
      </c>
      <c r="F41" s="55">
        <f>Project_CF!F24+(Energy_Revenue!F14*-0.05)*(1-Dep_Tax!F24)</f>
        <v>820.95332736720002</v>
      </c>
      <c r="G41" s="55">
        <f>Project_CF!G24+(Energy_Revenue!G14*-0.05)*(1-Dep_Tax!G24)</f>
        <v>816.56700871246574</v>
      </c>
      <c r="H41" s="55">
        <f>Project_CF!H24+(Energy_Revenue!H14*-0.05)*(1-Dep_Tax!H24)</f>
        <v>812.13457445504082</v>
      </c>
      <c r="I41" s="55">
        <f>Project_CF!I24+(Energy_Revenue!I14*-0.05)*(1-Dep_Tax!I24)</f>
        <v>783.47472498326408</v>
      </c>
      <c r="J41" s="55">
        <f>Project_CF!J24+(Energy_Revenue!J14*-0.05)*(1-Dep_Tax!J24)</f>
        <v>779.17340807583628</v>
      </c>
      <c r="K41" s="55">
        <f>Project_CF!K24+(Energy_Revenue!K14*-0.05)*(1-Dep_Tax!K24)</f>
        <v>774.82535835479916</v>
      </c>
      <c r="L41" s="55">
        <f>Project_CF!L24+(Energy_Revenue!L14*-0.05)*(1-Dep_Tax!L24)</f>
        <v>770.42956257683159</v>
      </c>
      <c r="M41" s="55">
        <f>Project_CF!M24+(Energy_Revenue!M14*-0.05)*(1-Dep_Tax!M24)</f>
        <v>765.98498739091951</v>
      </c>
      <c r="N41" s="55">
        <f>Project_CF!N24+(Energy_Revenue!N14*-0.05)*(1-Dep_Tax!N24)</f>
        <v>761.49057893588929</v>
      </c>
      <c r="O41" s="55">
        <f>Project_CF!O24+(Energy_Revenue!O14*-0.05)*(1-Dep_Tax!O24)</f>
        <v>756.945262429889</v>
      </c>
      <c r="P41" s="55">
        <f>Project_CF!P24+(Energy_Revenue!P14*-0.05)*(1-Dep_Tax!P24)</f>
        <v>752.34794175166337</v>
      </c>
      <c r="Q41" s="55">
        <f>Project_CF!Q24+(Energy_Revenue!Q14*-0.05)*(1-Dep_Tax!Q24)</f>
        <v>747.69749901345176</v>
      </c>
      <c r="R41" s="55">
        <f>Project_CF!R24+(Energy_Revenue!R14*-0.05)*(1-Dep_Tax!R24)</f>
        <v>720.94312798717112</v>
      </c>
      <c r="S41" s="55">
        <f>Project_CF!S24+(Energy_Revenue!S14*-0.05)*(1-Dep_Tax!S24)</f>
        <v>716.43353135878783</v>
      </c>
      <c r="T41" s="55">
        <f>Project_CF!T24+(Energy_Revenue!T14*-0.05)*(1-Dep_Tax!T24)</f>
        <v>668.77906285081156</v>
      </c>
      <c r="U41" s="55">
        <f>Project_CF!U24+(Energy_Revenue!U14*-0.05)*(1-Dep_Tax!U24)</f>
        <v>664.67416969923397</v>
      </c>
      <c r="V41" s="55">
        <f>Project_CF!V24+(Energy_Revenue!V14*-0.05)*(1-Dep_Tax!V24)</f>
        <v>660.51954724034215</v>
      </c>
      <c r="W41" s="55">
        <f>Project_CF!W24+(Energy_Revenue!W14*-0.05)*(1-Dep_Tax!W24)</f>
        <v>656.31413615087797</v>
      </c>
      <c r="X41" s="55">
        <f>Project_CF!X24+(Energy_Revenue!X14*-0.05)*(1-Dep_Tax!X24)</f>
        <v>652.05685605059341</v>
      </c>
      <c r="Y41" s="55">
        <f>Project_CF!Y24+(Energy_Revenue!Y14*-0.05)*(1-Dep_Tax!Y24)</f>
        <v>0</v>
      </c>
      <c r="Z41" s="55">
        <f>Project_CF!Z24+(Energy_Revenue!Z14*-0.05)*(1-Dep_Tax!Z24)</f>
        <v>0</v>
      </c>
      <c r="AA41" s="55">
        <f>Project_CF!AA24+(Energy_Revenue!AA14*-0.05)*(1-Dep_Tax!AA24)</f>
        <v>0</v>
      </c>
      <c r="AB41" s="55">
        <f>Project_CF!AB24+(Energy_Revenue!AB14*-0.05)*(1-Dep_Tax!AB24)</f>
        <v>0</v>
      </c>
      <c r="AC41" s="55">
        <f>Project_CF!AC24+(Energy_Revenue!AC14*-0.05)*(1-Dep_Tax!AC24)</f>
        <v>0</v>
      </c>
      <c r="AD41" s="55">
        <f>Project_CF!AD24+(Energy_Revenue!AD14*-0.05)*(1-Dep_Tax!AD24)</f>
        <v>0</v>
      </c>
      <c r="AE41" s="55">
        <f>Project_CF!AE24+(Energy_Revenue!AE14*-0.05)*(1-Dep_Tax!AE24)</f>
        <v>0</v>
      </c>
      <c r="AF41" s="55">
        <f>Project_CF!AF24+(Energy_Revenue!AF14*-0.05)*(1-Dep_Tax!AF24)</f>
        <v>0</v>
      </c>
    </row>
    <row r="42" spans="1:32">
      <c r="A42" s="40" t="s">
        <v>676</v>
      </c>
      <c r="B42" s="40" t="s">
        <v>677</v>
      </c>
      <c r="C42" s="55">
        <f>Project_CF!C24+(Energy_Revenue!C14*0)*(1-Dep_Tax!C24)</f>
        <v>-2690.6</v>
      </c>
      <c r="D42" s="55">
        <f>Project_CF!D24+(Energy_Revenue!D14*0)*(1-Dep_Tax!D24)</f>
        <v>-3791.3</v>
      </c>
      <c r="E42" s="55">
        <f>Project_CF!E24+(Energy_Revenue!E14*0)*(1-Dep_Tax!E24)</f>
        <v>1242.067912</v>
      </c>
      <c r="F42" s="55">
        <f>Project_CF!F24+(Energy_Revenue!F14*0)*(1-Dep_Tax!F24)</f>
        <v>870.72697617599999</v>
      </c>
      <c r="G42" s="55">
        <f>Project_CF!G24+(Energy_Revenue!G14*0)*(1-Dep_Tax!G24)</f>
        <v>866.24111022364809</v>
      </c>
      <c r="H42" s="55">
        <f>Project_CF!H24+(Energy_Revenue!H14*0)*(1-Dep_Tax!H24)</f>
        <v>861.7093277632008</v>
      </c>
      <c r="I42" s="55">
        <f>Project_CF!I24+(Energy_Revenue!I14*0)*(1-Dep_Tax!I24)</f>
        <v>830.47654859473062</v>
      </c>
      <c r="J42" s="55">
        <f>Project_CF!J24+(Energy_Revenue!J14*0)*(1-Dep_Tax!J24)</f>
        <v>826.08122804007985</v>
      </c>
      <c r="K42" s="55">
        <f>Project_CF!K24+(Energy_Revenue!K14*0)*(1-Dep_Tax!K24)</f>
        <v>821.63936267911424</v>
      </c>
      <c r="L42" s="55">
        <f>Project_CF!L24+(Energy_Revenue!L14*0)*(1-Dep_Tax!L24)</f>
        <v>817.14993889249808</v>
      </c>
      <c r="M42" s="55">
        <f>Project_CF!M24+(Energy_Revenue!M14*0)*(1-Dep_Tax!M24)</f>
        <v>812.61192295395472</v>
      </c>
      <c r="N42" s="55">
        <f>Project_CF!N24+(Energy_Revenue!N14*0)*(1-Dep_Tax!N24)</f>
        <v>808.02426062779841</v>
      </c>
      <c r="O42" s="55">
        <f>Project_CF!O24+(Energy_Revenue!O14*0)*(1-Dep_Tax!O24)</f>
        <v>803.38587675841427</v>
      </c>
      <c r="P42" s="55">
        <f>Project_CF!P24+(Energy_Revenue!P14*0)*(1-Dep_Tax!P24)</f>
        <v>798.69567485153163</v>
      </c>
      <c r="Q42" s="55">
        <f>Project_CF!Q24+(Energy_Revenue!Q14*0)*(1-Dep_Tax!Q24)</f>
        <v>793.95253664712027</v>
      </c>
      <c r="R42" s="55">
        <f>Project_CF!R24+(Energy_Revenue!R14*0)*(1-Dep_Tax!R24)</f>
        <v>764.67604883197225</v>
      </c>
      <c r="S42" s="55">
        <f>Project_CF!S24+(Energy_Revenue!S14*0)*(1-Dep_Tax!S24)</f>
        <v>760.0789863618993</v>
      </c>
      <c r="T42" s="55">
        <f>Project_CF!T24+(Energy_Revenue!T14*0)*(1-Dep_Tax!T24)</f>
        <v>707.49743093357176</v>
      </c>
      <c r="U42" s="55">
        <f>Project_CF!U24+(Energy_Revenue!U14*0)*(1-Dep_Tax!U24)</f>
        <v>703.31510104582867</v>
      </c>
      <c r="V42" s="55">
        <f>Project_CF!V24+(Energy_Revenue!V14*0)*(1-Dep_Tax!V24)</f>
        <v>699.08319672424363</v>
      </c>
      <c r="W42" s="55">
        <f>Project_CF!W24+(Energy_Revenue!W14*0)*(1-Dep_Tax!W24)</f>
        <v>694.8006583358117</v>
      </c>
      <c r="X42" s="55">
        <f>Project_CF!X24+(Energy_Revenue!X14*0)*(1-Dep_Tax!X24)</f>
        <v>690.46640519115726</v>
      </c>
      <c r="Y42" s="55">
        <f>Project_CF!Y24+(Energy_Revenue!Y14*0)*(1-Dep_Tax!Y24)</f>
        <v>0</v>
      </c>
      <c r="Z42" s="55">
        <f>Project_CF!Z24+(Energy_Revenue!Z14*0)*(1-Dep_Tax!Z24)</f>
        <v>0</v>
      </c>
      <c r="AA42" s="55">
        <f>Project_CF!AA24+(Energy_Revenue!AA14*0)*(1-Dep_Tax!AA24)</f>
        <v>0</v>
      </c>
      <c r="AB42" s="55">
        <f>Project_CF!AB24+(Energy_Revenue!AB14*0)*(1-Dep_Tax!AB24)</f>
        <v>0</v>
      </c>
      <c r="AC42" s="55">
        <f>Project_CF!AC24+(Energy_Revenue!AC14*0)*(1-Dep_Tax!AC24)</f>
        <v>0</v>
      </c>
      <c r="AD42" s="55">
        <f>Project_CF!AD24+(Energy_Revenue!AD14*0)*(1-Dep_Tax!AD24)</f>
        <v>0</v>
      </c>
      <c r="AE42" s="55">
        <f>Project_CF!AE24+(Energy_Revenue!AE14*0)*(1-Dep_Tax!AE24)</f>
        <v>0</v>
      </c>
      <c r="AF42" s="55">
        <f>Project_CF!AF24+(Energy_Revenue!AF14*0)*(1-Dep_Tax!AF24)</f>
        <v>0</v>
      </c>
    </row>
    <row r="43" spans="1:32">
      <c r="A43" s="40" t="s">
        <v>678</v>
      </c>
      <c r="B43" s="40" t="s">
        <v>679</v>
      </c>
      <c r="C43" s="55">
        <f>Project_CF!C24+(Energy_Revenue!C14*0.05)*(1-Dep_Tax!C24)</f>
        <v>-2690.6</v>
      </c>
      <c r="D43" s="55">
        <f>Project_CF!D24+(Energy_Revenue!D14*0.05)*(1-Dep_Tax!D24)</f>
        <v>-3791.3</v>
      </c>
      <c r="E43" s="55">
        <f>Project_CF!E24+(Energy_Revenue!E14*0.05)*(1-Dep_Tax!E24)</f>
        <v>1291.9413076000001</v>
      </c>
      <c r="F43" s="55">
        <f>Project_CF!F24+(Energy_Revenue!F14*0.05)*(1-Dep_Tax!F24)</f>
        <v>920.50062498479997</v>
      </c>
      <c r="G43" s="55">
        <f>Project_CF!G24+(Energy_Revenue!G14*0.05)*(1-Dep_Tax!G24)</f>
        <v>915.91521173483045</v>
      </c>
      <c r="H43" s="55">
        <f>Project_CF!H24+(Energy_Revenue!H14*0.05)*(1-Dep_Tax!H24)</f>
        <v>911.28408107136079</v>
      </c>
      <c r="I43" s="55">
        <f>Project_CF!I24+(Energy_Revenue!I14*0.05)*(1-Dep_Tax!I24)</f>
        <v>877.47837220619715</v>
      </c>
      <c r="J43" s="55">
        <f>Project_CF!J24+(Energy_Revenue!J14*0.05)*(1-Dep_Tax!J24)</f>
        <v>872.98904800432342</v>
      </c>
      <c r="K43" s="55">
        <f>Project_CF!K24+(Energy_Revenue!K14*0.05)*(1-Dep_Tax!K24)</f>
        <v>868.45336700342932</v>
      </c>
      <c r="L43" s="55">
        <f>Project_CF!L24+(Energy_Revenue!L14*0.05)*(1-Dep_Tax!L24)</f>
        <v>863.87031520816458</v>
      </c>
      <c r="M43" s="55">
        <f>Project_CF!M24+(Energy_Revenue!M14*0.05)*(1-Dep_Tax!M24)</f>
        <v>859.23885851698992</v>
      </c>
      <c r="N43" s="55">
        <f>Project_CF!N24+(Energy_Revenue!N14*0.05)*(1-Dep_Tax!N24)</f>
        <v>854.55794231970754</v>
      </c>
      <c r="O43" s="55">
        <f>Project_CF!O24+(Energy_Revenue!O14*0.05)*(1-Dep_Tax!O24)</f>
        <v>849.82649108693954</v>
      </c>
      <c r="P43" s="55">
        <f>Project_CF!P24+(Energy_Revenue!P14*0.05)*(1-Dep_Tax!P24)</f>
        <v>845.0434079513999</v>
      </c>
      <c r="Q43" s="55">
        <f>Project_CF!Q24+(Energy_Revenue!Q14*0.05)*(1-Dep_Tax!Q24)</f>
        <v>840.20757428078878</v>
      </c>
      <c r="R43" s="55">
        <f>Project_CF!R24+(Energy_Revenue!R14*0.05)*(1-Dep_Tax!R24)</f>
        <v>808.40896967677338</v>
      </c>
      <c r="S43" s="55">
        <f>Project_CF!S24+(Energy_Revenue!S14*0.05)*(1-Dep_Tax!S24)</f>
        <v>803.72444136501076</v>
      </c>
      <c r="T43" s="55">
        <f>Project_CF!T24+(Energy_Revenue!T14*0.05)*(1-Dep_Tax!T24)</f>
        <v>746.21579901633197</v>
      </c>
      <c r="U43" s="55">
        <f>Project_CF!U24+(Energy_Revenue!U14*0.05)*(1-Dep_Tax!U24)</f>
        <v>741.95603239242337</v>
      </c>
      <c r="V43" s="55">
        <f>Project_CF!V24+(Energy_Revenue!V14*0.05)*(1-Dep_Tax!V24)</f>
        <v>737.64684620814512</v>
      </c>
      <c r="W43" s="55">
        <f>Project_CF!W24+(Energy_Revenue!W14*0.05)*(1-Dep_Tax!W24)</f>
        <v>733.28718052074544</v>
      </c>
      <c r="X43" s="55">
        <f>Project_CF!X24+(Energy_Revenue!X14*0.05)*(1-Dep_Tax!X24)</f>
        <v>728.87595433172112</v>
      </c>
      <c r="Y43" s="55">
        <f>Project_CF!Y24+(Energy_Revenue!Y14*0.05)*(1-Dep_Tax!Y24)</f>
        <v>0</v>
      </c>
      <c r="Z43" s="55">
        <f>Project_CF!Z24+(Energy_Revenue!Z14*0.05)*(1-Dep_Tax!Z24)</f>
        <v>0</v>
      </c>
      <c r="AA43" s="55">
        <f>Project_CF!AA24+(Energy_Revenue!AA14*0.05)*(1-Dep_Tax!AA24)</f>
        <v>0</v>
      </c>
      <c r="AB43" s="55">
        <f>Project_CF!AB24+(Energy_Revenue!AB14*0.05)*(1-Dep_Tax!AB24)</f>
        <v>0</v>
      </c>
      <c r="AC43" s="55">
        <f>Project_CF!AC24+(Energy_Revenue!AC14*0.05)*(1-Dep_Tax!AC24)</f>
        <v>0</v>
      </c>
      <c r="AD43" s="55">
        <f>Project_CF!AD24+(Energy_Revenue!AD14*0.05)*(1-Dep_Tax!AD24)</f>
        <v>0</v>
      </c>
      <c r="AE43" s="55">
        <f>Project_CF!AE24+(Energy_Revenue!AE14*0.05)*(1-Dep_Tax!AE24)</f>
        <v>0</v>
      </c>
      <c r="AF43" s="55">
        <f>Project_CF!AF24+(Energy_Revenue!AF14*0.05)*(1-Dep_Tax!AF24)</f>
        <v>0</v>
      </c>
    </row>
    <row r="44" spans="1:32">
      <c r="A44" s="40" t="s">
        <v>680</v>
      </c>
      <c r="B44" s="40" t="s">
        <v>681</v>
      </c>
      <c r="C44" s="55">
        <f>Project_CF!C24+(Energy_Revenue!C14*0.1)*(1-Dep_Tax!C24)</f>
        <v>-2690.6</v>
      </c>
      <c r="D44" s="55">
        <f>Project_CF!D24+(Energy_Revenue!D14*0.1)*(1-Dep_Tax!D24)</f>
        <v>-3791.3</v>
      </c>
      <c r="E44" s="55">
        <f>Project_CF!E24+(Energy_Revenue!E14*0.1)*(1-Dep_Tax!E24)</f>
        <v>1341.8147031999999</v>
      </c>
      <c r="F44" s="55">
        <f>Project_CF!F24+(Energy_Revenue!F14*0.1)*(1-Dep_Tax!F24)</f>
        <v>970.27427379360006</v>
      </c>
      <c r="G44" s="55">
        <f>Project_CF!G24+(Energy_Revenue!G14*0.1)*(1-Dep_Tax!G24)</f>
        <v>965.58931324601292</v>
      </c>
      <c r="H44" s="55">
        <f>Project_CF!H24+(Energy_Revenue!H14*0.1)*(1-Dep_Tax!H24)</f>
        <v>960.85883437952089</v>
      </c>
      <c r="I44" s="55">
        <f>Project_CF!I24+(Energy_Revenue!I14*0.1)*(1-Dep_Tax!I24)</f>
        <v>924.48019581766368</v>
      </c>
      <c r="J44" s="55">
        <f>Project_CF!J24+(Energy_Revenue!J14*0.1)*(1-Dep_Tax!J24)</f>
        <v>919.89686796856699</v>
      </c>
      <c r="K44" s="55">
        <f>Project_CF!K24+(Energy_Revenue!K14*0.1)*(1-Dep_Tax!K24)</f>
        <v>915.2673713277444</v>
      </c>
      <c r="L44" s="55">
        <f>Project_CF!L24+(Energy_Revenue!L14*0.1)*(1-Dep_Tax!L24)</f>
        <v>910.59069152383108</v>
      </c>
      <c r="M44" s="55">
        <f>Project_CF!M24+(Energy_Revenue!M14*0.1)*(1-Dep_Tax!M24)</f>
        <v>905.86579408002501</v>
      </c>
      <c r="N44" s="55">
        <f>Project_CF!N24+(Energy_Revenue!N14*0.1)*(1-Dep_Tax!N24)</f>
        <v>901.09162401161655</v>
      </c>
      <c r="O44" s="55">
        <f>Project_CF!O24+(Energy_Revenue!O14*0.1)*(1-Dep_Tax!O24)</f>
        <v>896.26710541546481</v>
      </c>
      <c r="P44" s="55">
        <f>Project_CF!P24+(Energy_Revenue!P14*0.1)*(1-Dep_Tax!P24)</f>
        <v>891.39114105126805</v>
      </c>
      <c r="Q44" s="55">
        <f>Project_CF!Q24+(Energy_Revenue!Q14*0.1)*(1-Dep_Tax!Q24)</f>
        <v>886.46261191445728</v>
      </c>
      <c r="R44" s="55">
        <f>Project_CF!R24+(Energy_Revenue!R14*0.1)*(1-Dep_Tax!R24)</f>
        <v>852.1418905215744</v>
      </c>
      <c r="S44" s="55">
        <f>Project_CF!S24+(Energy_Revenue!S14*0.1)*(1-Dep_Tax!S24)</f>
        <v>847.36989636812223</v>
      </c>
      <c r="T44" s="55">
        <f>Project_CF!T24+(Energy_Revenue!T14*0.1)*(1-Dep_Tax!T24)</f>
        <v>784.93416709909229</v>
      </c>
      <c r="U44" s="55">
        <f>Project_CF!U24+(Energy_Revenue!U14*0.1)*(1-Dep_Tax!U24)</f>
        <v>780.59696373901807</v>
      </c>
      <c r="V44" s="55">
        <f>Project_CF!V24+(Energy_Revenue!V14*0.1)*(1-Dep_Tax!V24)</f>
        <v>776.21049569204672</v>
      </c>
      <c r="W44" s="55">
        <f>Project_CF!W24+(Energy_Revenue!W14*0.1)*(1-Dep_Tax!W24)</f>
        <v>771.77370270567917</v>
      </c>
      <c r="X44" s="55">
        <f>Project_CF!X24+(Energy_Revenue!X14*0.1)*(1-Dep_Tax!X24)</f>
        <v>767.28550347228497</v>
      </c>
      <c r="Y44" s="55">
        <f>Project_CF!Y24+(Energy_Revenue!Y14*0.1)*(1-Dep_Tax!Y24)</f>
        <v>0</v>
      </c>
      <c r="Z44" s="55">
        <f>Project_CF!Z24+(Energy_Revenue!Z14*0.1)*(1-Dep_Tax!Z24)</f>
        <v>0</v>
      </c>
      <c r="AA44" s="55">
        <f>Project_CF!AA24+(Energy_Revenue!AA14*0.1)*(1-Dep_Tax!AA24)</f>
        <v>0</v>
      </c>
      <c r="AB44" s="55">
        <f>Project_CF!AB24+(Energy_Revenue!AB14*0.1)*(1-Dep_Tax!AB24)</f>
        <v>0</v>
      </c>
      <c r="AC44" s="55">
        <f>Project_CF!AC24+(Energy_Revenue!AC14*0.1)*(1-Dep_Tax!AC24)</f>
        <v>0</v>
      </c>
      <c r="AD44" s="55">
        <f>Project_CF!AD24+(Energy_Revenue!AD14*0.1)*(1-Dep_Tax!AD24)</f>
        <v>0</v>
      </c>
      <c r="AE44" s="55">
        <f>Project_CF!AE24+(Energy_Revenue!AE14*0.1)*(1-Dep_Tax!AE24)</f>
        <v>0</v>
      </c>
      <c r="AF44" s="55">
        <f>Project_CF!AF24+(Energy_Revenue!AF14*0.1)*(1-Dep_Tax!AF24)</f>
        <v>0</v>
      </c>
    </row>
    <row r="45" spans="1:32">
      <c r="A45" s="40" t="s">
        <v>682</v>
      </c>
      <c r="B45" s="40" t="s">
        <v>673</v>
      </c>
      <c r="C45" s="55">
        <f>Project_CF!C24+(Energy_Revenue!C14*-0.0999999999999999)*(1-Dep_Tax!C24)</f>
        <v>-2690.6</v>
      </c>
      <c r="D45" s="55">
        <f>Project_CF!D24+(Energy_Revenue!D14*-0.0999999999999999)*(1-Dep_Tax!D24)</f>
        <v>-3791.3</v>
      </c>
      <c r="E45" s="55">
        <f>Project_CF!E24+(Energy_Revenue!E14*-0.0999999999999999)*(1-Dep_Tax!E24)</f>
        <v>1142.3211208</v>
      </c>
      <c r="F45" s="55">
        <f>Project_CF!F24+(Energy_Revenue!F14*-0.0999999999999999)*(1-Dep_Tax!F24)</f>
        <v>771.17967855840016</v>
      </c>
      <c r="G45" s="55">
        <f>Project_CF!G24+(Energy_Revenue!G14*-0.0999999999999999)*(1-Dep_Tax!G24)</f>
        <v>766.89290720128338</v>
      </c>
      <c r="H45" s="55">
        <f>Project_CF!H24+(Energy_Revenue!H14*-0.0999999999999999)*(1-Dep_Tax!H24)</f>
        <v>762.55982114688084</v>
      </c>
      <c r="I45" s="55">
        <f>Project_CF!I24+(Energy_Revenue!I14*-0.0999999999999999)*(1-Dep_Tax!I24)</f>
        <v>736.47290137179766</v>
      </c>
      <c r="J45" s="55">
        <f>Project_CF!J24+(Energy_Revenue!J14*-0.0999999999999999)*(1-Dep_Tax!J24)</f>
        <v>732.26558811159282</v>
      </c>
      <c r="K45" s="55">
        <f>Project_CF!K24+(Energy_Revenue!K14*-0.0999999999999999)*(1-Dep_Tax!K24)</f>
        <v>728.0113540304842</v>
      </c>
      <c r="L45" s="55">
        <f>Project_CF!L24+(Energy_Revenue!L14*-0.0999999999999999)*(1-Dep_Tax!L24)</f>
        <v>723.7091862611652</v>
      </c>
      <c r="M45" s="55">
        <f>Project_CF!M24+(Energy_Revenue!M14*-0.0999999999999999)*(1-Dep_Tax!M24)</f>
        <v>719.35805182788454</v>
      </c>
      <c r="N45" s="55">
        <f>Project_CF!N24+(Energy_Revenue!N14*-0.0999999999999999)*(1-Dep_Tax!N24)</f>
        <v>714.95689724398039</v>
      </c>
      <c r="O45" s="55">
        <f>Project_CF!O24+(Energy_Revenue!O14*-0.0999999999999999)*(1-Dep_Tax!O24)</f>
        <v>710.50464810136384</v>
      </c>
      <c r="P45" s="55">
        <f>Project_CF!P24+(Energy_Revenue!P14*-0.0999999999999999)*(1-Dep_Tax!P24)</f>
        <v>706.00020865179533</v>
      </c>
      <c r="Q45" s="55">
        <f>Project_CF!Q24+(Energy_Revenue!Q14*-0.0999999999999999)*(1-Dep_Tax!Q24)</f>
        <v>701.44246137978337</v>
      </c>
      <c r="R45" s="55">
        <f>Project_CF!R24+(Energy_Revenue!R14*-0.0999999999999999)*(1-Dep_Tax!R24)</f>
        <v>677.21020714237022</v>
      </c>
      <c r="S45" s="55">
        <f>Project_CF!S24+(Energy_Revenue!S14*-0.0999999999999999)*(1-Dep_Tax!S24)</f>
        <v>672.78807635567637</v>
      </c>
      <c r="T45" s="55">
        <f>Project_CF!T24+(Energy_Revenue!T14*-0.0999999999999999)*(1-Dep_Tax!T24)</f>
        <v>630.06069476805135</v>
      </c>
      <c r="U45" s="55">
        <f>Project_CF!U24+(Energy_Revenue!U14*-0.0999999999999999)*(1-Dep_Tax!U24)</f>
        <v>626.03323835263927</v>
      </c>
      <c r="V45" s="55">
        <f>Project_CF!V24+(Energy_Revenue!V14*-0.0999999999999999)*(1-Dep_Tax!V24)</f>
        <v>621.95589775644066</v>
      </c>
      <c r="W45" s="55">
        <f>Project_CF!W24+(Energy_Revenue!W14*-0.0999999999999999)*(1-Dep_Tax!W24)</f>
        <v>617.82761396594435</v>
      </c>
      <c r="X45" s="55">
        <f>Project_CF!X24+(Energy_Revenue!X14*-0.0999999999999999)*(1-Dep_Tax!X24)</f>
        <v>613.64730691002967</v>
      </c>
      <c r="Y45" s="55">
        <f>Project_CF!Y24+(Energy_Revenue!Y14*-0.0999999999999999)*(1-Dep_Tax!Y24)</f>
        <v>0</v>
      </c>
      <c r="Z45" s="55">
        <f>Project_CF!Z24+(Energy_Revenue!Z14*-0.0999999999999999)*(1-Dep_Tax!Z24)</f>
        <v>0</v>
      </c>
      <c r="AA45" s="55">
        <f>Project_CF!AA24+(Energy_Revenue!AA14*-0.0999999999999999)*(1-Dep_Tax!AA24)</f>
        <v>0</v>
      </c>
      <c r="AB45" s="55">
        <f>Project_CF!AB24+(Energy_Revenue!AB14*-0.0999999999999999)*(1-Dep_Tax!AB24)</f>
        <v>0</v>
      </c>
      <c r="AC45" s="55">
        <f>Project_CF!AC24+(Energy_Revenue!AC14*-0.0999999999999999)*(1-Dep_Tax!AC24)</f>
        <v>0</v>
      </c>
      <c r="AD45" s="55">
        <f>Project_CF!AD24+(Energy_Revenue!AD14*-0.0999999999999999)*(1-Dep_Tax!AD24)</f>
        <v>0</v>
      </c>
      <c r="AE45" s="55">
        <f>Project_CF!AE24+(Energy_Revenue!AE14*-0.0999999999999999)*(1-Dep_Tax!AE24)</f>
        <v>0</v>
      </c>
      <c r="AF45" s="55">
        <f>Project_CF!AF24+(Energy_Revenue!AF14*-0.0999999999999999)*(1-Dep_Tax!AF24)</f>
        <v>0</v>
      </c>
    </row>
    <row r="46" spans="1:32">
      <c r="A46" s="40" t="s">
        <v>683</v>
      </c>
      <c r="B46" s="40" t="s">
        <v>675</v>
      </c>
      <c r="C46" s="55">
        <f>Project_CF!C24+(Energy_Revenue!C14*-0.05)*(1-Dep_Tax!C24)</f>
        <v>-2690.6</v>
      </c>
      <c r="D46" s="55">
        <f>Project_CF!D24+(Energy_Revenue!D14*-0.05)*(1-Dep_Tax!D24)</f>
        <v>-3791.3</v>
      </c>
      <c r="E46" s="55">
        <f>Project_CF!E24+(Energy_Revenue!E14*-0.05)*(1-Dep_Tax!E24)</f>
        <v>1192.1945163999999</v>
      </c>
      <c r="F46" s="55">
        <f>Project_CF!F24+(Energy_Revenue!F14*-0.05)*(1-Dep_Tax!F24)</f>
        <v>820.95332736720002</v>
      </c>
      <c r="G46" s="55">
        <f>Project_CF!G24+(Energy_Revenue!G14*-0.05)*(1-Dep_Tax!G24)</f>
        <v>816.56700871246574</v>
      </c>
      <c r="H46" s="55">
        <f>Project_CF!H24+(Energy_Revenue!H14*-0.05)*(1-Dep_Tax!H24)</f>
        <v>812.13457445504082</v>
      </c>
      <c r="I46" s="55">
        <f>Project_CF!I24+(Energy_Revenue!I14*-0.05)*(1-Dep_Tax!I24)</f>
        <v>783.47472498326408</v>
      </c>
      <c r="J46" s="55">
        <f>Project_CF!J24+(Energy_Revenue!J14*-0.05)*(1-Dep_Tax!J24)</f>
        <v>779.17340807583628</v>
      </c>
      <c r="K46" s="55">
        <f>Project_CF!K24+(Energy_Revenue!K14*-0.05)*(1-Dep_Tax!K24)</f>
        <v>774.82535835479916</v>
      </c>
      <c r="L46" s="55">
        <f>Project_CF!L24+(Energy_Revenue!L14*-0.05)*(1-Dep_Tax!L24)</f>
        <v>770.42956257683159</v>
      </c>
      <c r="M46" s="55">
        <f>Project_CF!M24+(Energy_Revenue!M14*-0.05)*(1-Dep_Tax!M24)</f>
        <v>765.98498739091951</v>
      </c>
      <c r="N46" s="55">
        <f>Project_CF!N24+(Energy_Revenue!N14*-0.05)*(1-Dep_Tax!N24)</f>
        <v>761.49057893588929</v>
      </c>
      <c r="O46" s="55">
        <f>Project_CF!O24+(Energy_Revenue!O14*-0.05)*(1-Dep_Tax!O24)</f>
        <v>756.945262429889</v>
      </c>
      <c r="P46" s="55">
        <f>Project_CF!P24+(Energy_Revenue!P14*-0.05)*(1-Dep_Tax!P24)</f>
        <v>752.34794175166337</v>
      </c>
      <c r="Q46" s="55">
        <f>Project_CF!Q24+(Energy_Revenue!Q14*-0.05)*(1-Dep_Tax!Q24)</f>
        <v>747.69749901345176</v>
      </c>
      <c r="R46" s="55">
        <f>Project_CF!R24+(Energy_Revenue!R14*-0.05)*(1-Dep_Tax!R24)</f>
        <v>720.94312798717112</v>
      </c>
      <c r="S46" s="55">
        <f>Project_CF!S24+(Energy_Revenue!S14*-0.05)*(1-Dep_Tax!S24)</f>
        <v>716.43353135878783</v>
      </c>
      <c r="T46" s="55">
        <f>Project_CF!T24+(Energy_Revenue!T14*-0.05)*(1-Dep_Tax!T24)</f>
        <v>668.77906285081156</v>
      </c>
      <c r="U46" s="55">
        <f>Project_CF!U24+(Energy_Revenue!U14*-0.05)*(1-Dep_Tax!U24)</f>
        <v>664.67416969923397</v>
      </c>
      <c r="V46" s="55">
        <f>Project_CF!V24+(Energy_Revenue!V14*-0.05)*(1-Dep_Tax!V24)</f>
        <v>660.51954724034215</v>
      </c>
      <c r="W46" s="55">
        <f>Project_CF!W24+(Energy_Revenue!W14*-0.05)*(1-Dep_Tax!W24)</f>
        <v>656.31413615087797</v>
      </c>
      <c r="X46" s="55">
        <f>Project_CF!X24+(Energy_Revenue!X14*-0.05)*(1-Dep_Tax!X24)</f>
        <v>652.05685605059341</v>
      </c>
      <c r="Y46" s="55">
        <f>Project_CF!Y24+(Energy_Revenue!Y14*-0.05)*(1-Dep_Tax!Y24)</f>
        <v>0</v>
      </c>
      <c r="Z46" s="55">
        <f>Project_CF!Z24+(Energy_Revenue!Z14*-0.05)*(1-Dep_Tax!Z24)</f>
        <v>0</v>
      </c>
      <c r="AA46" s="55">
        <f>Project_CF!AA24+(Energy_Revenue!AA14*-0.05)*(1-Dep_Tax!AA24)</f>
        <v>0</v>
      </c>
      <c r="AB46" s="55">
        <f>Project_CF!AB24+(Energy_Revenue!AB14*-0.05)*(1-Dep_Tax!AB24)</f>
        <v>0</v>
      </c>
      <c r="AC46" s="55">
        <f>Project_CF!AC24+(Energy_Revenue!AC14*-0.05)*(1-Dep_Tax!AC24)</f>
        <v>0</v>
      </c>
      <c r="AD46" s="55">
        <f>Project_CF!AD24+(Energy_Revenue!AD14*-0.05)*(1-Dep_Tax!AD24)</f>
        <v>0</v>
      </c>
      <c r="AE46" s="55">
        <f>Project_CF!AE24+(Energy_Revenue!AE14*-0.05)*(1-Dep_Tax!AE24)</f>
        <v>0</v>
      </c>
      <c r="AF46" s="55">
        <f>Project_CF!AF24+(Energy_Revenue!AF14*-0.05)*(1-Dep_Tax!AF24)</f>
        <v>0</v>
      </c>
    </row>
    <row r="47" spans="1:32">
      <c r="A47" s="40" t="s">
        <v>684</v>
      </c>
      <c r="B47" s="40" t="s">
        <v>677</v>
      </c>
      <c r="C47" s="55">
        <f>Project_CF!C24+(Energy_Revenue!C14*0)*(1-Dep_Tax!C24)</f>
        <v>-2690.6</v>
      </c>
      <c r="D47" s="55">
        <f>Project_CF!D24+(Energy_Revenue!D14*0)*(1-Dep_Tax!D24)</f>
        <v>-3791.3</v>
      </c>
      <c r="E47" s="55">
        <f>Project_CF!E24+(Energy_Revenue!E14*0)*(1-Dep_Tax!E24)</f>
        <v>1242.067912</v>
      </c>
      <c r="F47" s="55">
        <f>Project_CF!F24+(Energy_Revenue!F14*0)*(1-Dep_Tax!F24)</f>
        <v>870.72697617599999</v>
      </c>
      <c r="G47" s="55">
        <f>Project_CF!G24+(Energy_Revenue!G14*0)*(1-Dep_Tax!G24)</f>
        <v>866.24111022364809</v>
      </c>
      <c r="H47" s="55">
        <f>Project_CF!H24+(Energy_Revenue!H14*0)*(1-Dep_Tax!H24)</f>
        <v>861.7093277632008</v>
      </c>
      <c r="I47" s="55">
        <f>Project_CF!I24+(Energy_Revenue!I14*0)*(1-Dep_Tax!I24)</f>
        <v>830.47654859473062</v>
      </c>
      <c r="J47" s="55">
        <f>Project_CF!J24+(Energy_Revenue!J14*0)*(1-Dep_Tax!J24)</f>
        <v>826.08122804007985</v>
      </c>
      <c r="K47" s="55">
        <f>Project_CF!K24+(Energy_Revenue!K14*0)*(1-Dep_Tax!K24)</f>
        <v>821.63936267911424</v>
      </c>
      <c r="L47" s="55">
        <f>Project_CF!L24+(Energy_Revenue!L14*0)*(1-Dep_Tax!L24)</f>
        <v>817.14993889249808</v>
      </c>
      <c r="M47" s="55">
        <f>Project_CF!M24+(Energy_Revenue!M14*0)*(1-Dep_Tax!M24)</f>
        <v>812.61192295395472</v>
      </c>
      <c r="N47" s="55">
        <f>Project_CF!N24+(Energy_Revenue!N14*0)*(1-Dep_Tax!N24)</f>
        <v>808.02426062779841</v>
      </c>
      <c r="O47" s="55">
        <f>Project_CF!O24+(Energy_Revenue!O14*0)*(1-Dep_Tax!O24)</f>
        <v>803.38587675841427</v>
      </c>
      <c r="P47" s="55">
        <f>Project_CF!P24+(Energy_Revenue!P14*0)*(1-Dep_Tax!P24)</f>
        <v>798.69567485153163</v>
      </c>
      <c r="Q47" s="55">
        <f>Project_CF!Q24+(Energy_Revenue!Q14*0)*(1-Dep_Tax!Q24)</f>
        <v>793.95253664712027</v>
      </c>
      <c r="R47" s="55">
        <f>Project_CF!R24+(Energy_Revenue!R14*0)*(1-Dep_Tax!R24)</f>
        <v>764.67604883197225</v>
      </c>
      <c r="S47" s="55">
        <f>Project_CF!S24+(Energy_Revenue!S14*0)*(1-Dep_Tax!S24)</f>
        <v>760.0789863618993</v>
      </c>
      <c r="T47" s="55">
        <f>Project_CF!T24+(Energy_Revenue!T14*0)*(1-Dep_Tax!T24)</f>
        <v>707.49743093357176</v>
      </c>
      <c r="U47" s="55">
        <f>Project_CF!U24+(Energy_Revenue!U14*0)*(1-Dep_Tax!U24)</f>
        <v>703.31510104582867</v>
      </c>
      <c r="V47" s="55">
        <f>Project_CF!V24+(Energy_Revenue!V14*0)*(1-Dep_Tax!V24)</f>
        <v>699.08319672424363</v>
      </c>
      <c r="W47" s="55">
        <f>Project_CF!W24+(Energy_Revenue!W14*0)*(1-Dep_Tax!W24)</f>
        <v>694.8006583358117</v>
      </c>
      <c r="X47" s="55">
        <f>Project_CF!X24+(Energy_Revenue!X14*0)*(1-Dep_Tax!X24)</f>
        <v>690.46640519115726</v>
      </c>
      <c r="Y47" s="55">
        <f>Project_CF!Y24+(Energy_Revenue!Y14*0)*(1-Dep_Tax!Y24)</f>
        <v>0</v>
      </c>
      <c r="Z47" s="55">
        <f>Project_CF!Z24+(Energy_Revenue!Z14*0)*(1-Dep_Tax!Z24)</f>
        <v>0</v>
      </c>
      <c r="AA47" s="55">
        <f>Project_CF!AA24+(Energy_Revenue!AA14*0)*(1-Dep_Tax!AA24)</f>
        <v>0</v>
      </c>
      <c r="AB47" s="55">
        <f>Project_CF!AB24+(Energy_Revenue!AB14*0)*(1-Dep_Tax!AB24)</f>
        <v>0</v>
      </c>
      <c r="AC47" s="55">
        <f>Project_CF!AC24+(Energy_Revenue!AC14*0)*(1-Dep_Tax!AC24)</f>
        <v>0</v>
      </c>
      <c r="AD47" s="55">
        <f>Project_CF!AD24+(Energy_Revenue!AD14*0)*(1-Dep_Tax!AD24)</f>
        <v>0</v>
      </c>
      <c r="AE47" s="55">
        <f>Project_CF!AE24+(Energy_Revenue!AE14*0)*(1-Dep_Tax!AE24)</f>
        <v>0</v>
      </c>
      <c r="AF47" s="55">
        <f>Project_CF!AF24+(Energy_Revenue!AF14*0)*(1-Dep_Tax!AF24)</f>
        <v>0</v>
      </c>
    </row>
    <row r="48" spans="1:32">
      <c r="A48" s="40" t="s">
        <v>685</v>
      </c>
      <c r="B48" s="40" t="s">
        <v>679</v>
      </c>
      <c r="C48" s="55">
        <f>Project_CF!C24+(Energy_Revenue!C14*0.05)*(1-Dep_Tax!C24)</f>
        <v>-2690.6</v>
      </c>
      <c r="D48" s="55">
        <f>Project_CF!D24+(Energy_Revenue!D14*0.05)*(1-Dep_Tax!D24)</f>
        <v>-3791.3</v>
      </c>
      <c r="E48" s="55">
        <f>Project_CF!E24+(Energy_Revenue!E14*0.05)*(1-Dep_Tax!E24)</f>
        <v>1291.9413076000001</v>
      </c>
      <c r="F48" s="55">
        <f>Project_CF!F24+(Energy_Revenue!F14*0.05)*(1-Dep_Tax!F24)</f>
        <v>920.50062498479997</v>
      </c>
      <c r="G48" s="55">
        <f>Project_CF!G24+(Energy_Revenue!G14*0.05)*(1-Dep_Tax!G24)</f>
        <v>915.91521173483045</v>
      </c>
      <c r="H48" s="55">
        <f>Project_CF!H24+(Energy_Revenue!H14*0.05)*(1-Dep_Tax!H24)</f>
        <v>911.28408107136079</v>
      </c>
      <c r="I48" s="55">
        <f>Project_CF!I24+(Energy_Revenue!I14*0.05)*(1-Dep_Tax!I24)</f>
        <v>877.47837220619715</v>
      </c>
      <c r="J48" s="55">
        <f>Project_CF!J24+(Energy_Revenue!J14*0.05)*(1-Dep_Tax!J24)</f>
        <v>872.98904800432342</v>
      </c>
      <c r="K48" s="55">
        <f>Project_CF!K24+(Energy_Revenue!K14*0.05)*(1-Dep_Tax!K24)</f>
        <v>868.45336700342932</v>
      </c>
      <c r="L48" s="55">
        <f>Project_CF!L24+(Energy_Revenue!L14*0.05)*(1-Dep_Tax!L24)</f>
        <v>863.87031520816458</v>
      </c>
      <c r="M48" s="55">
        <f>Project_CF!M24+(Energy_Revenue!M14*0.05)*(1-Dep_Tax!M24)</f>
        <v>859.23885851698992</v>
      </c>
      <c r="N48" s="55">
        <f>Project_CF!N24+(Energy_Revenue!N14*0.05)*(1-Dep_Tax!N24)</f>
        <v>854.55794231970754</v>
      </c>
      <c r="O48" s="55">
        <f>Project_CF!O24+(Energy_Revenue!O14*0.05)*(1-Dep_Tax!O24)</f>
        <v>849.82649108693954</v>
      </c>
      <c r="P48" s="55">
        <f>Project_CF!P24+(Energy_Revenue!P14*0.05)*(1-Dep_Tax!P24)</f>
        <v>845.0434079513999</v>
      </c>
      <c r="Q48" s="55">
        <f>Project_CF!Q24+(Energy_Revenue!Q14*0.05)*(1-Dep_Tax!Q24)</f>
        <v>840.20757428078878</v>
      </c>
      <c r="R48" s="55">
        <f>Project_CF!R24+(Energy_Revenue!R14*0.05)*(1-Dep_Tax!R24)</f>
        <v>808.40896967677338</v>
      </c>
      <c r="S48" s="55">
        <f>Project_CF!S24+(Energy_Revenue!S14*0.05)*(1-Dep_Tax!S24)</f>
        <v>803.72444136501076</v>
      </c>
      <c r="T48" s="55">
        <f>Project_CF!T24+(Energy_Revenue!T14*0.05)*(1-Dep_Tax!T24)</f>
        <v>746.21579901633197</v>
      </c>
      <c r="U48" s="55">
        <f>Project_CF!U24+(Energy_Revenue!U14*0.05)*(1-Dep_Tax!U24)</f>
        <v>741.95603239242337</v>
      </c>
      <c r="V48" s="55">
        <f>Project_CF!V24+(Energy_Revenue!V14*0.05)*(1-Dep_Tax!V24)</f>
        <v>737.64684620814512</v>
      </c>
      <c r="W48" s="55">
        <f>Project_CF!W24+(Energy_Revenue!W14*0.05)*(1-Dep_Tax!W24)</f>
        <v>733.28718052074544</v>
      </c>
      <c r="X48" s="55">
        <f>Project_CF!X24+(Energy_Revenue!X14*0.05)*(1-Dep_Tax!X24)</f>
        <v>728.87595433172112</v>
      </c>
      <c r="Y48" s="55">
        <f>Project_CF!Y24+(Energy_Revenue!Y14*0.05)*(1-Dep_Tax!Y24)</f>
        <v>0</v>
      </c>
      <c r="Z48" s="55">
        <f>Project_CF!Z24+(Energy_Revenue!Z14*0.05)*(1-Dep_Tax!Z24)</f>
        <v>0</v>
      </c>
      <c r="AA48" s="55">
        <f>Project_CF!AA24+(Energy_Revenue!AA14*0.05)*(1-Dep_Tax!AA24)</f>
        <v>0</v>
      </c>
      <c r="AB48" s="55">
        <f>Project_CF!AB24+(Energy_Revenue!AB14*0.05)*(1-Dep_Tax!AB24)</f>
        <v>0</v>
      </c>
      <c r="AC48" s="55">
        <f>Project_CF!AC24+(Energy_Revenue!AC14*0.05)*(1-Dep_Tax!AC24)</f>
        <v>0</v>
      </c>
      <c r="AD48" s="55">
        <f>Project_CF!AD24+(Energy_Revenue!AD14*0.05)*(1-Dep_Tax!AD24)</f>
        <v>0</v>
      </c>
      <c r="AE48" s="55">
        <f>Project_CF!AE24+(Energy_Revenue!AE14*0.05)*(1-Dep_Tax!AE24)</f>
        <v>0</v>
      </c>
      <c r="AF48" s="55">
        <f>Project_CF!AF24+(Energy_Revenue!AF14*0.05)*(1-Dep_Tax!AF24)</f>
        <v>0</v>
      </c>
    </row>
    <row r="49" spans="1:32">
      <c r="A49" s="40" t="s">
        <v>686</v>
      </c>
      <c r="B49" s="40" t="s">
        <v>681</v>
      </c>
      <c r="C49" s="55">
        <f>Project_CF!C24+(Energy_Revenue!C14*0.1)*(1-Dep_Tax!C24)</f>
        <v>-2690.6</v>
      </c>
      <c r="D49" s="55">
        <f>Project_CF!D24+(Energy_Revenue!D14*0.1)*(1-Dep_Tax!D24)</f>
        <v>-3791.3</v>
      </c>
      <c r="E49" s="55">
        <f>Project_CF!E24+(Energy_Revenue!E14*0.1)*(1-Dep_Tax!E24)</f>
        <v>1341.8147031999999</v>
      </c>
      <c r="F49" s="55">
        <f>Project_CF!F24+(Energy_Revenue!F14*0.1)*(1-Dep_Tax!F24)</f>
        <v>970.27427379360006</v>
      </c>
      <c r="G49" s="55">
        <f>Project_CF!G24+(Energy_Revenue!G14*0.1)*(1-Dep_Tax!G24)</f>
        <v>965.58931324601292</v>
      </c>
      <c r="H49" s="55">
        <f>Project_CF!H24+(Energy_Revenue!H14*0.1)*(1-Dep_Tax!H24)</f>
        <v>960.85883437952089</v>
      </c>
      <c r="I49" s="55">
        <f>Project_CF!I24+(Energy_Revenue!I14*0.1)*(1-Dep_Tax!I24)</f>
        <v>924.48019581766368</v>
      </c>
      <c r="J49" s="55">
        <f>Project_CF!J24+(Energy_Revenue!J14*0.1)*(1-Dep_Tax!J24)</f>
        <v>919.89686796856699</v>
      </c>
      <c r="K49" s="55">
        <f>Project_CF!K24+(Energy_Revenue!K14*0.1)*(1-Dep_Tax!K24)</f>
        <v>915.2673713277444</v>
      </c>
      <c r="L49" s="55">
        <f>Project_CF!L24+(Energy_Revenue!L14*0.1)*(1-Dep_Tax!L24)</f>
        <v>910.59069152383108</v>
      </c>
      <c r="M49" s="55">
        <f>Project_CF!M24+(Energy_Revenue!M14*0.1)*(1-Dep_Tax!M24)</f>
        <v>905.86579408002501</v>
      </c>
      <c r="N49" s="55">
        <f>Project_CF!N24+(Energy_Revenue!N14*0.1)*(1-Dep_Tax!N24)</f>
        <v>901.09162401161655</v>
      </c>
      <c r="O49" s="55">
        <f>Project_CF!O24+(Energy_Revenue!O14*0.1)*(1-Dep_Tax!O24)</f>
        <v>896.26710541546481</v>
      </c>
      <c r="P49" s="55">
        <f>Project_CF!P24+(Energy_Revenue!P14*0.1)*(1-Dep_Tax!P24)</f>
        <v>891.39114105126805</v>
      </c>
      <c r="Q49" s="55">
        <f>Project_CF!Q24+(Energy_Revenue!Q14*0.1)*(1-Dep_Tax!Q24)</f>
        <v>886.46261191445728</v>
      </c>
      <c r="R49" s="55">
        <f>Project_CF!R24+(Energy_Revenue!R14*0.1)*(1-Dep_Tax!R24)</f>
        <v>852.1418905215744</v>
      </c>
      <c r="S49" s="55">
        <f>Project_CF!S24+(Energy_Revenue!S14*0.1)*(1-Dep_Tax!S24)</f>
        <v>847.36989636812223</v>
      </c>
      <c r="T49" s="55">
        <f>Project_CF!T24+(Energy_Revenue!T14*0.1)*(1-Dep_Tax!T24)</f>
        <v>784.93416709909229</v>
      </c>
      <c r="U49" s="55">
        <f>Project_CF!U24+(Energy_Revenue!U14*0.1)*(1-Dep_Tax!U24)</f>
        <v>780.59696373901807</v>
      </c>
      <c r="V49" s="55">
        <f>Project_CF!V24+(Energy_Revenue!V14*0.1)*(1-Dep_Tax!V24)</f>
        <v>776.21049569204672</v>
      </c>
      <c r="W49" s="55">
        <f>Project_CF!W24+(Energy_Revenue!W14*0.1)*(1-Dep_Tax!W24)</f>
        <v>771.77370270567917</v>
      </c>
      <c r="X49" s="55">
        <f>Project_CF!X24+(Energy_Revenue!X14*0.1)*(1-Dep_Tax!X24)</f>
        <v>767.28550347228497</v>
      </c>
      <c r="Y49" s="55">
        <f>Project_CF!Y24+(Energy_Revenue!Y14*0.1)*(1-Dep_Tax!Y24)</f>
        <v>0</v>
      </c>
      <c r="Z49" s="55">
        <f>Project_CF!Z24+(Energy_Revenue!Z14*0.1)*(1-Dep_Tax!Z24)</f>
        <v>0</v>
      </c>
      <c r="AA49" s="55">
        <f>Project_CF!AA24+(Energy_Revenue!AA14*0.1)*(1-Dep_Tax!AA24)</f>
        <v>0</v>
      </c>
      <c r="AB49" s="55">
        <f>Project_CF!AB24+(Energy_Revenue!AB14*0.1)*(1-Dep_Tax!AB24)</f>
        <v>0</v>
      </c>
      <c r="AC49" s="55">
        <f>Project_CF!AC24+(Energy_Revenue!AC14*0.1)*(1-Dep_Tax!AC24)</f>
        <v>0</v>
      </c>
      <c r="AD49" s="55">
        <f>Project_CF!AD24+(Energy_Revenue!AD14*0.1)*(1-Dep_Tax!AD24)</f>
        <v>0</v>
      </c>
      <c r="AE49" s="55">
        <f>Project_CF!AE24+(Energy_Revenue!AE14*0.1)*(1-Dep_Tax!AE24)</f>
        <v>0</v>
      </c>
      <c r="AF49" s="55">
        <f>Project_CF!AF24+(Energy_Revenue!AF14*0.1)*(1-Dep_Tax!AF24)</f>
        <v>0</v>
      </c>
    </row>
    <row r="50" spans="1:32">
      <c r="A50" s="40" t="s">
        <v>687</v>
      </c>
      <c r="B50" s="40" t="s">
        <v>673</v>
      </c>
      <c r="C50" s="55">
        <f>Project_CF!C24-(CAPEX!C15-CAPEX!C17)*-0.0999999999999999+Dep_Tax!C12*-0.0999999999999999*Dep_Tax!C24</f>
        <v>-2421.54</v>
      </c>
      <c r="D50" s="55">
        <f>Project_CF!D24-(CAPEX!D15-CAPEX!D17)*-0.0999999999999999+Dep_Tax!D12*-0.0999999999999999*Dep_Tax!D24</f>
        <v>-3412.1700000000005</v>
      </c>
      <c r="E50" s="55">
        <f>Project_CF!E24-(CAPEX!E15-CAPEX!E17)*-0.0999999999999999+Dep_Tax!E12*-0.0999999999999999*Dep_Tax!E24</f>
        <v>1205.3779119999999</v>
      </c>
      <c r="F50" s="55">
        <f>Project_CF!F24-(CAPEX!F15-CAPEX!F17)*-0.0999999999999999+Dep_Tax!F12*-0.0999999999999999*Dep_Tax!F24</f>
        <v>870.72697617599999</v>
      </c>
      <c r="G50" s="55">
        <f>Project_CF!G24-(CAPEX!G15-CAPEX!G17)*-0.0999999999999999+Dep_Tax!G12*-0.0999999999999999*Dep_Tax!G24</f>
        <v>866.24111022364809</v>
      </c>
      <c r="H50" s="55">
        <f>Project_CF!H24-(CAPEX!H15-CAPEX!H17)*-0.0999999999999999+Dep_Tax!H12*-0.0999999999999999*Dep_Tax!H24</f>
        <v>861.7093277632008</v>
      </c>
      <c r="I50" s="55">
        <f>Project_CF!I24-(CAPEX!I15-CAPEX!I17)*-0.0999999999999999+Dep_Tax!I12*-0.0999999999999999*Dep_Tax!I24</f>
        <v>828.85630290723066</v>
      </c>
      <c r="J50" s="55">
        <f>Project_CF!J24-(CAPEX!J15-CAPEX!J17)*-0.0999999999999999+Dep_Tax!J12*-0.0999999999999999*Dep_Tax!J24</f>
        <v>824.46098235257989</v>
      </c>
      <c r="K50" s="55">
        <f>Project_CF!K24-(CAPEX!K15-CAPEX!K17)*-0.0999999999999999+Dep_Tax!K12*-0.0999999999999999*Dep_Tax!K24</f>
        <v>820.01911699161428</v>
      </c>
      <c r="L50" s="55">
        <f>Project_CF!L24-(CAPEX!L15-CAPEX!L17)*-0.0999999999999999+Dep_Tax!L12*-0.0999999999999999*Dep_Tax!L24</f>
        <v>815.52969320499813</v>
      </c>
      <c r="M50" s="55">
        <f>Project_CF!M24-(CAPEX!M15-CAPEX!M17)*-0.0999999999999999+Dep_Tax!M12*-0.0999999999999999*Dep_Tax!M24</f>
        <v>810.99167726645476</v>
      </c>
      <c r="N50" s="55">
        <f>Project_CF!N24-(CAPEX!N15-CAPEX!N17)*-0.0999999999999999+Dep_Tax!N12*-0.0999999999999999*Dep_Tax!N24</f>
        <v>806.40401494029845</v>
      </c>
      <c r="O50" s="55">
        <f>Project_CF!O24-(CAPEX!O15-CAPEX!O17)*-0.0999999999999999+Dep_Tax!O12*-0.0999999999999999*Dep_Tax!O24</f>
        <v>801.76563107091431</v>
      </c>
      <c r="P50" s="55">
        <f>Project_CF!P24-(CAPEX!P15-CAPEX!P17)*-0.0999999999999999+Dep_Tax!P12*-0.0999999999999999*Dep_Tax!P24</f>
        <v>797.07542916403168</v>
      </c>
      <c r="Q50" s="55">
        <f>Project_CF!Q24-(CAPEX!Q15-CAPEX!Q17)*-0.0999999999999999+Dep_Tax!Q12*-0.0999999999999999*Dep_Tax!Q24</f>
        <v>792.33229095962031</v>
      </c>
      <c r="R50" s="55">
        <f>Project_CF!R24-(CAPEX!R15-CAPEX!R17)*-0.0999999999999999+Dep_Tax!R12*-0.0999999999999999*Dep_Tax!R24</f>
        <v>761.43555745697222</v>
      </c>
      <c r="S50" s="55">
        <f>Project_CF!S24-(CAPEX!S15-CAPEX!S17)*-0.0999999999999999+Dep_Tax!S12*-0.0999999999999999*Dep_Tax!S24</f>
        <v>756.83849498689926</v>
      </c>
      <c r="T50" s="55">
        <f>Project_CF!T24-(CAPEX!T15-CAPEX!T17)*-0.0999999999999999+Dep_Tax!T12*-0.0999999999999999*Dep_Tax!T24</f>
        <v>701.01644818357181</v>
      </c>
      <c r="U50" s="55">
        <f>Project_CF!U24-(CAPEX!U15-CAPEX!U17)*-0.0999999999999999+Dep_Tax!U12*-0.0999999999999999*Dep_Tax!U24</f>
        <v>696.83411829582872</v>
      </c>
      <c r="V50" s="55">
        <f>Project_CF!V24-(CAPEX!V15-CAPEX!V17)*-0.0999999999999999+Dep_Tax!V12*-0.0999999999999999*Dep_Tax!V24</f>
        <v>692.60221397424368</v>
      </c>
      <c r="W50" s="55">
        <f>Project_CF!W24-(CAPEX!W15-CAPEX!W17)*-0.0999999999999999+Dep_Tax!W12*-0.0999999999999999*Dep_Tax!W24</f>
        <v>688.31967558581175</v>
      </c>
      <c r="X50" s="55">
        <f>Project_CF!X24-(CAPEX!X15-CAPEX!X17)*-0.0999999999999999+Dep_Tax!X12*-0.0999999999999999*Dep_Tax!X24</f>
        <v>683.98542244115731</v>
      </c>
      <c r="Y50" s="55">
        <f>Project_CF!Y24-(CAPEX!Y15-CAPEX!Y17)*-0.0999999999999999+Dep_Tax!Y12*-0.0999999999999999*Dep_Tax!Y24</f>
        <v>0</v>
      </c>
      <c r="Z50" s="55">
        <f>Project_CF!Z24-(CAPEX!Z15-CAPEX!Z17)*-0.0999999999999999+Dep_Tax!Z12*-0.0999999999999999*Dep_Tax!Z24</f>
        <v>0</v>
      </c>
      <c r="AA50" s="55">
        <f>Project_CF!AA24-(CAPEX!AA15-CAPEX!AA17)*-0.0999999999999999+Dep_Tax!AA12*-0.0999999999999999*Dep_Tax!AA24</f>
        <v>0</v>
      </c>
      <c r="AB50" s="55">
        <f>Project_CF!AB24-(CAPEX!AB15-CAPEX!AB17)*-0.0999999999999999+Dep_Tax!AB12*-0.0999999999999999*Dep_Tax!AB24</f>
        <v>0</v>
      </c>
      <c r="AC50" s="55">
        <f>Project_CF!AC24-(CAPEX!AC15-CAPEX!AC17)*-0.0999999999999999+Dep_Tax!AC12*-0.0999999999999999*Dep_Tax!AC24</f>
        <v>0</v>
      </c>
      <c r="AD50" s="55">
        <f>Project_CF!AD24-(CAPEX!AD15-CAPEX!AD17)*-0.0999999999999999+Dep_Tax!AD12*-0.0999999999999999*Dep_Tax!AD24</f>
        <v>0</v>
      </c>
      <c r="AE50" s="55">
        <f>Project_CF!AE24-(CAPEX!AE15-CAPEX!AE17)*-0.0999999999999999+Dep_Tax!AE12*-0.0999999999999999*Dep_Tax!AE24</f>
        <v>0</v>
      </c>
      <c r="AF50" s="55">
        <f>Project_CF!AF24-(CAPEX!AF15-CAPEX!AF17)*-0.0999999999999999+Dep_Tax!AF12*-0.0999999999999999*Dep_Tax!AF24</f>
        <v>0</v>
      </c>
    </row>
    <row r="51" spans="1:32">
      <c r="A51" s="40" t="s">
        <v>688</v>
      </c>
      <c r="B51" s="40" t="s">
        <v>675</v>
      </c>
      <c r="C51" s="55">
        <f>Project_CF!C24-(CAPEX!C15-CAPEX!C17)*-0.05+Dep_Tax!C12*-0.05*Dep_Tax!C24</f>
        <v>-2556.0699999999997</v>
      </c>
      <c r="D51" s="55">
        <f>Project_CF!D24-(CAPEX!D15-CAPEX!D17)*-0.05+Dep_Tax!D12*-0.05*Dep_Tax!D24</f>
        <v>-3601.7350000000001</v>
      </c>
      <c r="E51" s="55">
        <f>Project_CF!E24-(CAPEX!E15-CAPEX!E17)*-0.05+Dep_Tax!E12*-0.05*Dep_Tax!E24</f>
        <v>1223.722912</v>
      </c>
      <c r="F51" s="55">
        <f>Project_CF!F24-(CAPEX!F15-CAPEX!F17)*-0.05+Dep_Tax!F12*-0.05*Dep_Tax!F24</f>
        <v>870.72697617599999</v>
      </c>
      <c r="G51" s="55">
        <f>Project_CF!G24-(CAPEX!G15-CAPEX!G17)*-0.05+Dep_Tax!G12*-0.05*Dep_Tax!G24</f>
        <v>866.24111022364809</v>
      </c>
      <c r="H51" s="55">
        <f>Project_CF!H24-(CAPEX!H15-CAPEX!H17)*-0.05+Dep_Tax!H12*-0.05*Dep_Tax!H24</f>
        <v>861.7093277632008</v>
      </c>
      <c r="I51" s="55">
        <f>Project_CF!I24-(CAPEX!I15-CAPEX!I17)*-0.05+Dep_Tax!I12*-0.05*Dep_Tax!I24</f>
        <v>829.66642575098058</v>
      </c>
      <c r="J51" s="55">
        <f>Project_CF!J24-(CAPEX!J15-CAPEX!J17)*-0.05+Dep_Tax!J12*-0.05*Dep_Tax!J24</f>
        <v>825.27110519632981</v>
      </c>
      <c r="K51" s="55">
        <f>Project_CF!K24-(CAPEX!K15-CAPEX!K17)*-0.05+Dep_Tax!K12*-0.05*Dep_Tax!K24</f>
        <v>820.82923983536421</v>
      </c>
      <c r="L51" s="55">
        <f>Project_CF!L24-(CAPEX!L15-CAPEX!L17)*-0.05+Dep_Tax!L12*-0.05*Dep_Tax!L24</f>
        <v>816.33981604874805</v>
      </c>
      <c r="M51" s="55">
        <f>Project_CF!M24-(CAPEX!M15-CAPEX!M17)*-0.05+Dep_Tax!M12*-0.05*Dep_Tax!M24</f>
        <v>811.80180011020468</v>
      </c>
      <c r="N51" s="55">
        <f>Project_CF!N24-(CAPEX!N15-CAPEX!N17)*-0.05+Dep_Tax!N12*-0.05*Dep_Tax!N24</f>
        <v>807.21413778404838</v>
      </c>
      <c r="O51" s="55">
        <f>Project_CF!O24-(CAPEX!O15-CAPEX!O17)*-0.05+Dep_Tax!O12*-0.05*Dep_Tax!O24</f>
        <v>802.57575391466423</v>
      </c>
      <c r="P51" s="55">
        <f>Project_CF!P24-(CAPEX!P15-CAPEX!P17)*-0.05+Dep_Tax!P12*-0.05*Dep_Tax!P24</f>
        <v>797.8855520077816</v>
      </c>
      <c r="Q51" s="55">
        <f>Project_CF!Q24-(CAPEX!Q15-CAPEX!Q17)*-0.05+Dep_Tax!Q12*-0.05*Dep_Tax!Q24</f>
        <v>793.14241380337023</v>
      </c>
      <c r="R51" s="55">
        <f>Project_CF!R24-(CAPEX!R15-CAPEX!R17)*-0.05+Dep_Tax!R12*-0.05*Dep_Tax!R24</f>
        <v>763.05580314447229</v>
      </c>
      <c r="S51" s="55">
        <f>Project_CF!S24-(CAPEX!S15-CAPEX!S17)*-0.05+Dep_Tax!S12*-0.05*Dep_Tax!S24</f>
        <v>758.45874067439934</v>
      </c>
      <c r="T51" s="55">
        <f>Project_CF!T24-(CAPEX!T15-CAPEX!T17)*-0.05+Dep_Tax!T12*-0.05*Dep_Tax!T24</f>
        <v>704.25693955857173</v>
      </c>
      <c r="U51" s="55">
        <f>Project_CF!U24-(CAPEX!U15-CAPEX!U17)*-0.05+Dep_Tax!U12*-0.05*Dep_Tax!U24</f>
        <v>700.07460967082864</v>
      </c>
      <c r="V51" s="55">
        <f>Project_CF!V24-(CAPEX!V15-CAPEX!V17)*-0.05+Dep_Tax!V12*-0.05*Dep_Tax!V24</f>
        <v>695.8427053492436</v>
      </c>
      <c r="W51" s="55">
        <f>Project_CF!W24-(CAPEX!W15-CAPEX!W17)*-0.05+Dep_Tax!W12*-0.05*Dep_Tax!W24</f>
        <v>691.56016696081167</v>
      </c>
      <c r="X51" s="55">
        <f>Project_CF!X24-(CAPEX!X15-CAPEX!X17)*-0.05+Dep_Tax!X12*-0.05*Dep_Tax!X24</f>
        <v>687.22591381615723</v>
      </c>
      <c r="Y51" s="55">
        <f>Project_CF!Y24-(CAPEX!Y15-CAPEX!Y17)*-0.05+Dep_Tax!Y12*-0.05*Dep_Tax!Y24</f>
        <v>0</v>
      </c>
      <c r="Z51" s="55">
        <f>Project_CF!Z24-(CAPEX!Z15-CAPEX!Z17)*-0.05+Dep_Tax!Z12*-0.05*Dep_Tax!Z24</f>
        <v>0</v>
      </c>
      <c r="AA51" s="55">
        <f>Project_CF!AA24-(CAPEX!AA15-CAPEX!AA17)*-0.05+Dep_Tax!AA12*-0.05*Dep_Tax!AA24</f>
        <v>0</v>
      </c>
      <c r="AB51" s="55">
        <f>Project_CF!AB24-(CAPEX!AB15-CAPEX!AB17)*-0.05+Dep_Tax!AB12*-0.05*Dep_Tax!AB24</f>
        <v>0</v>
      </c>
      <c r="AC51" s="55">
        <f>Project_CF!AC24-(CAPEX!AC15-CAPEX!AC17)*-0.05+Dep_Tax!AC12*-0.05*Dep_Tax!AC24</f>
        <v>0</v>
      </c>
      <c r="AD51" s="55">
        <f>Project_CF!AD24-(CAPEX!AD15-CAPEX!AD17)*-0.05+Dep_Tax!AD12*-0.05*Dep_Tax!AD24</f>
        <v>0</v>
      </c>
      <c r="AE51" s="55">
        <f>Project_CF!AE24-(CAPEX!AE15-CAPEX!AE17)*-0.05+Dep_Tax!AE12*-0.05*Dep_Tax!AE24</f>
        <v>0</v>
      </c>
      <c r="AF51" s="55">
        <f>Project_CF!AF24-(CAPEX!AF15-CAPEX!AF17)*-0.05+Dep_Tax!AF12*-0.05*Dep_Tax!AF24</f>
        <v>0</v>
      </c>
    </row>
    <row r="52" spans="1:32">
      <c r="A52" s="40" t="s">
        <v>689</v>
      </c>
      <c r="B52" s="40" t="s">
        <v>677</v>
      </c>
      <c r="C52" s="55">
        <f>Project_CF!C24-(CAPEX!C15-CAPEX!C17)*0+Dep_Tax!C12*0*Dep_Tax!C24</f>
        <v>-2690.6</v>
      </c>
      <c r="D52" s="55">
        <f>Project_CF!D24-(CAPEX!D15-CAPEX!D17)*0+Dep_Tax!D12*0*Dep_Tax!D24</f>
        <v>-3791.3</v>
      </c>
      <c r="E52" s="55">
        <f>Project_CF!E24-(CAPEX!E15-CAPEX!E17)*0+Dep_Tax!E12*0*Dep_Tax!E24</f>
        <v>1242.067912</v>
      </c>
      <c r="F52" s="55">
        <f>Project_CF!F24-(CAPEX!F15-CAPEX!F17)*0+Dep_Tax!F12*0*Dep_Tax!F24</f>
        <v>870.72697617599999</v>
      </c>
      <c r="G52" s="55">
        <f>Project_CF!G24-(CAPEX!G15-CAPEX!G17)*0+Dep_Tax!G12*0*Dep_Tax!G24</f>
        <v>866.24111022364809</v>
      </c>
      <c r="H52" s="55">
        <f>Project_CF!H24-(CAPEX!H15-CAPEX!H17)*0+Dep_Tax!H12*0*Dep_Tax!H24</f>
        <v>861.7093277632008</v>
      </c>
      <c r="I52" s="55">
        <f>Project_CF!I24-(CAPEX!I15-CAPEX!I17)*0+Dep_Tax!I12*0*Dep_Tax!I24</f>
        <v>830.47654859473062</v>
      </c>
      <c r="J52" s="55">
        <f>Project_CF!J24-(CAPEX!J15-CAPEX!J17)*0+Dep_Tax!J12*0*Dep_Tax!J24</f>
        <v>826.08122804007985</v>
      </c>
      <c r="K52" s="55">
        <f>Project_CF!K24-(CAPEX!K15-CAPEX!K17)*0+Dep_Tax!K12*0*Dep_Tax!K24</f>
        <v>821.63936267911424</v>
      </c>
      <c r="L52" s="55">
        <f>Project_CF!L24-(CAPEX!L15-CAPEX!L17)*0+Dep_Tax!L12*0*Dep_Tax!L24</f>
        <v>817.14993889249808</v>
      </c>
      <c r="M52" s="55">
        <f>Project_CF!M24-(CAPEX!M15-CAPEX!M17)*0+Dep_Tax!M12*0*Dep_Tax!M24</f>
        <v>812.61192295395472</v>
      </c>
      <c r="N52" s="55">
        <f>Project_CF!N24-(CAPEX!N15-CAPEX!N17)*0+Dep_Tax!N12*0*Dep_Tax!N24</f>
        <v>808.02426062779841</v>
      </c>
      <c r="O52" s="55">
        <f>Project_CF!O24-(CAPEX!O15-CAPEX!O17)*0+Dep_Tax!O12*0*Dep_Tax!O24</f>
        <v>803.38587675841427</v>
      </c>
      <c r="P52" s="55">
        <f>Project_CF!P24-(CAPEX!P15-CAPEX!P17)*0+Dep_Tax!P12*0*Dep_Tax!P24</f>
        <v>798.69567485153163</v>
      </c>
      <c r="Q52" s="55">
        <f>Project_CF!Q24-(CAPEX!Q15-CAPEX!Q17)*0+Dep_Tax!Q12*0*Dep_Tax!Q24</f>
        <v>793.95253664712027</v>
      </c>
      <c r="R52" s="55">
        <f>Project_CF!R24-(CAPEX!R15-CAPEX!R17)*0+Dep_Tax!R12*0*Dep_Tax!R24</f>
        <v>764.67604883197225</v>
      </c>
      <c r="S52" s="55">
        <f>Project_CF!S24-(CAPEX!S15-CAPEX!S17)*0+Dep_Tax!S12*0*Dep_Tax!S24</f>
        <v>760.0789863618993</v>
      </c>
      <c r="T52" s="55">
        <f>Project_CF!T24-(CAPEX!T15-CAPEX!T17)*0+Dep_Tax!T12*0*Dep_Tax!T24</f>
        <v>707.49743093357176</v>
      </c>
      <c r="U52" s="55">
        <f>Project_CF!U24-(CAPEX!U15-CAPEX!U17)*0+Dep_Tax!U12*0*Dep_Tax!U24</f>
        <v>703.31510104582867</v>
      </c>
      <c r="V52" s="55">
        <f>Project_CF!V24-(CAPEX!V15-CAPEX!V17)*0+Dep_Tax!V12*0*Dep_Tax!V24</f>
        <v>699.08319672424363</v>
      </c>
      <c r="W52" s="55">
        <f>Project_CF!W24-(CAPEX!W15-CAPEX!W17)*0+Dep_Tax!W12*0*Dep_Tax!W24</f>
        <v>694.8006583358117</v>
      </c>
      <c r="X52" s="55">
        <f>Project_CF!X24-(CAPEX!X15-CAPEX!X17)*0+Dep_Tax!X12*0*Dep_Tax!X24</f>
        <v>690.46640519115726</v>
      </c>
      <c r="Y52" s="55">
        <f>Project_CF!Y24-(CAPEX!Y15-CAPEX!Y17)*0+Dep_Tax!Y12*0*Dep_Tax!Y24</f>
        <v>0</v>
      </c>
      <c r="Z52" s="55">
        <f>Project_CF!Z24-(CAPEX!Z15-CAPEX!Z17)*0+Dep_Tax!Z12*0*Dep_Tax!Z24</f>
        <v>0</v>
      </c>
      <c r="AA52" s="55">
        <f>Project_CF!AA24-(CAPEX!AA15-CAPEX!AA17)*0+Dep_Tax!AA12*0*Dep_Tax!AA24</f>
        <v>0</v>
      </c>
      <c r="AB52" s="55">
        <f>Project_CF!AB24-(CAPEX!AB15-CAPEX!AB17)*0+Dep_Tax!AB12*0*Dep_Tax!AB24</f>
        <v>0</v>
      </c>
      <c r="AC52" s="55">
        <f>Project_CF!AC24-(CAPEX!AC15-CAPEX!AC17)*0+Dep_Tax!AC12*0*Dep_Tax!AC24</f>
        <v>0</v>
      </c>
      <c r="AD52" s="55">
        <f>Project_CF!AD24-(CAPEX!AD15-CAPEX!AD17)*0+Dep_Tax!AD12*0*Dep_Tax!AD24</f>
        <v>0</v>
      </c>
      <c r="AE52" s="55">
        <f>Project_CF!AE24-(CAPEX!AE15-CAPEX!AE17)*0+Dep_Tax!AE12*0*Dep_Tax!AE24</f>
        <v>0</v>
      </c>
      <c r="AF52" s="55">
        <f>Project_CF!AF24-(CAPEX!AF15-CAPEX!AF17)*0+Dep_Tax!AF12*0*Dep_Tax!AF24</f>
        <v>0</v>
      </c>
    </row>
    <row r="53" spans="1:32">
      <c r="A53" s="40" t="s">
        <v>690</v>
      </c>
      <c r="B53" s="40" t="s">
        <v>679</v>
      </c>
      <c r="C53" s="55">
        <f>Project_CF!C24-(CAPEX!C15-CAPEX!C17)*0.05+Dep_Tax!C12*0.05*Dep_Tax!C24</f>
        <v>-2825.13</v>
      </c>
      <c r="D53" s="55">
        <f>Project_CF!D24-(CAPEX!D15-CAPEX!D17)*0.05+Dep_Tax!D12*0.05*Dep_Tax!D24</f>
        <v>-3980.8650000000002</v>
      </c>
      <c r="E53" s="55">
        <f>Project_CF!E24-(CAPEX!E15-CAPEX!E17)*0.05+Dep_Tax!E12*0.05*Dep_Tax!E24</f>
        <v>1260.412912</v>
      </c>
      <c r="F53" s="55">
        <f>Project_CF!F24-(CAPEX!F15-CAPEX!F17)*0.05+Dep_Tax!F12*0.05*Dep_Tax!F24</f>
        <v>870.72697617599999</v>
      </c>
      <c r="G53" s="55">
        <f>Project_CF!G24-(CAPEX!G15-CAPEX!G17)*0.05+Dep_Tax!G12*0.05*Dep_Tax!G24</f>
        <v>866.24111022364809</v>
      </c>
      <c r="H53" s="55">
        <f>Project_CF!H24-(CAPEX!H15-CAPEX!H17)*0.05+Dep_Tax!H12*0.05*Dep_Tax!H24</f>
        <v>861.7093277632008</v>
      </c>
      <c r="I53" s="55">
        <f>Project_CF!I24-(CAPEX!I15-CAPEX!I17)*0.05+Dep_Tax!I12*0.05*Dep_Tax!I24</f>
        <v>831.28667143848065</v>
      </c>
      <c r="J53" s="55">
        <f>Project_CF!J24-(CAPEX!J15-CAPEX!J17)*0.05+Dep_Tax!J12*0.05*Dep_Tax!J24</f>
        <v>826.89135088382989</v>
      </c>
      <c r="K53" s="55">
        <f>Project_CF!K24-(CAPEX!K15-CAPEX!K17)*0.05+Dep_Tax!K12*0.05*Dep_Tax!K24</f>
        <v>822.44948552286428</v>
      </c>
      <c r="L53" s="55">
        <f>Project_CF!L24-(CAPEX!L15-CAPEX!L17)*0.05+Dep_Tax!L12*0.05*Dep_Tax!L24</f>
        <v>817.96006173624812</v>
      </c>
      <c r="M53" s="55">
        <f>Project_CF!M24-(CAPEX!M15-CAPEX!M17)*0.05+Dep_Tax!M12*0.05*Dep_Tax!M24</f>
        <v>813.42204579770475</v>
      </c>
      <c r="N53" s="55">
        <f>Project_CF!N24-(CAPEX!N15-CAPEX!N17)*0.05+Dep_Tax!N12*0.05*Dep_Tax!N24</f>
        <v>808.83438347154845</v>
      </c>
      <c r="O53" s="55">
        <f>Project_CF!O24-(CAPEX!O15-CAPEX!O17)*0.05+Dep_Tax!O12*0.05*Dep_Tax!O24</f>
        <v>804.19599960216431</v>
      </c>
      <c r="P53" s="55">
        <f>Project_CF!P24-(CAPEX!P15-CAPEX!P17)*0.05+Dep_Tax!P12*0.05*Dep_Tax!P24</f>
        <v>799.50579769528167</v>
      </c>
      <c r="Q53" s="55">
        <f>Project_CF!Q24-(CAPEX!Q15-CAPEX!Q17)*0.05+Dep_Tax!Q12*0.05*Dep_Tax!Q24</f>
        <v>794.76265949087031</v>
      </c>
      <c r="R53" s="55">
        <f>Project_CF!R24-(CAPEX!R15-CAPEX!R17)*0.05+Dep_Tax!R12*0.05*Dep_Tax!R24</f>
        <v>766.29629451947221</v>
      </c>
      <c r="S53" s="55">
        <f>Project_CF!S24-(CAPEX!S15-CAPEX!S17)*0.05+Dep_Tax!S12*0.05*Dep_Tax!S24</f>
        <v>761.69923204939926</v>
      </c>
      <c r="T53" s="55">
        <f>Project_CF!T24-(CAPEX!T15-CAPEX!T17)*0.05+Dep_Tax!T12*0.05*Dep_Tax!T24</f>
        <v>710.7379223085718</v>
      </c>
      <c r="U53" s="55">
        <f>Project_CF!U24-(CAPEX!U15-CAPEX!U17)*0.05+Dep_Tax!U12*0.05*Dep_Tax!U24</f>
        <v>706.5555924208287</v>
      </c>
      <c r="V53" s="55">
        <f>Project_CF!V24-(CAPEX!V15-CAPEX!V17)*0.05+Dep_Tax!V12*0.05*Dep_Tax!V24</f>
        <v>702.32368809924367</v>
      </c>
      <c r="W53" s="55">
        <f>Project_CF!W24-(CAPEX!W15-CAPEX!W17)*0.05+Dep_Tax!W12*0.05*Dep_Tax!W24</f>
        <v>698.04114971081174</v>
      </c>
      <c r="X53" s="55">
        <f>Project_CF!X24-(CAPEX!X15-CAPEX!X17)*0.05+Dep_Tax!X12*0.05*Dep_Tax!X24</f>
        <v>693.7068965661573</v>
      </c>
      <c r="Y53" s="55">
        <f>Project_CF!Y24-(CAPEX!Y15-CAPEX!Y17)*0.05+Dep_Tax!Y12*0.05*Dep_Tax!Y24</f>
        <v>0</v>
      </c>
      <c r="Z53" s="55">
        <f>Project_CF!Z24-(CAPEX!Z15-CAPEX!Z17)*0.05+Dep_Tax!Z12*0.05*Dep_Tax!Z24</f>
        <v>0</v>
      </c>
      <c r="AA53" s="55">
        <f>Project_CF!AA24-(CAPEX!AA15-CAPEX!AA17)*0.05+Dep_Tax!AA12*0.05*Dep_Tax!AA24</f>
        <v>0</v>
      </c>
      <c r="AB53" s="55">
        <f>Project_CF!AB24-(CAPEX!AB15-CAPEX!AB17)*0.05+Dep_Tax!AB12*0.05*Dep_Tax!AB24</f>
        <v>0</v>
      </c>
      <c r="AC53" s="55">
        <f>Project_CF!AC24-(CAPEX!AC15-CAPEX!AC17)*0.05+Dep_Tax!AC12*0.05*Dep_Tax!AC24</f>
        <v>0</v>
      </c>
      <c r="AD53" s="55">
        <f>Project_CF!AD24-(CAPEX!AD15-CAPEX!AD17)*0.05+Dep_Tax!AD12*0.05*Dep_Tax!AD24</f>
        <v>0</v>
      </c>
      <c r="AE53" s="55">
        <f>Project_CF!AE24-(CAPEX!AE15-CAPEX!AE17)*0.05+Dep_Tax!AE12*0.05*Dep_Tax!AE24</f>
        <v>0</v>
      </c>
      <c r="AF53" s="55">
        <f>Project_CF!AF24-(CAPEX!AF15-CAPEX!AF17)*0.05+Dep_Tax!AF12*0.05*Dep_Tax!AF24</f>
        <v>0</v>
      </c>
    </row>
    <row r="54" spans="1:32">
      <c r="A54" s="40" t="s">
        <v>691</v>
      </c>
      <c r="B54" s="40" t="s">
        <v>681</v>
      </c>
      <c r="C54" s="55">
        <f>Project_CF!C24-(CAPEX!C15-CAPEX!C17)*0.1+Dep_Tax!C12*0.1*Dep_Tax!C24</f>
        <v>-2959.66</v>
      </c>
      <c r="D54" s="55">
        <f>Project_CF!D24-(CAPEX!D15-CAPEX!D17)*0.1+Dep_Tax!D12*0.1*Dep_Tax!D24</f>
        <v>-4170.43</v>
      </c>
      <c r="E54" s="55">
        <f>Project_CF!E24-(CAPEX!E15-CAPEX!E17)*0.1+Dep_Tax!E12*0.1*Dep_Tax!E24</f>
        <v>1278.757912</v>
      </c>
      <c r="F54" s="55">
        <f>Project_CF!F24-(CAPEX!F15-CAPEX!F17)*0.1+Dep_Tax!F12*0.1*Dep_Tax!F24</f>
        <v>870.72697617599999</v>
      </c>
      <c r="G54" s="55">
        <f>Project_CF!G24-(CAPEX!G15-CAPEX!G17)*0.1+Dep_Tax!G12*0.1*Dep_Tax!G24</f>
        <v>866.24111022364809</v>
      </c>
      <c r="H54" s="55">
        <f>Project_CF!H24-(CAPEX!H15-CAPEX!H17)*0.1+Dep_Tax!H12*0.1*Dep_Tax!H24</f>
        <v>861.7093277632008</v>
      </c>
      <c r="I54" s="55">
        <f>Project_CF!I24-(CAPEX!I15-CAPEX!I17)*0.1+Dep_Tax!I12*0.1*Dep_Tax!I24</f>
        <v>832.09679428223058</v>
      </c>
      <c r="J54" s="55">
        <f>Project_CF!J24-(CAPEX!J15-CAPEX!J17)*0.1+Dep_Tax!J12*0.1*Dep_Tax!J24</f>
        <v>827.70147372757981</v>
      </c>
      <c r="K54" s="55">
        <f>Project_CF!K24-(CAPEX!K15-CAPEX!K17)*0.1+Dep_Tax!K12*0.1*Dep_Tax!K24</f>
        <v>823.2596083666142</v>
      </c>
      <c r="L54" s="55">
        <f>Project_CF!L24-(CAPEX!L15-CAPEX!L17)*0.1+Dep_Tax!L12*0.1*Dep_Tax!L24</f>
        <v>818.77018457999804</v>
      </c>
      <c r="M54" s="55">
        <f>Project_CF!M24-(CAPEX!M15-CAPEX!M17)*0.1+Dep_Tax!M12*0.1*Dep_Tax!M24</f>
        <v>814.23216864145468</v>
      </c>
      <c r="N54" s="55">
        <f>Project_CF!N24-(CAPEX!N15-CAPEX!N17)*0.1+Dep_Tax!N12*0.1*Dep_Tax!N24</f>
        <v>809.64450631529837</v>
      </c>
      <c r="O54" s="55">
        <f>Project_CF!O24-(CAPEX!O15-CAPEX!O17)*0.1+Dep_Tax!O12*0.1*Dep_Tax!O24</f>
        <v>805.00612244591423</v>
      </c>
      <c r="P54" s="55">
        <f>Project_CF!P24-(CAPEX!P15-CAPEX!P17)*0.1+Dep_Tax!P12*0.1*Dep_Tax!P24</f>
        <v>800.31592053903159</v>
      </c>
      <c r="Q54" s="55">
        <f>Project_CF!Q24-(CAPEX!Q15-CAPEX!Q17)*0.1+Dep_Tax!Q12*0.1*Dep_Tax!Q24</f>
        <v>795.57278233462023</v>
      </c>
      <c r="R54" s="55">
        <f>Project_CF!R24-(CAPEX!R15-CAPEX!R17)*0.1+Dep_Tax!R12*0.1*Dep_Tax!R24</f>
        <v>767.91654020697229</v>
      </c>
      <c r="S54" s="55">
        <f>Project_CF!S24-(CAPEX!S15-CAPEX!S17)*0.1+Dep_Tax!S12*0.1*Dep_Tax!S24</f>
        <v>763.31947773689933</v>
      </c>
      <c r="T54" s="55">
        <f>Project_CF!T24-(CAPEX!T15-CAPEX!T17)*0.1+Dep_Tax!T12*0.1*Dep_Tax!T24</f>
        <v>713.97841368357172</v>
      </c>
      <c r="U54" s="55">
        <f>Project_CF!U24-(CAPEX!U15-CAPEX!U17)*0.1+Dep_Tax!U12*0.1*Dep_Tax!U24</f>
        <v>709.79608379582862</v>
      </c>
      <c r="V54" s="55">
        <f>Project_CF!V24-(CAPEX!V15-CAPEX!V17)*0.1+Dep_Tax!V12*0.1*Dep_Tax!V24</f>
        <v>705.56417947424359</v>
      </c>
      <c r="W54" s="55">
        <f>Project_CF!W24-(CAPEX!W15-CAPEX!W17)*0.1+Dep_Tax!W12*0.1*Dep_Tax!W24</f>
        <v>701.28164108581166</v>
      </c>
      <c r="X54" s="55">
        <f>Project_CF!X24-(CAPEX!X15-CAPEX!X17)*0.1+Dep_Tax!X12*0.1*Dep_Tax!X24</f>
        <v>696.94738794115722</v>
      </c>
      <c r="Y54" s="55">
        <f>Project_CF!Y24-(CAPEX!Y15-CAPEX!Y17)*0.1+Dep_Tax!Y12*0.1*Dep_Tax!Y24</f>
        <v>0</v>
      </c>
      <c r="Z54" s="55">
        <f>Project_CF!Z24-(CAPEX!Z15-CAPEX!Z17)*0.1+Dep_Tax!Z12*0.1*Dep_Tax!Z24</f>
        <v>0</v>
      </c>
      <c r="AA54" s="55">
        <f>Project_CF!AA24-(CAPEX!AA15-CAPEX!AA17)*0.1+Dep_Tax!AA12*0.1*Dep_Tax!AA24</f>
        <v>0</v>
      </c>
      <c r="AB54" s="55">
        <f>Project_CF!AB24-(CAPEX!AB15-CAPEX!AB17)*0.1+Dep_Tax!AB12*0.1*Dep_Tax!AB24</f>
        <v>0</v>
      </c>
      <c r="AC54" s="55">
        <f>Project_CF!AC24-(CAPEX!AC15-CAPEX!AC17)*0.1+Dep_Tax!AC12*0.1*Dep_Tax!AC24</f>
        <v>0</v>
      </c>
      <c r="AD54" s="55">
        <f>Project_CF!AD24-(CAPEX!AD15-CAPEX!AD17)*0.1+Dep_Tax!AD12*0.1*Dep_Tax!AD24</f>
        <v>0</v>
      </c>
      <c r="AE54" s="55">
        <f>Project_CF!AE24-(CAPEX!AE15-CAPEX!AE17)*0.1+Dep_Tax!AE12*0.1*Dep_Tax!AE24</f>
        <v>0</v>
      </c>
      <c r="AF54" s="55">
        <f>Project_CF!AF24-(CAPEX!AF15-CAPEX!AF17)*0.1+Dep_Tax!AF12*0.1*Dep_Tax!AF24</f>
        <v>0</v>
      </c>
    </row>
    <row r="55" spans="1:32">
      <c r="A55" s="40" t="s">
        <v>692</v>
      </c>
      <c r="B55" s="40" t="s">
        <v>673</v>
      </c>
      <c r="C55" s="55">
        <f>Project_CF!C24-(Energy_Revenue!C19*-0.0999999999999999)*(1-Dep_Tax!C24)</f>
        <v>-2690.6</v>
      </c>
      <c r="D55" s="55">
        <f>Project_CF!D24-(Energy_Revenue!D19*-0.0999999999999999)*(1-Dep_Tax!D24)</f>
        <v>-3791.3</v>
      </c>
      <c r="E55" s="55">
        <f>Project_CF!E24-(Energy_Revenue!E19*-0.0999999999999999)*(1-Dep_Tax!E24)</f>
        <v>1254.297912</v>
      </c>
      <c r="F55" s="55">
        <f>Project_CF!F24-(Energy_Revenue!F19*-0.0999999999999999)*(1-Dep_Tax!F24)</f>
        <v>883.201576176</v>
      </c>
      <c r="G55" s="55">
        <f>Project_CF!G24-(Energy_Revenue!G19*-0.0999999999999999)*(1-Dep_Tax!G24)</f>
        <v>878.96520222364813</v>
      </c>
      <c r="H55" s="55">
        <f>Project_CF!H24-(Energy_Revenue!H19*-0.0999999999999999)*(1-Dep_Tax!H24)</f>
        <v>874.68790160320077</v>
      </c>
      <c r="I55" s="55">
        <f>Project_CF!I24-(Energy_Revenue!I19*-0.0999999999999999)*(1-Dep_Tax!I24)</f>
        <v>843.05278664569062</v>
      </c>
      <c r="J55" s="55">
        <f>Project_CF!J24-(Energy_Revenue!J19*-0.0999999999999999)*(1-Dep_Tax!J24)</f>
        <v>838.90899085205899</v>
      </c>
      <c r="K55" s="55">
        <f>Project_CF!K24-(Energy_Revenue!K19*-0.0999999999999999)*(1-Dep_Tax!K24)</f>
        <v>834.72368074733299</v>
      </c>
      <c r="L55" s="55">
        <f>Project_CF!L24-(Energy_Revenue!L19*-0.0999999999999999)*(1-Dep_Tax!L24)</f>
        <v>830.49594332208119</v>
      </c>
      <c r="M55" s="55">
        <f>Project_CF!M24-(Energy_Revenue!M19*-0.0999999999999999)*(1-Dep_Tax!M24)</f>
        <v>826.22484747212957</v>
      </c>
      <c r="N55" s="55">
        <f>Project_CF!N24-(Energy_Revenue!N19*-0.0999999999999999)*(1-Dep_Tax!N24)</f>
        <v>821.90944363633673</v>
      </c>
      <c r="O55" s="55">
        <f>Project_CF!O24-(Energy_Revenue!O19*-0.0999999999999999)*(1-Dep_Tax!O24)</f>
        <v>817.54876342712339</v>
      </c>
      <c r="P55" s="55">
        <f>Project_CF!P24-(Energy_Revenue!P19*-0.0999999999999999)*(1-Dep_Tax!P24)</f>
        <v>813.14181925361493</v>
      </c>
      <c r="Q55" s="55">
        <f>Project_CF!Q24-(Energy_Revenue!Q19*-0.0999999999999999)*(1-Dep_Tax!Q24)</f>
        <v>808.68760393724517</v>
      </c>
      <c r="R55" s="55">
        <f>Project_CF!R24-(Energy_Revenue!R19*-0.0999999999999999)*(1-Dep_Tax!R24)</f>
        <v>778.91477701337715</v>
      </c>
      <c r="S55" s="55">
        <f>Project_CF!S24-(Energy_Revenue!S19*-0.0999999999999999)*(1-Dep_Tax!S24)</f>
        <v>774.60248910693235</v>
      </c>
      <c r="T55" s="55">
        <f>Project_CF!T24-(Energy_Revenue!T19*-0.0999999999999999)*(1-Dep_Tax!T24)</f>
        <v>720.66540675573503</v>
      </c>
      <c r="U55" s="55">
        <f>Project_CF!U24-(Energy_Revenue!U19*-0.0999999999999999)*(1-Dep_Tax!U24)</f>
        <v>716.74643638443524</v>
      </c>
      <c r="V55" s="55">
        <f>Project_CF!V24-(Energy_Revenue!V19*-0.0999999999999999)*(1-Dep_Tax!V24)</f>
        <v>712.78315876962233</v>
      </c>
      <c r="W55" s="55">
        <f>Project_CF!W24-(Energy_Revenue!W19*-0.0999999999999999)*(1-Dep_Tax!W24)</f>
        <v>708.77461962209793</v>
      </c>
      <c r="X55" s="55">
        <f>Project_CF!X24-(Energy_Revenue!X19*-0.0999999999999999)*(1-Dep_Tax!X24)</f>
        <v>704.7198457031692</v>
      </c>
      <c r="Y55" s="55">
        <f>Project_CF!Y24-(Energy_Revenue!Y19*-0.0999999999999999)*(1-Dep_Tax!Y24)</f>
        <v>0</v>
      </c>
      <c r="Z55" s="55">
        <f>Project_CF!Z24-(Energy_Revenue!Z19*-0.0999999999999999)*(1-Dep_Tax!Z24)</f>
        <v>0</v>
      </c>
      <c r="AA55" s="55">
        <f>Project_CF!AA24-(Energy_Revenue!AA19*-0.0999999999999999)*(1-Dep_Tax!AA24)</f>
        <v>0</v>
      </c>
      <c r="AB55" s="55">
        <f>Project_CF!AB24-(Energy_Revenue!AB19*-0.0999999999999999)*(1-Dep_Tax!AB24)</f>
        <v>0</v>
      </c>
      <c r="AC55" s="55">
        <f>Project_CF!AC24-(Energy_Revenue!AC19*-0.0999999999999999)*(1-Dep_Tax!AC24)</f>
        <v>0</v>
      </c>
      <c r="AD55" s="55">
        <f>Project_CF!AD24-(Energy_Revenue!AD19*-0.0999999999999999)*(1-Dep_Tax!AD24)</f>
        <v>0</v>
      </c>
      <c r="AE55" s="55">
        <f>Project_CF!AE24-(Energy_Revenue!AE19*-0.0999999999999999)*(1-Dep_Tax!AE24)</f>
        <v>0</v>
      </c>
      <c r="AF55" s="55">
        <f>Project_CF!AF24-(Energy_Revenue!AF19*-0.0999999999999999)*(1-Dep_Tax!AF24)</f>
        <v>0</v>
      </c>
    </row>
    <row r="56" spans="1:32">
      <c r="A56" s="40" t="s">
        <v>693</v>
      </c>
      <c r="B56" s="40" t="s">
        <v>675</v>
      </c>
      <c r="C56" s="55">
        <f>Project_CF!C24-(Energy_Revenue!C19*-0.05)*(1-Dep_Tax!C24)</f>
        <v>-2690.6</v>
      </c>
      <c r="D56" s="55">
        <f>Project_CF!D24-(Energy_Revenue!D19*-0.05)*(1-Dep_Tax!D24)</f>
        <v>-3791.3</v>
      </c>
      <c r="E56" s="55">
        <f>Project_CF!E24-(Energy_Revenue!E19*-0.05)*(1-Dep_Tax!E24)</f>
        <v>1248.182912</v>
      </c>
      <c r="F56" s="55">
        <f>Project_CF!F24-(Energy_Revenue!F19*-0.05)*(1-Dep_Tax!F24)</f>
        <v>876.964276176</v>
      </c>
      <c r="G56" s="55">
        <f>Project_CF!G24-(Energy_Revenue!G19*-0.05)*(1-Dep_Tax!G24)</f>
        <v>872.60315622364806</v>
      </c>
      <c r="H56" s="55">
        <f>Project_CF!H24-(Energy_Revenue!H19*-0.05)*(1-Dep_Tax!H24)</f>
        <v>868.19861468320084</v>
      </c>
      <c r="I56" s="55">
        <f>Project_CF!I24-(Energy_Revenue!I19*-0.05)*(1-Dep_Tax!I24)</f>
        <v>836.76466762021062</v>
      </c>
      <c r="J56" s="55">
        <f>Project_CF!J24-(Energy_Revenue!J19*-0.05)*(1-Dep_Tax!J24)</f>
        <v>832.49510944606948</v>
      </c>
      <c r="K56" s="55">
        <f>Project_CF!K24-(Energy_Revenue!K19*-0.05)*(1-Dep_Tax!K24)</f>
        <v>828.18152171322367</v>
      </c>
      <c r="L56" s="55">
        <f>Project_CF!L24-(Energy_Revenue!L19*-0.05)*(1-Dep_Tax!L24)</f>
        <v>823.82294110728969</v>
      </c>
      <c r="M56" s="55">
        <f>Project_CF!M24-(Energy_Revenue!M19*-0.05)*(1-Dep_Tax!M24)</f>
        <v>819.41838521304214</v>
      </c>
      <c r="N56" s="55">
        <f>Project_CF!N24-(Energy_Revenue!N19*-0.05)*(1-Dep_Tax!N24)</f>
        <v>814.96685213206752</v>
      </c>
      <c r="O56" s="55">
        <f>Project_CF!O24-(Energy_Revenue!O19*-0.05)*(1-Dep_Tax!O24)</f>
        <v>810.46732009276877</v>
      </c>
      <c r="P56" s="55">
        <f>Project_CF!P24-(Energy_Revenue!P19*-0.05)*(1-Dep_Tax!P24)</f>
        <v>805.91874705257328</v>
      </c>
      <c r="Q56" s="55">
        <f>Project_CF!Q24-(Energy_Revenue!Q19*-0.05)*(1-Dep_Tax!Q24)</f>
        <v>801.32007029218278</v>
      </c>
      <c r="R56" s="55">
        <f>Project_CF!R24-(Energy_Revenue!R19*-0.05)*(1-Dep_Tax!R24)</f>
        <v>771.7954129226747</v>
      </c>
      <c r="S56" s="55">
        <f>Project_CF!S24-(Energy_Revenue!S19*-0.05)*(1-Dep_Tax!S24)</f>
        <v>767.34073773441582</v>
      </c>
      <c r="T56" s="55">
        <f>Project_CF!T24-(Energy_Revenue!T19*-0.05)*(1-Dep_Tax!T24)</f>
        <v>714.0814188446534</v>
      </c>
      <c r="U56" s="55">
        <f>Project_CF!U24-(Energy_Revenue!U19*-0.05)*(1-Dep_Tax!U24)</f>
        <v>710.0307687151319</v>
      </c>
      <c r="V56" s="55">
        <f>Project_CF!V24-(Energy_Revenue!V19*-0.05)*(1-Dep_Tax!V24)</f>
        <v>705.93317774693298</v>
      </c>
      <c r="W56" s="55">
        <f>Project_CF!W24-(Energy_Revenue!W19*-0.05)*(1-Dep_Tax!W24)</f>
        <v>701.78763897895487</v>
      </c>
      <c r="X56" s="55">
        <f>Project_CF!X24-(Energy_Revenue!X19*-0.05)*(1-Dep_Tax!X24)</f>
        <v>697.59312544716329</v>
      </c>
      <c r="Y56" s="55">
        <f>Project_CF!Y24-(Energy_Revenue!Y19*-0.05)*(1-Dep_Tax!Y24)</f>
        <v>0</v>
      </c>
      <c r="Z56" s="55">
        <f>Project_CF!Z24-(Energy_Revenue!Z19*-0.05)*(1-Dep_Tax!Z24)</f>
        <v>0</v>
      </c>
      <c r="AA56" s="55">
        <f>Project_CF!AA24-(Energy_Revenue!AA19*-0.05)*(1-Dep_Tax!AA24)</f>
        <v>0</v>
      </c>
      <c r="AB56" s="55">
        <f>Project_CF!AB24-(Energy_Revenue!AB19*-0.05)*(1-Dep_Tax!AB24)</f>
        <v>0</v>
      </c>
      <c r="AC56" s="55">
        <f>Project_CF!AC24-(Energy_Revenue!AC19*-0.05)*(1-Dep_Tax!AC24)</f>
        <v>0</v>
      </c>
      <c r="AD56" s="55">
        <f>Project_CF!AD24-(Energy_Revenue!AD19*-0.05)*(1-Dep_Tax!AD24)</f>
        <v>0</v>
      </c>
      <c r="AE56" s="55">
        <f>Project_CF!AE24-(Energy_Revenue!AE19*-0.05)*(1-Dep_Tax!AE24)</f>
        <v>0</v>
      </c>
      <c r="AF56" s="55">
        <f>Project_CF!AF24-(Energy_Revenue!AF19*-0.05)*(1-Dep_Tax!AF24)</f>
        <v>0</v>
      </c>
    </row>
    <row r="57" spans="1:32">
      <c r="A57" s="40" t="s">
        <v>694</v>
      </c>
      <c r="B57" s="40" t="s">
        <v>677</v>
      </c>
      <c r="C57" s="55">
        <f>Project_CF!C24-(Energy_Revenue!C19*0)*(1-Dep_Tax!C24)</f>
        <v>-2690.6</v>
      </c>
      <c r="D57" s="55">
        <f>Project_CF!D24-(Energy_Revenue!D19*0)*(1-Dep_Tax!D24)</f>
        <v>-3791.3</v>
      </c>
      <c r="E57" s="55">
        <f>Project_CF!E24-(Energy_Revenue!E19*0)*(1-Dep_Tax!E24)</f>
        <v>1242.067912</v>
      </c>
      <c r="F57" s="55">
        <f>Project_CF!F24-(Energy_Revenue!F19*0)*(1-Dep_Tax!F24)</f>
        <v>870.72697617599999</v>
      </c>
      <c r="G57" s="55">
        <f>Project_CF!G24-(Energy_Revenue!G19*0)*(1-Dep_Tax!G24)</f>
        <v>866.24111022364809</v>
      </c>
      <c r="H57" s="55">
        <f>Project_CF!H24-(Energy_Revenue!H19*0)*(1-Dep_Tax!H24)</f>
        <v>861.7093277632008</v>
      </c>
      <c r="I57" s="55">
        <f>Project_CF!I24-(Energy_Revenue!I19*0)*(1-Dep_Tax!I24)</f>
        <v>830.47654859473062</v>
      </c>
      <c r="J57" s="55">
        <f>Project_CF!J24-(Energy_Revenue!J19*0)*(1-Dep_Tax!J24)</f>
        <v>826.08122804007985</v>
      </c>
      <c r="K57" s="55">
        <f>Project_CF!K24-(Energy_Revenue!K19*0)*(1-Dep_Tax!K24)</f>
        <v>821.63936267911424</v>
      </c>
      <c r="L57" s="55">
        <f>Project_CF!L24-(Energy_Revenue!L19*0)*(1-Dep_Tax!L24)</f>
        <v>817.14993889249808</v>
      </c>
      <c r="M57" s="55">
        <f>Project_CF!M24-(Energy_Revenue!M19*0)*(1-Dep_Tax!M24)</f>
        <v>812.61192295395472</v>
      </c>
      <c r="N57" s="55">
        <f>Project_CF!N24-(Energy_Revenue!N19*0)*(1-Dep_Tax!N24)</f>
        <v>808.02426062779841</v>
      </c>
      <c r="O57" s="55">
        <f>Project_CF!O24-(Energy_Revenue!O19*0)*(1-Dep_Tax!O24)</f>
        <v>803.38587675841427</v>
      </c>
      <c r="P57" s="55">
        <f>Project_CF!P24-(Energy_Revenue!P19*0)*(1-Dep_Tax!P24)</f>
        <v>798.69567485153163</v>
      </c>
      <c r="Q57" s="55">
        <f>Project_CF!Q24-(Energy_Revenue!Q19*0)*(1-Dep_Tax!Q24)</f>
        <v>793.95253664712027</v>
      </c>
      <c r="R57" s="55">
        <f>Project_CF!R24-(Energy_Revenue!R19*0)*(1-Dep_Tax!R24)</f>
        <v>764.67604883197225</v>
      </c>
      <c r="S57" s="55">
        <f>Project_CF!S24-(Energy_Revenue!S19*0)*(1-Dep_Tax!S24)</f>
        <v>760.0789863618993</v>
      </c>
      <c r="T57" s="55">
        <f>Project_CF!T24-(Energy_Revenue!T19*0)*(1-Dep_Tax!T24)</f>
        <v>707.49743093357176</v>
      </c>
      <c r="U57" s="55">
        <f>Project_CF!U24-(Energy_Revenue!U19*0)*(1-Dep_Tax!U24)</f>
        <v>703.31510104582867</v>
      </c>
      <c r="V57" s="55">
        <f>Project_CF!V24-(Energy_Revenue!V19*0)*(1-Dep_Tax!V24)</f>
        <v>699.08319672424363</v>
      </c>
      <c r="W57" s="55">
        <f>Project_CF!W24-(Energy_Revenue!W19*0)*(1-Dep_Tax!W24)</f>
        <v>694.8006583358117</v>
      </c>
      <c r="X57" s="55">
        <f>Project_CF!X24-(Energy_Revenue!X19*0)*(1-Dep_Tax!X24)</f>
        <v>690.46640519115726</v>
      </c>
      <c r="Y57" s="55">
        <f>Project_CF!Y24-(Energy_Revenue!Y19*0)*(1-Dep_Tax!Y24)</f>
        <v>0</v>
      </c>
      <c r="Z57" s="55">
        <f>Project_CF!Z24-(Energy_Revenue!Z19*0)*(1-Dep_Tax!Z24)</f>
        <v>0</v>
      </c>
      <c r="AA57" s="55">
        <f>Project_CF!AA24-(Energy_Revenue!AA19*0)*(1-Dep_Tax!AA24)</f>
        <v>0</v>
      </c>
      <c r="AB57" s="55">
        <f>Project_CF!AB24-(Energy_Revenue!AB19*0)*(1-Dep_Tax!AB24)</f>
        <v>0</v>
      </c>
      <c r="AC57" s="55">
        <f>Project_CF!AC24-(Energy_Revenue!AC19*0)*(1-Dep_Tax!AC24)</f>
        <v>0</v>
      </c>
      <c r="AD57" s="55">
        <f>Project_CF!AD24-(Energy_Revenue!AD19*0)*(1-Dep_Tax!AD24)</f>
        <v>0</v>
      </c>
      <c r="AE57" s="55">
        <f>Project_CF!AE24-(Energy_Revenue!AE19*0)*(1-Dep_Tax!AE24)</f>
        <v>0</v>
      </c>
      <c r="AF57" s="55">
        <f>Project_CF!AF24-(Energy_Revenue!AF19*0)*(1-Dep_Tax!AF24)</f>
        <v>0</v>
      </c>
    </row>
    <row r="58" spans="1:32">
      <c r="A58" s="40" t="s">
        <v>695</v>
      </c>
      <c r="B58" s="40" t="s">
        <v>679</v>
      </c>
      <c r="C58" s="55">
        <f>Project_CF!C24-(Energy_Revenue!C19*0.05)*(1-Dep_Tax!C24)</f>
        <v>-2690.6</v>
      </c>
      <c r="D58" s="55">
        <f>Project_CF!D24-(Energy_Revenue!D19*0.05)*(1-Dep_Tax!D24)</f>
        <v>-3791.3</v>
      </c>
      <c r="E58" s="55">
        <f>Project_CF!E24-(Energy_Revenue!E19*0.05)*(1-Dep_Tax!E24)</f>
        <v>1235.952912</v>
      </c>
      <c r="F58" s="55">
        <f>Project_CF!F24-(Energy_Revenue!F19*0.05)*(1-Dep_Tax!F24)</f>
        <v>864.48967617599999</v>
      </c>
      <c r="G58" s="55">
        <f>Project_CF!G24-(Energy_Revenue!G19*0.05)*(1-Dep_Tax!G24)</f>
        <v>859.87906422364813</v>
      </c>
      <c r="H58" s="55">
        <f>Project_CF!H24-(Energy_Revenue!H19*0.05)*(1-Dep_Tax!H24)</f>
        <v>855.22004084320076</v>
      </c>
      <c r="I58" s="55">
        <f>Project_CF!I24-(Energy_Revenue!I19*0.05)*(1-Dep_Tax!I24)</f>
        <v>824.18842956925062</v>
      </c>
      <c r="J58" s="55">
        <f>Project_CF!J24-(Energy_Revenue!J19*0.05)*(1-Dep_Tax!J24)</f>
        <v>819.66734663409022</v>
      </c>
      <c r="K58" s="55">
        <f>Project_CF!K24-(Energy_Revenue!K19*0.05)*(1-Dep_Tax!K24)</f>
        <v>815.09720364500481</v>
      </c>
      <c r="L58" s="55">
        <f>Project_CF!L24-(Energy_Revenue!L19*0.05)*(1-Dep_Tax!L24)</f>
        <v>810.47693667770648</v>
      </c>
      <c r="M58" s="55">
        <f>Project_CF!M24-(Energy_Revenue!M19*0.05)*(1-Dep_Tax!M24)</f>
        <v>805.80546069486729</v>
      </c>
      <c r="N58" s="55">
        <f>Project_CF!N24-(Energy_Revenue!N19*0.05)*(1-Dep_Tax!N24)</f>
        <v>801.08166912352931</v>
      </c>
      <c r="O58" s="55">
        <f>Project_CF!O24-(Energy_Revenue!O19*0.05)*(1-Dep_Tax!O24)</f>
        <v>796.30443342405977</v>
      </c>
      <c r="P58" s="55">
        <f>Project_CF!P24-(Energy_Revenue!P19*0.05)*(1-Dep_Tax!P24)</f>
        <v>791.47260265048999</v>
      </c>
      <c r="Q58" s="55">
        <f>Project_CF!Q24-(Energy_Revenue!Q19*0.05)*(1-Dep_Tax!Q24)</f>
        <v>786.58500300205776</v>
      </c>
      <c r="R58" s="55">
        <f>Project_CF!R24-(Energy_Revenue!R19*0.05)*(1-Dep_Tax!R24)</f>
        <v>757.55668474126981</v>
      </c>
      <c r="S58" s="55">
        <f>Project_CF!S24-(Energy_Revenue!S19*0.05)*(1-Dep_Tax!S24)</f>
        <v>752.81723498938277</v>
      </c>
      <c r="T58" s="55">
        <f>Project_CF!T24-(Energy_Revenue!T19*0.05)*(1-Dep_Tax!T24)</f>
        <v>700.91344302249013</v>
      </c>
      <c r="U58" s="55">
        <f>Project_CF!U24-(Energy_Revenue!U19*0.05)*(1-Dep_Tax!U24)</f>
        <v>696.59943337652544</v>
      </c>
      <c r="V58" s="55">
        <f>Project_CF!V24-(Energy_Revenue!V19*0.05)*(1-Dep_Tax!V24)</f>
        <v>692.23321570155429</v>
      </c>
      <c r="W58" s="55">
        <f>Project_CF!W24-(Energy_Revenue!W19*0.05)*(1-Dep_Tax!W24)</f>
        <v>687.81367769266853</v>
      </c>
      <c r="X58" s="55">
        <f>Project_CF!X24-(Energy_Revenue!X19*0.05)*(1-Dep_Tax!X24)</f>
        <v>683.33968493515124</v>
      </c>
      <c r="Y58" s="55">
        <f>Project_CF!Y24-(Energy_Revenue!Y19*0.05)*(1-Dep_Tax!Y24)</f>
        <v>0</v>
      </c>
      <c r="Z58" s="55">
        <f>Project_CF!Z24-(Energy_Revenue!Z19*0.05)*(1-Dep_Tax!Z24)</f>
        <v>0</v>
      </c>
      <c r="AA58" s="55">
        <f>Project_CF!AA24-(Energy_Revenue!AA19*0.05)*(1-Dep_Tax!AA24)</f>
        <v>0</v>
      </c>
      <c r="AB58" s="55">
        <f>Project_CF!AB24-(Energy_Revenue!AB19*0.05)*(1-Dep_Tax!AB24)</f>
        <v>0</v>
      </c>
      <c r="AC58" s="55">
        <f>Project_CF!AC24-(Energy_Revenue!AC19*0.05)*(1-Dep_Tax!AC24)</f>
        <v>0</v>
      </c>
      <c r="AD58" s="55">
        <f>Project_CF!AD24-(Energy_Revenue!AD19*0.05)*(1-Dep_Tax!AD24)</f>
        <v>0</v>
      </c>
      <c r="AE58" s="55">
        <f>Project_CF!AE24-(Energy_Revenue!AE19*0.05)*(1-Dep_Tax!AE24)</f>
        <v>0</v>
      </c>
      <c r="AF58" s="55">
        <f>Project_CF!AF24-(Energy_Revenue!AF19*0.05)*(1-Dep_Tax!AF24)</f>
        <v>0</v>
      </c>
    </row>
    <row r="59" spans="1:32">
      <c r="A59" s="40" t="s">
        <v>696</v>
      </c>
      <c r="B59" s="40" t="s">
        <v>681</v>
      </c>
      <c r="C59" s="55">
        <f>Project_CF!C24-(Energy_Revenue!C19*0.1)*(1-Dep_Tax!C24)</f>
        <v>-2690.6</v>
      </c>
      <c r="D59" s="55">
        <f>Project_CF!D24-(Energy_Revenue!D19*0.1)*(1-Dep_Tax!D24)</f>
        <v>-3791.3</v>
      </c>
      <c r="E59" s="55">
        <f>Project_CF!E24-(Energy_Revenue!E19*0.1)*(1-Dep_Tax!E24)</f>
        <v>1229.837912</v>
      </c>
      <c r="F59" s="55">
        <f>Project_CF!F24-(Energy_Revenue!F19*0.1)*(1-Dep_Tax!F24)</f>
        <v>858.25237617599998</v>
      </c>
      <c r="G59" s="55">
        <f>Project_CF!G24-(Energy_Revenue!G19*0.1)*(1-Dep_Tax!G24)</f>
        <v>853.51701822364805</v>
      </c>
      <c r="H59" s="55">
        <f>Project_CF!H24-(Energy_Revenue!H19*0.1)*(1-Dep_Tax!H24)</f>
        <v>848.73075392320084</v>
      </c>
      <c r="I59" s="55">
        <f>Project_CF!I24-(Energy_Revenue!I19*0.1)*(1-Dep_Tax!I24)</f>
        <v>817.90031054377062</v>
      </c>
      <c r="J59" s="55">
        <f>Project_CF!J24-(Energy_Revenue!J19*0.1)*(1-Dep_Tax!J24)</f>
        <v>813.25346522810059</v>
      </c>
      <c r="K59" s="55">
        <f>Project_CF!K24-(Energy_Revenue!K19*0.1)*(1-Dep_Tax!K24)</f>
        <v>808.55504461089549</v>
      </c>
      <c r="L59" s="55">
        <f>Project_CF!L24-(Energy_Revenue!L19*0.1)*(1-Dep_Tax!L24)</f>
        <v>803.80393446291498</v>
      </c>
      <c r="M59" s="55">
        <f>Project_CF!M24-(Energy_Revenue!M19*0.1)*(1-Dep_Tax!M24)</f>
        <v>798.99899843577987</v>
      </c>
      <c r="N59" s="55">
        <f>Project_CF!N24-(Energy_Revenue!N19*0.1)*(1-Dep_Tax!N24)</f>
        <v>794.13907761926009</v>
      </c>
      <c r="O59" s="55">
        <f>Project_CF!O24-(Energy_Revenue!O19*0.1)*(1-Dep_Tax!O24)</f>
        <v>789.22299008970515</v>
      </c>
      <c r="P59" s="55">
        <f>Project_CF!P24-(Energy_Revenue!P19*0.1)*(1-Dep_Tax!P24)</f>
        <v>784.24953044944834</v>
      </c>
      <c r="Q59" s="55">
        <f>Project_CF!Q24-(Energy_Revenue!Q19*0.1)*(1-Dep_Tax!Q24)</f>
        <v>779.21746935699537</v>
      </c>
      <c r="R59" s="55">
        <f>Project_CF!R24-(Energy_Revenue!R19*0.1)*(1-Dep_Tax!R24)</f>
        <v>750.43732065056736</v>
      </c>
      <c r="S59" s="55">
        <f>Project_CF!S24-(Energy_Revenue!S19*0.1)*(1-Dep_Tax!S24)</f>
        <v>745.55548361686624</v>
      </c>
      <c r="T59" s="55">
        <f>Project_CF!T24-(Energy_Revenue!T19*0.1)*(1-Dep_Tax!T24)</f>
        <v>694.32945511140849</v>
      </c>
      <c r="U59" s="55">
        <f>Project_CF!U24-(Energy_Revenue!U19*0.1)*(1-Dep_Tax!U24)</f>
        <v>689.8837657072221</v>
      </c>
      <c r="V59" s="55">
        <f>Project_CF!V24-(Energy_Revenue!V19*0.1)*(1-Dep_Tax!V24)</f>
        <v>685.38323467886494</v>
      </c>
      <c r="W59" s="55">
        <f>Project_CF!W24-(Energy_Revenue!W19*0.1)*(1-Dep_Tax!W24)</f>
        <v>680.82669704952548</v>
      </c>
      <c r="X59" s="55">
        <f>Project_CF!X24-(Energy_Revenue!X19*0.1)*(1-Dep_Tax!X24)</f>
        <v>676.21296467914533</v>
      </c>
      <c r="Y59" s="55">
        <f>Project_CF!Y24-(Energy_Revenue!Y19*0.1)*(1-Dep_Tax!Y24)</f>
        <v>0</v>
      </c>
      <c r="Z59" s="55">
        <f>Project_CF!Z24-(Energy_Revenue!Z19*0.1)*(1-Dep_Tax!Z24)</f>
        <v>0</v>
      </c>
      <c r="AA59" s="55">
        <f>Project_CF!AA24-(Energy_Revenue!AA19*0.1)*(1-Dep_Tax!AA24)</f>
        <v>0</v>
      </c>
      <c r="AB59" s="55">
        <f>Project_CF!AB24-(Energy_Revenue!AB19*0.1)*(1-Dep_Tax!AB24)</f>
        <v>0</v>
      </c>
      <c r="AC59" s="55">
        <f>Project_CF!AC24-(Energy_Revenue!AC19*0.1)*(1-Dep_Tax!AC24)</f>
        <v>0</v>
      </c>
      <c r="AD59" s="55">
        <f>Project_CF!AD24-(Energy_Revenue!AD19*0.1)*(1-Dep_Tax!AD24)</f>
        <v>0</v>
      </c>
      <c r="AE59" s="55">
        <f>Project_CF!AE24-(Energy_Revenue!AE19*0.1)*(1-Dep_Tax!AE24)</f>
        <v>0</v>
      </c>
      <c r="AF59" s="55">
        <f>Project_CF!AF24-(Energy_Revenue!AF19*0.1)*(1-Dep_Tax!AF24)</f>
        <v>0</v>
      </c>
    </row>
    <row r="60" spans="1:32">
      <c r="A60" s="40" t="s">
        <v>697</v>
      </c>
      <c r="B60" s="40" t="s">
        <v>673</v>
      </c>
      <c r="C60" s="55">
        <f>Project_CF!C24</f>
        <v>-2690.6</v>
      </c>
      <c r="D60" s="55">
        <f>Project_CF!D24</f>
        <v>-3791.3</v>
      </c>
      <c r="E60" s="55">
        <f>Project_CF!E24</f>
        <v>1242.067912</v>
      </c>
      <c r="F60" s="55">
        <f>Project_CF!F24</f>
        <v>870.72697617599999</v>
      </c>
      <c r="G60" s="55">
        <f>Project_CF!G24</f>
        <v>866.24111022364809</v>
      </c>
      <c r="H60" s="55">
        <f>Project_CF!H24</f>
        <v>861.7093277632008</v>
      </c>
      <c r="I60" s="55">
        <f>Project_CF!I24</f>
        <v>830.47654859473062</v>
      </c>
      <c r="J60" s="55">
        <f>Project_CF!J24</f>
        <v>826.08122804007985</v>
      </c>
      <c r="K60" s="55">
        <f>Project_CF!K24</f>
        <v>821.63936267911424</v>
      </c>
      <c r="L60" s="55">
        <f>Project_CF!L24</f>
        <v>817.14993889249808</v>
      </c>
      <c r="M60" s="55">
        <f>Project_CF!M24</f>
        <v>812.61192295395472</v>
      </c>
      <c r="N60" s="55">
        <f>Project_CF!N24</f>
        <v>808.02426062779841</v>
      </c>
      <c r="O60" s="55">
        <f>Project_CF!O24</f>
        <v>803.38587675841427</v>
      </c>
      <c r="P60" s="55">
        <f>Project_CF!P24</f>
        <v>798.69567485153163</v>
      </c>
      <c r="Q60" s="55">
        <f>Project_CF!Q24</f>
        <v>793.95253664712027</v>
      </c>
      <c r="R60" s="55">
        <f>Project_CF!R24</f>
        <v>764.67604883197225</v>
      </c>
      <c r="S60" s="55">
        <f>Project_CF!S24</f>
        <v>760.0789863618993</v>
      </c>
      <c r="T60" s="55">
        <f>Project_CF!T24</f>
        <v>707.49743093357176</v>
      </c>
      <c r="U60" s="55">
        <f>Project_CF!U24</f>
        <v>703.31510104582867</v>
      </c>
      <c r="V60" s="55">
        <f>Project_CF!V24</f>
        <v>699.08319672424363</v>
      </c>
      <c r="W60" s="55">
        <f>Project_CF!W24</f>
        <v>694.8006583358117</v>
      </c>
      <c r="X60" s="55">
        <f>Project_CF!X24</f>
        <v>690.46640519115726</v>
      </c>
      <c r="Y60" s="55">
        <f>Project_CF!Y24</f>
        <v>0</v>
      </c>
      <c r="Z60" s="55">
        <f>Project_CF!Z24</f>
        <v>0</v>
      </c>
      <c r="AA60" s="55">
        <f>Project_CF!AA24</f>
        <v>0</v>
      </c>
      <c r="AB60" s="55">
        <f>Project_CF!AB24</f>
        <v>0</v>
      </c>
      <c r="AC60" s="55">
        <f>Project_CF!AC24</f>
        <v>0</v>
      </c>
      <c r="AD60" s="55">
        <f>Project_CF!AD24</f>
        <v>0</v>
      </c>
      <c r="AE60" s="55">
        <f>Project_CF!AE24</f>
        <v>0</v>
      </c>
      <c r="AF60" s="55">
        <f>Project_CF!AF24</f>
        <v>0</v>
      </c>
    </row>
    <row r="61" spans="1:32">
      <c r="A61" s="40" t="s">
        <v>698</v>
      </c>
      <c r="B61" s="40" t="s">
        <v>675</v>
      </c>
      <c r="C61" s="55">
        <f>Project_CF!C24</f>
        <v>-2690.6</v>
      </c>
      <c r="D61" s="55">
        <f>Project_CF!D24</f>
        <v>-3791.3</v>
      </c>
      <c r="E61" s="55">
        <f>Project_CF!E24</f>
        <v>1242.067912</v>
      </c>
      <c r="F61" s="55">
        <f>Project_CF!F24</f>
        <v>870.72697617599999</v>
      </c>
      <c r="G61" s="55">
        <f>Project_CF!G24</f>
        <v>866.24111022364809</v>
      </c>
      <c r="H61" s="55">
        <f>Project_CF!H24</f>
        <v>861.7093277632008</v>
      </c>
      <c r="I61" s="55">
        <f>Project_CF!I24</f>
        <v>830.47654859473062</v>
      </c>
      <c r="J61" s="55">
        <f>Project_CF!J24</f>
        <v>826.08122804007985</v>
      </c>
      <c r="K61" s="55">
        <f>Project_CF!K24</f>
        <v>821.63936267911424</v>
      </c>
      <c r="L61" s="55">
        <f>Project_CF!L24</f>
        <v>817.14993889249808</v>
      </c>
      <c r="M61" s="55">
        <f>Project_CF!M24</f>
        <v>812.61192295395472</v>
      </c>
      <c r="N61" s="55">
        <f>Project_CF!N24</f>
        <v>808.02426062779841</v>
      </c>
      <c r="O61" s="55">
        <f>Project_CF!O24</f>
        <v>803.38587675841427</v>
      </c>
      <c r="P61" s="55">
        <f>Project_CF!P24</f>
        <v>798.69567485153163</v>
      </c>
      <c r="Q61" s="55">
        <f>Project_CF!Q24</f>
        <v>793.95253664712027</v>
      </c>
      <c r="R61" s="55">
        <f>Project_CF!R24</f>
        <v>764.67604883197225</v>
      </c>
      <c r="S61" s="55">
        <f>Project_CF!S24</f>
        <v>760.0789863618993</v>
      </c>
      <c r="T61" s="55">
        <f>Project_CF!T24</f>
        <v>707.49743093357176</v>
      </c>
      <c r="U61" s="55">
        <f>Project_CF!U24</f>
        <v>703.31510104582867</v>
      </c>
      <c r="V61" s="55">
        <f>Project_CF!V24</f>
        <v>699.08319672424363</v>
      </c>
      <c r="W61" s="55">
        <f>Project_CF!W24</f>
        <v>694.8006583358117</v>
      </c>
      <c r="X61" s="55">
        <f>Project_CF!X24</f>
        <v>690.46640519115726</v>
      </c>
      <c r="Y61" s="55">
        <f>Project_CF!Y24</f>
        <v>0</v>
      </c>
      <c r="Z61" s="55">
        <f>Project_CF!Z24</f>
        <v>0</v>
      </c>
      <c r="AA61" s="55">
        <f>Project_CF!AA24</f>
        <v>0</v>
      </c>
      <c r="AB61" s="55">
        <f>Project_CF!AB24</f>
        <v>0</v>
      </c>
      <c r="AC61" s="55">
        <f>Project_CF!AC24</f>
        <v>0</v>
      </c>
      <c r="AD61" s="55">
        <f>Project_CF!AD24</f>
        <v>0</v>
      </c>
      <c r="AE61" s="55">
        <f>Project_CF!AE24</f>
        <v>0</v>
      </c>
      <c r="AF61" s="55">
        <f>Project_CF!AF24</f>
        <v>0</v>
      </c>
    </row>
    <row r="62" spans="1:32">
      <c r="A62" s="40" t="s">
        <v>699</v>
      </c>
      <c r="B62" s="40" t="s">
        <v>677</v>
      </c>
      <c r="C62" s="55">
        <f>Project_CF!C24</f>
        <v>-2690.6</v>
      </c>
      <c r="D62" s="55">
        <f>Project_CF!D24</f>
        <v>-3791.3</v>
      </c>
      <c r="E62" s="55">
        <f>Project_CF!E24</f>
        <v>1242.067912</v>
      </c>
      <c r="F62" s="55">
        <f>Project_CF!F24</f>
        <v>870.72697617599999</v>
      </c>
      <c r="G62" s="55">
        <f>Project_CF!G24</f>
        <v>866.24111022364809</v>
      </c>
      <c r="H62" s="55">
        <f>Project_CF!H24</f>
        <v>861.7093277632008</v>
      </c>
      <c r="I62" s="55">
        <f>Project_CF!I24</f>
        <v>830.47654859473062</v>
      </c>
      <c r="J62" s="55">
        <f>Project_CF!J24</f>
        <v>826.08122804007985</v>
      </c>
      <c r="K62" s="55">
        <f>Project_CF!K24</f>
        <v>821.63936267911424</v>
      </c>
      <c r="L62" s="55">
        <f>Project_CF!L24</f>
        <v>817.14993889249808</v>
      </c>
      <c r="M62" s="55">
        <f>Project_CF!M24</f>
        <v>812.61192295395472</v>
      </c>
      <c r="N62" s="55">
        <f>Project_CF!N24</f>
        <v>808.02426062779841</v>
      </c>
      <c r="O62" s="55">
        <f>Project_CF!O24</f>
        <v>803.38587675841427</v>
      </c>
      <c r="P62" s="55">
        <f>Project_CF!P24</f>
        <v>798.69567485153163</v>
      </c>
      <c r="Q62" s="55">
        <f>Project_CF!Q24</f>
        <v>793.95253664712027</v>
      </c>
      <c r="R62" s="55">
        <f>Project_CF!R24</f>
        <v>764.67604883197225</v>
      </c>
      <c r="S62" s="55">
        <f>Project_CF!S24</f>
        <v>760.0789863618993</v>
      </c>
      <c r="T62" s="55">
        <f>Project_CF!T24</f>
        <v>707.49743093357176</v>
      </c>
      <c r="U62" s="55">
        <f>Project_CF!U24</f>
        <v>703.31510104582867</v>
      </c>
      <c r="V62" s="55">
        <f>Project_CF!V24</f>
        <v>699.08319672424363</v>
      </c>
      <c r="W62" s="55">
        <f>Project_CF!W24</f>
        <v>694.8006583358117</v>
      </c>
      <c r="X62" s="55">
        <f>Project_CF!X24</f>
        <v>690.46640519115726</v>
      </c>
      <c r="Y62" s="55">
        <f>Project_CF!Y24</f>
        <v>0</v>
      </c>
      <c r="Z62" s="55">
        <f>Project_CF!Z24</f>
        <v>0</v>
      </c>
      <c r="AA62" s="55">
        <f>Project_CF!AA24</f>
        <v>0</v>
      </c>
      <c r="AB62" s="55">
        <f>Project_CF!AB24</f>
        <v>0</v>
      </c>
      <c r="AC62" s="55">
        <f>Project_CF!AC24</f>
        <v>0</v>
      </c>
      <c r="AD62" s="55">
        <f>Project_CF!AD24</f>
        <v>0</v>
      </c>
      <c r="AE62" s="55">
        <f>Project_CF!AE24</f>
        <v>0</v>
      </c>
      <c r="AF62" s="55">
        <f>Project_CF!AF24</f>
        <v>0</v>
      </c>
    </row>
    <row r="63" spans="1:32">
      <c r="A63" s="40" t="s">
        <v>700</v>
      </c>
      <c r="B63" s="40" t="s">
        <v>679</v>
      </c>
      <c r="C63" s="55">
        <f>Project_CF!C24</f>
        <v>-2690.6</v>
      </c>
      <c r="D63" s="55">
        <f>Project_CF!D24</f>
        <v>-3791.3</v>
      </c>
      <c r="E63" s="55">
        <f>Project_CF!E24</f>
        <v>1242.067912</v>
      </c>
      <c r="F63" s="55">
        <f>Project_CF!F24</f>
        <v>870.72697617599999</v>
      </c>
      <c r="G63" s="55">
        <f>Project_CF!G24</f>
        <v>866.24111022364809</v>
      </c>
      <c r="H63" s="55">
        <f>Project_CF!H24</f>
        <v>861.7093277632008</v>
      </c>
      <c r="I63" s="55">
        <f>Project_CF!I24</f>
        <v>830.47654859473062</v>
      </c>
      <c r="J63" s="55">
        <f>Project_CF!J24</f>
        <v>826.08122804007985</v>
      </c>
      <c r="K63" s="55">
        <f>Project_CF!K24</f>
        <v>821.63936267911424</v>
      </c>
      <c r="L63" s="55">
        <f>Project_CF!L24</f>
        <v>817.14993889249808</v>
      </c>
      <c r="M63" s="55">
        <f>Project_CF!M24</f>
        <v>812.61192295395472</v>
      </c>
      <c r="N63" s="55">
        <f>Project_CF!N24</f>
        <v>808.02426062779841</v>
      </c>
      <c r="O63" s="55">
        <f>Project_CF!O24</f>
        <v>803.38587675841427</v>
      </c>
      <c r="P63" s="55">
        <f>Project_CF!P24</f>
        <v>798.69567485153163</v>
      </c>
      <c r="Q63" s="55">
        <f>Project_CF!Q24</f>
        <v>793.95253664712027</v>
      </c>
      <c r="R63" s="55">
        <f>Project_CF!R24</f>
        <v>764.67604883197225</v>
      </c>
      <c r="S63" s="55">
        <f>Project_CF!S24</f>
        <v>760.0789863618993</v>
      </c>
      <c r="T63" s="55">
        <f>Project_CF!T24</f>
        <v>707.49743093357176</v>
      </c>
      <c r="U63" s="55">
        <f>Project_CF!U24</f>
        <v>703.31510104582867</v>
      </c>
      <c r="V63" s="55">
        <f>Project_CF!V24</f>
        <v>699.08319672424363</v>
      </c>
      <c r="W63" s="55">
        <f>Project_CF!W24</f>
        <v>694.8006583358117</v>
      </c>
      <c r="X63" s="55">
        <f>Project_CF!X24</f>
        <v>690.46640519115726</v>
      </c>
      <c r="Y63" s="55">
        <f>Project_CF!Y24</f>
        <v>0</v>
      </c>
      <c r="Z63" s="55">
        <f>Project_CF!Z24</f>
        <v>0</v>
      </c>
      <c r="AA63" s="55">
        <f>Project_CF!AA24</f>
        <v>0</v>
      </c>
      <c r="AB63" s="55">
        <f>Project_CF!AB24</f>
        <v>0</v>
      </c>
      <c r="AC63" s="55">
        <f>Project_CF!AC24</f>
        <v>0</v>
      </c>
      <c r="AD63" s="55">
        <f>Project_CF!AD24</f>
        <v>0</v>
      </c>
      <c r="AE63" s="55">
        <f>Project_CF!AE24</f>
        <v>0</v>
      </c>
      <c r="AF63" s="55">
        <f>Project_CF!AF24</f>
        <v>0</v>
      </c>
    </row>
    <row r="64" spans="1:32">
      <c r="A64" s="40" t="s">
        <v>701</v>
      </c>
      <c r="B64" s="40" t="s">
        <v>681</v>
      </c>
      <c r="C64" s="55">
        <f>Project_CF!C24</f>
        <v>-2690.6</v>
      </c>
      <c r="D64" s="55">
        <f>Project_CF!D24</f>
        <v>-3791.3</v>
      </c>
      <c r="E64" s="55">
        <f>Project_CF!E24</f>
        <v>1242.067912</v>
      </c>
      <c r="F64" s="55">
        <f>Project_CF!F24</f>
        <v>870.72697617599999</v>
      </c>
      <c r="G64" s="55">
        <f>Project_CF!G24</f>
        <v>866.24111022364809</v>
      </c>
      <c r="H64" s="55">
        <f>Project_CF!H24</f>
        <v>861.7093277632008</v>
      </c>
      <c r="I64" s="55">
        <f>Project_CF!I24</f>
        <v>830.47654859473062</v>
      </c>
      <c r="J64" s="55">
        <f>Project_CF!J24</f>
        <v>826.08122804007985</v>
      </c>
      <c r="K64" s="55">
        <f>Project_CF!K24</f>
        <v>821.63936267911424</v>
      </c>
      <c r="L64" s="55">
        <f>Project_CF!L24</f>
        <v>817.14993889249808</v>
      </c>
      <c r="M64" s="55">
        <f>Project_CF!M24</f>
        <v>812.61192295395472</v>
      </c>
      <c r="N64" s="55">
        <f>Project_CF!N24</f>
        <v>808.02426062779841</v>
      </c>
      <c r="O64" s="55">
        <f>Project_CF!O24</f>
        <v>803.38587675841427</v>
      </c>
      <c r="P64" s="55">
        <f>Project_CF!P24</f>
        <v>798.69567485153163</v>
      </c>
      <c r="Q64" s="55">
        <f>Project_CF!Q24</f>
        <v>793.95253664712027</v>
      </c>
      <c r="R64" s="55">
        <f>Project_CF!R24</f>
        <v>764.67604883197225</v>
      </c>
      <c r="S64" s="55">
        <f>Project_CF!S24</f>
        <v>760.0789863618993</v>
      </c>
      <c r="T64" s="55">
        <f>Project_CF!T24</f>
        <v>707.49743093357176</v>
      </c>
      <c r="U64" s="55">
        <f>Project_CF!U24</f>
        <v>703.31510104582867</v>
      </c>
      <c r="V64" s="55">
        <f>Project_CF!V24</f>
        <v>699.08319672424363</v>
      </c>
      <c r="W64" s="55">
        <f>Project_CF!W24</f>
        <v>694.8006583358117</v>
      </c>
      <c r="X64" s="55">
        <f>Project_CF!X24</f>
        <v>690.46640519115726</v>
      </c>
      <c r="Y64" s="55">
        <f>Project_CF!Y24</f>
        <v>0</v>
      </c>
      <c r="Z64" s="55">
        <f>Project_CF!Z24</f>
        <v>0</v>
      </c>
      <c r="AA64" s="55">
        <f>Project_CF!AA24</f>
        <v>0</v>
      </c>
      <c r="AB64" s="55">
        <f>Project_CF!AB24</f>
        <v>0</v>
      </c>
      <c r="AC64" s="55">
        <f>Project_CF!AC24</f>
        <v>0</v>
      </c>
      <c r="AD64" s="55">
        <f>Project_CF!AD24</f>
        <v>0</v>
      </c>
      <c r="AE64" s="55">
        <f>Project_CF!AE24</f>
        <v>0</v>
      </c>
      <c r="AF64" s="55">
        <f>Project_CF!AF24</f>
        <v>0</v>
      </c>
    </row>
    <row r="65" spans="1:32">
      <c r="A65" s="40"/>
      <c r="B65" s="40"/>
      <c r="C65" s="40"/>
      <c r="D65" s="40"/>
      <c r="E65" s="40"/>
      <c r="F65" s="40"/>
      <c r="G65" s="40"/>
      <c r="H65" s="40"/>
      <c r="I65" s="40"/>
      <c r="J65" s="40"/>
      <c r="K65" s="40"/>
      <c r="L65" s="40"/>
      <c r="M65" s="40"/>
      <c r="N65" s="40"/>
      <c r="O65" s="40"/>
      <c r="P65" s="40"/>
      <c r="Q65" s="40"/>
      <c r="R65" s="40"/>
      <c r="S65" s="40"/>
      <c r="T65" s="40"/>
      <c r="U65" s="40"/>
      <c r="V65" s="40"/>
      <c r="W65" s="40"/>
      <c r="X65" s="40"/>
      <c r="Y65" s="40"/>
      <c r="Z65" s="40"/>
      <c r="AA65" s="40"/>
      <c r="AB65" s="40"/>
      <c r="AC65" s="40"/>
      <c r="AD65" s="40"/>
      <c r="AE65" s="40"/>
      <c r="AF65" s="40"/>
    </row>
    <row r="66" spans="1:32">
      <c r="A66" s="40"/>
      <c r="B66" s="40"/>
      <c r="C66" s="40"/>
      <c r="D66" s="40"/>
      <c r="E66" s="40"/>
      <c r="F66" s="40"/>
      <c r="G66" s="40"/>
      <c r="H66" s="40"/>
      <c r="I66" s="40"/>
      <c r="J66" s="40"/>
      <c r="K66" s="40"/>
      <c r="L66" s="40"/>
      <c r="M66" s="40"/>
      <c r="N66" s="40"/>
      <c r="O66" s="40"/>
      <c r="P66" s="40"/>
      <c r="Q66" s="40"/>
      <c r="R66" s="40"/>
      <c r="S66" s="40"/>
      <c r="T66" s="40"/>
      <c r="U66" s="40"/>
      <c r="V66" s="40"/>
      <c r="W66" s="40"/>
      <c r="X66" s="40"/>
      <c r="Y66" s="40"/>
      <c r="Z66" s="40"/>
      <c r="AA66" s="40"/>
      <c r="AB66" s="40"/>
      <c r="AC66" s="40"/>
      <c r="AD66" s="40"/>
      <c r="AE66" s="40"/>
      <c r="AF66" s="40"/>
    </row>
    <row r="67" spans="1:32">
      <c r="A67" s="40"/>
      <c r="B67" s="40"/>
      <c r="C67" s="40"/>
      <c r="D67" s="40"/>
      <c r="E67" s="40"/>
      <c r="F67" s="40"/>
      <c r="G67" s="40"/>
      <c r="H67" s="40"/>
      <c r="I67" s="40"/>
      <c r="J67" s="40"/>
      <c r="K67" s="40"/>
      <c r="L67" s="40"/>
      <c r="M67" s="40"/>
      <c r="N67" s="40"/>
      <c r="O67" s="40"/>
      <c r="P67" s="40"/>
      <c r="Q67" s="40"/>
      <c r="R67" s="40"/>
      <c r="S67" s="40"/>
      <c r="T67" s="40"/>
      <c r="U67" s="40"/>
      <c r="V67" s="40"/>
      <c r="W67" s="40"/>
      <c r="X67" s="40"/>
      <c r="Y67" s="40"/>
      <c r="Z67" s="40"/>
      <c r="AA67" s="40"/>
      <c r="AB67" s="40"/>
      <c r="AC67" s="40"/>
      <c r="AD67" s="40"/>
      <c r="AE67" s="40"/>
      <c r="AF67" s="40"/>
    </row>
    <row r="68" spans="1:32">
      <c r="A68" s="40"/>
      <c r="B68" s="40"/>
      <c r="C68" s="40"/>
      <c r="D68" s="40"/>
      <c r="E68" s="40"/>
      <c r="F68" s="40"/>
      <c r="G68" s="40"/>
      <c r="H68" s="40"/>
      <c r="I68" s="40"/>
      <c r="J68" s="40"/>
      <c r="K68" s="40"/>
      <c r="L68" s="40"/>
      <c r="M68" s="40"/>
      <c r="N68" s="40"/>
      <c r="O68" s="40"/>
      <c r="P68" s="40"/>
      <c r="Q68" s="40"/>
      <c r="R68" s="40"/>
      <c r="S68" s="40"/>
      <c r="T68" s="40"/>
      <c r="U68" s="40"/>
      <c r="V68" s="40"/>
      <c r="W68" s="40"/>
      <c r="X68" s="40"/>
      <c r="Y68" s="40"/>
      <c r="Z68" s="40"/>
      <c r="AA68" s="40"/>
      <c r="AB68" s="40"/>
      <c r="AC68" s="40"/>
      <c r="AD68" s="40"/>
      <c r="AE68" s="40"/>
      <c r="AF68" s="40"/>
    </row>
    <row r="69" spans="1:32">
      <c r="A69" s="40"/>
      <c r="B69" s="40"/>
      <c r="C69" s="40"/>
      <c r="D69" s="40"/>
      <c r="E69" s="40"/>
      <c r="F69" s="40"/>
      <c r="G69" s="40"/>
      <c r="H69" s="40"/>
      <c r="I69" s="40"/>
      <c r="J69" s="40"/>
      <c r="K69" s="40"/>
      <c r="L69" s="40"/>
      <c r="M69" s="40"/>
      <c r="N69" s="40"/>
      <c r="O69" s="40"/>
      <c r="P69" s="40"/>
      <c r="Q69" s="40"/>
      <c r="R69" s="40"/>
      <c r="S69" s="40"/>
      <c r="T69" s="40"/>
      <c r="U69" s="40"/>
      <c r="V69" s="40"/>
      <c r="W69" s="40"/>
      <c r="X69" s="40"/>
      <c r="Y69" s="40"/>
      <c r="Z69" s="40"/>
      <c r="AA69" s="40"/>
      <c r="AB69" s="40"/>
      <c r="AC69" s="40"/>
      <c r="AD69" s="40"/>
      <c r="AE69" s="40"/>
      <c r="AF69" s="40"/>
    </row>
    <row r="70" spans="1:32">
      <c r="A70" s="40" t="s">
        <v>672</v>
      </c>
      <c r="B70" s="40" t="s">
        <v>702</v>
      </c>
      <c r="C70" s="55">
        <f>Equity_CF!C20+(Energy_Revenue!C14*-0.0999999999999999)*(1-Dep_Tax!C24)</f>
        <v>-1091.8332500000001</v>
      </c>
      <c r="D70" s="55">
        <f>Equity_CF!D20+(Energy_Revenue!D14*-0.0999999999999999)*(1-Dep_Tax!D24)</f>
        <v>-1507.6532500000003</v>
      </c>
      <c r="E70" s="55">
        <f>Equity_CF!E20+(Energy_Revenue!E14*-0.0999999999999999)*(1-Dep_Tax!E24)</f>
        <v>735.67362080000009</v>
      </c>
      <c r="F70" s="55">
        <f>Equity_CF!F20+(Energy_Revenue!F14*-0.0999999999999999)*(1-Dep_Tax!F24)</f>
        <v>79.165511891733445</v>
      </c>
      <c r="G70" s="55">
        <f>Equity_CF!G20+(Energy_Revenue!G14*-0.0999999999999999)*(1-Dep_Tax!G24)</f>
        <v>101.98857386795005</v>
      </c>
      <c r="H70" s="55">
        <f>Equity_CF!H20+(Energy_Revenue!H14*-0.0999999999999999)*(1-Dep_Tax!H24)</f>
        <v>124.76532114688085</v>
      </c>
      <c r="I70" s="55">
        <f>Equity_CF!I20+(Energy_Revenue!I14*-0.0999999999999999)*(1-Dep_Tax!I24)</f>
        <v>142.05413470513102</v>
      </c>
      <c r="J70" s="55">
        <f>Equity_CF!J20+(Energy_Revenue!J14*-0.0999999999999999)*(1-Dep_Tax!J24)</f>
        <v>163.60116311159271</v>
      </c>
      <c r="K70" s="55">
        <f>Equity_CF!K20+(Energy_Revenue!K14*-0.0999999999999999)*(1-Dep_Tax!K24)</f>
        <v>185.10127069715094</v>
      </c>
      <c r="L70" s="55">
        <f>Equity_CF!L20+(Energy_Revenue!L14*-0.0999999999999999)*(1-Dep_Tax!L24)</f>
        <v>206.55344459449864</v>
      </c>
      <c r="M70" s="55">
        <f>Equity_CF!M20+(Energy_Revenue!M14*-0.0999999999999999)*(1-Dep_Tax!M24)</f>
        <v>227.95665182788457</v>
      </c>
      <c r="N70" s="55">
        <f>Equity_CF!N20+(Energy_Revenue!N14*-0.0999999999999999)*(1-Dep_Tax!N24)</f>
        <v>249.30983891064704</v>
      </c>
      <c r="O70" s="55">
        <f>Equity_CF!O20+(Energy_Revenue!O14*-0.0999999999999999)*(1-Dep_Tax!O24)</f>
        <v>270.61193143469734</v>
      </c>
      <c r="P70" s="55">
        <f>Equity_CF!P20+(Energy_Revenue!P14*-0.0999999999999999)*(1-Dep_Tax!P24)</f>
        <v>291.86183365179545</v>
      </c>
      <c r="Q70" s="55">
        <f>Equity_CF!Q20+(Energy_Revenue!Q14*-0.0999999999999999)*(1-Dep_Tax!Q24)</f>
        <v>313.05842804645016</v>
      </c>
      <c r="R70" s="55">
        <f>Equity_CF!R20+(Energy_Revenue!R14*-0.0999999999999999)*(1-Dep_Tax!R24)</f>
        <v>318.6469904757036</v>
      </c>
      <c r="S70" s="55">
        <f>Equity_CF!S20+(Energy_Revenue!S14*-0.0999999999999999)*(1-Dep_Tax!S24)</f>
        <v>338.6237096890099</v>
      </c>
      <c r="T70" s="55">
        <f>Equity_CF!T20+(Energy_Revenue!T14*-0.0999999999999999)*(1-Dep_Tax!T24)</f>
        <v>323.0061614347195</v>
      </c>
      <c r="U70" s="55">
        <f>Equity_CF!U20+(Energy_Revenue!U14*-0.0999999999999999)*(1-Dep_Tax!U24)</f>
        <v>626.03323835263927</v>
      </c>
      <c r="V70" s="55">
        <f>Equity_CF!V20+(Energy_Revenue!V14*-0.0999999999999999)*(1-Dep_Tax!V24)</f>
        <v>621.95589775644066</v>
      </c>
      <c r="W70" s="55">
        <f>Equity_CF!W20+(Energy_Revenue!W14*-0.0999999999999999)*(1-Dep_Tax!W24)</f>
        <v>617.82761396594435</v>
      </c>
      <c r="X70" s="55">
        <f>Equity_CF!X20+(Energy_Revenue!X14*-0.0999999999999999)*(1-Dep_Tax!X24)</f>
        <v>613.64730691002967</v>
      </c>
      <c r="Y70" s="55">
        <f>Equity_CF!Y20+(Energy_Revenue!Y14*-0.0999999999999999)*(1-Dep_Tax!Y24)</f>
        <v>0</v>
      </c>
      <c r="Z70" s="55">
        <f>Equity_CF!Z20+(Energy_Revenue!Z14*-0.0999999999999999)*(1-Dep_Tax!Z24)</f>
        <v>0</v>
      </c>
      <c r="AA70" s="55">
        <f>Equity_CF!AA20+(Energy_Revenue!AA14*-0.0999999999999999)*(1-Dep_Tax!AA24)</f>
        <v>0</v>
      </c>
      <c r="AB70" s="55">
        <f>Equity_CF!AB20+(Energy_Revenue!AB14*-0.0999999999999999)*(1-Dep_Tax!AB24)</f>
        <v>0</v>
      </c>
      <c r="AC70" s="55">
        <f>Equity_CF!AC20+(Energy_Revenue!AC14*-0.0999999999999999)*(1-Dep_Tax!AC24)</f>
        <v>0</v>
      </c>
      <c r="AD70" s="55">
        <f>Equity_CF!AD20+(Energy_Revenue!AD14*-0.0999999999999999)*(1-Dep_Tax!AD24)</f>
        <v>0</v>
      </c>
      <c r="AE70" s="55">
        <f>Equity_CF!AE20+(Energy_Revenue!AE14*-0.0999999999999999)*(1-Dep_Tax!AE24)</f>
        <v>0</v>
      </c>
      <c r="AF70" s="55">
        <f>Equity_CF!AF20+(Energy_Revenue!AF14*-0.0999999999999999)*(1-Dep_Tax!AF24)</f>
        <v>0</v>
      </c>
    </row>
    <row r="71" spans="1:32">
      <c r="A71" s="40" t="s">
        <v>674</v>
      </c>
      <c r="B71" s="40" t="s">
        <v>703</v>
      </c>
      <c r="C71" s="55">
        <f>Equity_CF!C20+(Energy_Revenue!C14*-0.05)*(1-Dep_Tax!C24)</f>
        <v>-1091.8332500000001</v>
      </c>
      <c r="D71" s="55">
        <f>Equity_CF!D20+(Energy_Revenue!D14*-0.05)*(1-Dep_Tax!D24)</f>
        <v>-1507.6532500000003</v>
      </c>
      <c r="E71" s="55">
        <f>Equity_CF!E20+(Energy_Revenue!E14*-0.05)*(1-Dep_Tax!E24)</f>
        <v>785.54701639999996</v>
      </c>
      <c r="F71" s="55">
        <f>Equity_CF!F20+(Energy_Revenue!F14*-0.05)*(1-Dep_Tax!F24)</f>
        <v>128.93916070053334</v>
      </c>
      <c r="G71" s="55">
        <f>Equity_CF!G20+(Energy_Revenue!G14*-0.05)*(1-Dep_Tax!G24)</f>
        <v>151.66267537913234</v>
      </c>
      <c r="H71" s="55">
        <f>Equity_CF!H20+(Energy_Revenue!H14*-0.05)*(1-Dep_Tax!H24)</f>
        <v>174.34007445504079</v>
      </c>
      <c r="I71" s="55">
        <f>Equity_CF!I20+(Energy_Revenue!I14*-0.05)*(1-Dep_Tax!I24)</f>
        <v>189.05595831659744</v>
      </c>
      <c r="J71" s="55">
        <f>Equity_CF!J20+(Energy_Revenue!J14*-0.05)*(1-Dep_Tax!J24)</f>
        <v>210.5089830758362</v>
      </c>
      <c r="K71" s="55">
        <f>Equity_CF!K20+(Energy_Revenue!K14*-0.05)*(1-Dep_Tax!K24)</f>
        <v>231.91527502146593</v>
      </c>
      <c r="L71" s="55">
        <f>Equity_CF!L20+(Energy_Revenue!L14*-0.05)*(1-Dep_Tax!L24)</f>
        <v>253.273820910165</v>
      </c>
      <c r="M71" s="55">
        <f>Equity_CF!M20+(Energy_Revenue!M14*-0.05)*(1-Dep_Tax!M24)</f>
        <v>274.5835873909196</v>
      </c>
      <c r="N71" s="55">
        <f>Equity_CF!N20+(Energy_Revenue!N14*-0.05)*(1-Dep_Tax!N24)</f>
        <v>295.84352060255605</v>
      </c>
      <c r="O71" s="55">
        <f>Equity_CF!O20+(Energy_Revenue!O14*-0.05)*(1-Dep_Tax!O24)</f>
        <v>317.0525457632225</v>
      </c>
      <c r="P71" s="55">
        <f>Equity_CF!P20+(Energy_Revenue!P14*-0.05)*(1-Dep_Tax!P24)</f>
        <v>338.20956675166354</v>
      </c>
      <c r="Q71" s="55">
        <f>Equity_CF!Q20+(Energy_Revenue!Q14*-0.05)*(1-Dep_Tax!Q24)</f>
        <v>359.3134656801185</v>
      </c>
      <c r="R71" s="55">
        <f>Equity_CF!R20+(Energy_Revenue!R14*-0.05)*(1-Dep_Tax!R24)</f>
        <v>362.37991132050462</v>
      </c>
      <c r="S71" s="55">
        <f>Equity_CF!S20+(Energy_Revenue!S14*-0.05)*(1-Dep_Tax!S24)</f>
        <v>382.26916469212131</v>
      </c>
      <c r="T71" s="55">
        <f>Equity_CF!T20+(Energy_Revenue!T14*-0.05)*(1-Dep_Tax!T24)</f>
        <v>361.72452951747971</v>
      </c>
      <c r="U71" s="55">
        <f>Equity_CF!U20+(Energy_Revenue!U14*-0.05)*(1-Dep_Tax!U24)</f>
        <v>664.67416969923397</v>
      </c>
      <c r="V71" s="55">
        <f>Equity_CF!V20+(Energy_Revenue!V14*-0.05)*(1-Dep_Tax!V24)</f>
        <v>660.51954724034215</v>
      </c>
      <c r="W71" s="55">
        <f>Equity_CF!W20+(Energy_Revenue!W14*-0.05)*(1-Dep_Tax!W24)</f>
        <v>656.31413615087797</v>
      </c>
      <c r="X71" s="55">
        <f>Equity_CF!X20+(Energy_Revenue!X14*-0.05)*(1-Dep_Tax!X24)</f>
        <v>652.05685605059341</v>
      </c>
      <c r="Y71" s="55">
        <f>Equity_CF!Y20+(Energy_Revenue!Y14*-0.05)*(1-Dep_Tax!Y24)</f>
        <v>0</v>
      </c>
      <c r="Z71" s="55">
        <f>Equity_CF!Z20+(Energy_Revenue!Z14*-0.05)*(1-Dep_Tax!Z24)</f>
        <v>0</v>
      </c>
      <c r="AA71" s="55">
        <f>Equity_CF!AA20+(Energy_Revenue!AA14*-0.05)*(1-Dep_Tax!AA24)</f>
        <v>0</v>
      </c>
      <c r="AB71" s="55">
        <f>Equity_CF!AB20+(Energy_Revenue!AB14*-0.05)*(1-Dep_Tax!AB24)</f>
        <v>0</v>
      </c>
      <c r="AC71" s="55">
        <f>Equity_CF!AC20+(Energy_Revenue!AC14*-0.05)*(1-Dep_Tax!AC24)</f>
        <v>0</v>
      </c>
      <c r="AD71" s="55">
        <f>Equity_CF!AD20+(Energy_Revenue!AD14*-0.05)*(1-Dep_Tax!AD24)</f>
        <v>0</v>
      </c>
      <c r="AE71" s="55">
        <f>Equity_CF!AE20+(Energy_Revenue!AE14*-0.05)*(1-Dep_Tax!AE24)</f>
        <v>0</v>
      </c>
      <c r="AF71" s="55">
        <f>Equity_CF!AF20+(Energy_Revenue!AF14*-0.05)*(1-Dep_Tax!AF24)</f>
        <v>0</v>
      </c>
    </row>
    <row r="72" spans="1:32">
      <c r="A72" s="40" t="s">
        <v>676</v>
      </c>
      <c r="B72" s="40" t="s">
        <v>704</v>
      </c>
      <c r="C72" s="55">
        <f>Equity_CF!C20+(Energy_Revenue!C14*0)*(1-Dep_Tax!C24)</f>
        <v>-1091.8332500000001</v>
      </c>
      <c r="D72" s="55">
        <f>Equity_CF!D20+(Energy_Revenue!D14*0)*(1-Dep_Tax!D24)</f>
        <v>-1507.6532500000003</v>
      </c>
      <c r="E72" s="55">
        <f>Equity_CF!E20+(Energy_Revenue!E14*0)*(1-Dep_Tax!E24)</f>
        <v>835.42041199999994</v>
      </c>
      <c r="F72" s="55">
        <f>Equity_CF!F20+(Energy_Revenue!F14*0)*(1-Dep_Tax!F24)</f>
        <v>178.71280950933334</v>
      </c>
      <c r="G72" s="55">
        <f>Equity_CF!G20+(Energy_Revenue!G14*0)*(1-Dep_Tax!G24)</f>
        <v>201.33677689031475</v>
      </c>
      <c r="H72" s="55">
        <f>Equity_CF!H20+(Energy_Revenue!H14*0)*(1-Dep_Tax!H24)</f>
        <v>223.91482776320083</v>
      </c>
      <c r="I72" s="55">
        <f>Equity_CF!I20+(Energy_Revenue!I14*0)*(1-Dep_Tax!I24)</f>
        <v>236.05778192806397</v>
      </c>
      <c r="J72" s="55">
        <f>Equity_CF!J20+(Energy_Revenue!J14*0)*(1-Dep_Tax!J24)</f>
        <v>257.4168030400798</v>
      </c>
      <c r="K72" s="55">
        <f>Equity_CF!K20+(Energy_Revenue!K14*0)*(1-Dep_Tax!K24)</f>
        <v>278.72927934578104</v>
      </c>
      <c r="L72" s="55">
        <f>Equity_CF!L20+(Energy_Revenue!L14*0)*(1-Dep_Tax!L24)</f>
        <v>299.9941972258315</v>
      </c>
      <c r="M72" s="55">
        <f>Equity_CF!M20+(Energy_Revenue!M14*0)*(1-Dep_Tax!M24)</f>
        <v>321.21052295395475</v>
      </c>
      <c r="N72" s="55">
        <f>Equity_CF!N20+(Energy_Revenue!N14*0)*(1-Dep_Tax!N24)</f>
        <v>342.37720229446512</v>
      </c>
      <c r="O72" s="55">
        <f>Equity_CF!O20+(Energy_Revenue!O14*0)*(1-Dep_Tax!O24)</f>
        <v>363.49316009174777</v>
      </c>
      <c r="P72" s="55">
        <f>Equity_CF!P20+(Energy_Revenue!P14*0)*(1-Dep_Tax!P24)</f>
        <v>384.55729985153175</v>
      </c>
      <c r="Q72" s="55">
        <f>Equity_CF!Q20+(Energy_Revenue!Q14*0)*(1-Dep_Tax!Q24)</f>
        <v>405.56850331378701</v>
      </c>
      <c r="R72" s="55">
        <f>Equity_CF!R20+(Energy_Revenue!R14*0)*(1-Dep_Tax!R24)</f>
        <v>406.11283216530569</v>
      </c>
      <c r="S72" s="55">
        <f>Equity_CF!S20+(Energy_Revenue!S14*0)*(1-Dep_Tax!S24)</f>
        <v>425.91461969523277</v>
      </c>
      <c r="T72" s="55">
        <f>Equity_CF!T20+(Energy_Revenue!T14*0)*(1-Dep_Tax!T24)</f>
        <v>400.44289760023992</v>
      </c>
      <c r="U72" s="55">
        <f>Equity_CF!U20+(Energy_Revenue!U14*0)*(1-Dep_Tax!U24)</f>
        <v>703.31510104582867</v>
      </c>
      <c r="V72" s="55">
        <f>Equity_CF!V20+(Energy_Revenue!V14*0)*(1-Dep_Tax!V24)</f>
        <v>699.08319672424363</v>
      </c>
      <c r="W72" s="55">
        <f>Equity_CF!W20+(Energy_Revenue!W14*0)*(1-Dep_Tax!W24)</f>
        <v>694.8006583358117</v>
      </c>
      <c r="X72" s="55">
        <f>Equity_CF!X20+(Energy_Revenue!X14*0)*(1-Dep_Tax!X24)</f>
        <v>690.46640519115726</v>
      </c>
      <c r="Y72" s="55">
        <f>Equity_CF!Y20+(Energy_Revenue!Y14*0)*(1-Dep_Tax!Y24)</f>
        <v>0</v>
      </c>
      <c r="Z72" s="55">
        <f>Equity_CF!Z20+(Energy_Revenue!Z14*0)*(1-Dep_Tax!Z24)</f>
        <v>0</v>
      </c>
      <c r="AA72" s="55">
        <f>Equity_CF!AA20+(Energy_Revenue!AA14*0)*(1-Dep_Tax!AA24)</f>
        <v>0</v>
      </c>
      <c r="AB72" s="55">
        <f>Equity_CF!AB20+(Energy_Revenue!AB14*0)*(1-Dep_Tax!AB24)</f>
        <v>0</v>
      </c>
      <c r="AC72" s="55">
        <f>Equity_CF!AC20+(Energy_Revenue!AC14*0)*(1-Dep_Tax!AC24)</f>
        <v>0</v>
      </c>
      <c r="AD72" s="55">
        <f>Equity_CF!AD20+(Energy_Revenue!AD14*0)*(1-Dep_Tax!AD24)</f>
        <v>0</v>
      </c>
      <c r="AE72" s="55">
        <f>Equity_CF!AE20+(Energy_Revenue!AE14*0)*(1-Dep_Tax!AE24)</f>
        <v>0</v>
      </c>
      <c r="AF72" s="55">
        <f>Equity_CF!AF20+(Energy_Revenue!AF14*0)*(1-Dep_Tax!AF24)</f>
        <v>0</v>
      </c>
    </row>
    <row r="73" spans="1:32">
      <c r="A73" s="40" t="s">
        <v>678</v>
      </c>
      <c r="B73" s="40" t="s">
        <v>705</v>
      </c>
      <c r="C73" s="55">
        <f>Equity_CF!C20+(Energy_Revenue!C14*0.05)*(1-Dep_Tax!C24)</f>
        <v>-1091.8332500000001</v>
      </c>
      <c r="D73" s="55">
        <f>Equity_CF!D20+(Energy_Revenue!D14*0.05)*(1-Dep_Tax!D24)</f>
        <v>-1507.6532500000003</v>
      </c>
      <c r="E73" s="55">
        <f>Equity_CF!E20+(Energy_Revenue!E14*0.05)*(1-Dep_Tax!E24)</f>
        <v>885.29380759999992</v>
      </c>
      <c r="F73" s="55">
        <f>Equity_CF!F20+(Energy_Revenue!F14*0.05)*(1-Dep_Tax!F24)</f>
        <v>228.48645831813334</v>
      </c>
      <c r="G73" s="55">
        <f>Equity_CF!G20+(Energy_Revenue!G14*0.05)*(1-Dep_Tax!G24)</f>
        <v>251.01087840149717</v>
      </c>
      <c r="H73" s="55">
        <f>Equity_CF!H20+(Energy_Revenue!H14*0.05)*(1-Dep_Tax!H24)</f>
        <v>273.48958107136087</v>
      </c>
      <c r="I73" s="55">
        <f>Equity_CF!I20+(Energy_Revenue!I14*0.05)*(1-Dep_Tax!I24)</f>
        <v>283.05960553953048</v>
      </c>
      <c r="J73" s="55">
        <f>Equity_CF!J20+(Energy_Revenue!J14*0.05)*(1-Dep_Tax!J24)</f>
        <v>304.32462300432337</v>
      </c>
      <c r="K73" s="55">
        <f>Equity_CF!K20+(Energy_Revenue!K14*0.05)*(1-Dep_Tax!K24)</f>
        <v>325.54328367009612</v>
      </c>
      <c r="L73" s="55">
        <f>Equity_CF!L20+(Energy_Revenue!L14*0.05)*(1-Dep_Tax!L24)</f>
        <v>346.714573541498</v>
      </c>
      <c r="M73" s="55">
        <f>Equity_CF!M20+(Energy_Revenue!M14*0.05)*(1-Dep_Tax!M24)</f>
        <v>367.8374585169899</v>
      </c>
      <c r="N73" s="55">
        <f>Equity_CF!N20+(Energy_Revenue!N14*0.05)*(1-Dep_Tax!N24)</f>
        <v>388.91088398637419</v>
      </c>
      <c r="O73" s="55">
        <f>Equity_CF!O20+(Energy_Revenue!O14*0.05)*(1-Dep_Tax!O24)</f>
        <v>409.93377442027304</v>
      </c>
      <c r="P73" s="55">
        <f>Equity_CF!P20+(Energy_Revenue!P14*0.05)*(1-Dep_Tax!P24)</f>
        <v>430.90503295139996</v>
      </c>
      <c r="Q73" s="55">
        <f>Equity_CF!Q20+(Energy_Revenue!Q14*0.05)*(1-Dep_Tax!Q24)</f>
        <v>451.82354094745551</v>
      </c>
      <c r="R73" s="55">
        <f>Equity_CF!R20+(Energy_Revenue!R14*0.05)*(1-Dep_Tax!R24)</f>
        <v>449.84575301010676</v>
      </c>
      <c r="S73" s="55">
        <f>Equity_CF!S20+(Energy_Revenue!S14*0.05)*(1-Dep_Tax!S24)</f>
        <v>469.56007469834424</v>
      </c>
      <c r="T73" s="55">
        <f>Equity_CF!T20+(Energy_Revenue!T14*0.05)*(1-Dep_Tax!T24)</f>
        <v>439.16126568300012</v>
      </c>
      <c r="U73" s="55">
        <f>Equity_CF!U20+(Energy_Revenue!U14*0.05)*(1-Dep_Tax!U24)</f>
        <v>741.95603239242337</v>
      </c>
      <c r="V73" s="55">
        <f>Equity_CF!V20+(Energy_Revenue!V14*0.05)*(1-Dep_Tax!V24)</f>
        <v>737.64684620814512</v>
      </c>
      <c r="W73" s="55">
        <f>Equity_CF!W20+(Energy_Revenue!W14*0.05)*(1-Dep_Tax!W24)</f>
        <v>733.28718052074544</v>
      </c>
      <c r="X73" s="55">
        <f>Equity_CF!X20+(Energy_Revenue!X14*0.05)*(1-Dep_Tax!X24)</f>
        <v>728.87595433172112</v>
      </c>
      <c r="Y73" s="55">
        <f>Equity_CF!Y20+(Energy_Revenue!Y14*0.05)*(1-Dep_Tax!Y24)</f>
        <v>0</v>
      </c>
      <c r="Z73" s="55">
        <f>Equity_CF!Z20+(Energy_Revenue!Z14*0.05)*(1-Dep_Tax!Z24)</f>
        <v>0</v>
      </c>
      <c r="AA73" s="55">
        <f>Equity_CF!AA20+(Energy_Revenue!AA14*0.05)*(1-Dep_Tax!AA24)</f>
        <v>0</v>
      </c>
      <c r="AB73" s="55">
        <f>Equity_CF!AB20+(Energy_Revenue!AB14*0.05)*(1-Dep_Tax!AB24)</f>
        <v>0</v>
      </c>
      <c r="AC73" s="55">
        <f>Equity_CF!AC20+(Energy_Revenue!AC14*0.05)*(1-Dep_Tax!AC24)</f>
        <v>0</v>
      </c>
      <c r="AD73" s="55">
        <f>Equity_CF!AD20+(Energy_Revenue!AD14*0.05)*(1-Dep_Tax!AD24)</f>
        <v>0</v>
      </c>
      <c r="AE73" s="55">
        <f>Equity_CF!AE20+(Energy_Revenue!AE14*0.05)*(1-Dep_Tax!AE24)</f>
        <v>0</v>
      </c>
      <c r="AF73" s="55">
        <f>Equity_CF!AF20+(Energy_Revenue!AF14*0.05)*(1-Dep_Tax!AF24)</f>
        <v>0</v>
      </c>
    </row>
    <row r="74" spans="1:32">
      <c r="A74" s="40" t="s">
        <v>680</v>
      </c>
      <c r="B74" s="40" t="s">
        <v>706</v>
      </c>
      <c r="C74" s="55">
        <f>Equity_CF!C20+(Energy_Revenue!C14*0.1)*(1-Dep_Tax!C24)</f>
        <v>-1091.8332500000001</v>
      </c>
      <c r="D74" s="55">
        <f>Equity_CF!D20+(Energy_Revenue!D14*0.1)*(1-Dep_Tax!D24)</f>
        <v>-1507.6532500000003</v>
      </c>
      <c r="E74" s="55">
        <f>Equity_CF!E20+(Energy_Revenue!E14*0.1)*(1-Dep_Tax!E24)</f>
        <v>935.1672031999999</v>
      </c>
      <c r="F74" s="55">
        <f>Equity_CF!F20+(Energy_Revenue!F14*0.1)*(1-Dep_Tax!F24)</f>
        <v>278.26010712693335</v>
      </c>
      <c r="G74" s="55">
        <f>Equity_CF!G20+(Energy_Revenue!G14*0.1)*(1-Dep_Tax!G24)</f>
        <v>300.68497991267958</v>
      </c>
      <c r="H74" s="55">
        <f>Equity_CF!H20+(Energy_Revenue!H14*0.1)*(1-Dep_Tax!H24)</f>
        <v>323.06433437952091</v>
      </c>
      <c r="I74" s="55">
        <f>Equity_CF!I20+(Energy_Revenue!I14*0.1)*(1-Dep_Tax!I24)</f>
        <v>330.06142915099701</v>
      </c>
      <c r="J74" s="55">
        <f>Equity_CF!J20+(Energy_Revenue!J14*0.1)*(1-Dep_Tax!J24)</f>
        <v>351.232442968567</v>
      </c>
      <c r="K74" s="55">
        <f>Equity_CF!K20+(Energy_Revenue!K14*0.1)*(1-Dep_Tax!K24)</f>
        <v>372.35728799441125</v>
      </c>
      <c r="L74" s="55">
        <f>Equity_CF!L20+(Energy_Revenue!L14*0.1)*(1-Dep_Tax!L24)</f>
        <v>393.4349498571645</v>
      </c>
      <c r="M74" s="55">
        <f>Equity_CF!M20+(Energy_Revenue!M14*0.1)*(1-Dep_Tax!M24)</f>
        <v>414.46439408002504</v>
      </c>
      <c r="N74" s="55">
        <f>Equity_CF!N20+(Energy_Revenue!N14*0.1)*(1-Dep_Tax!N24)</f>
        <v>435.44456567828331</v>
      </c>
      <c r="O74" s="55">
        <f>Equity_CF!O20+(Energy_Revenue!O14*0.1)*(1-Dep_Tax!O24)</f>
        <v>456.37438874879831</v>
      </c>
      <c r="P74" s="55">
        <f>Equity_CF!P20+(Energy_Revenue!P14*0.1)*(1-Dep_Tax!P24)</f>
        <v>477.25276605126817</v>
      </c>
      <c r="Q74" s="55">
        <f>Equity_CF!Q20+(Energy_Revenue!Q14*0.1)*(1-Dep_Tax!Q24)</f>
        <v>498.07857858112396</v>
      </c>
      <c r="R74" s="55">
        <f>Equity_CF!R20+(Energy_Revenue!R14*0.1)*(1-Dep_Tax!R24)</f>
        <v>493.57867385490783</v>
      </c>
      <c r="S74" s="55">
        <f>Equity_CF!S20+(Energy_Revenue!S14*0.1)*(1-Dep_Tax!S24)</f>
        <v>513.2055297014557</v>
      </c>
      <c r="T74" s="55">
        <f>Equity_CF!T20+(Energy_Revenue!T14*0.1)*(1-Dep_Tax!T24)</f>
        <v>477.87963376576039</v>
      </c>
      <c r="U74" s="55">
        <f>Equity_CF!U20+(Energy_Revenue!U14*0.1)*(1-Dep_Tax!U24)</f>
        <v>780.59696373901807</v>
      </c>
      <c r="V74" s="55">
        <f>Equity_CF!V20+(Energy_Revenue!V14*0.1)*(1-Dep_Tax!V24)</f>
        <v>776.21049569204672</v>
      </c>
      <c r="W74" s="55">
        <f>Equity_CF!W20+(Energy_Revenue!W14*0.1)*(1-Dep_Tax!W24)</f>
        <v>771.77370270567917</v>
      </c>
      <c r="X74" s="55">
        <f>Equity_CF!X20+(Energy_Revenue!X14*0.1)*(1-Dep_Tax!X24)</f>
        <v>767.28550347228497</v>
      </c>
      <c r="Y74" s="55">
        <f>Equity_CF!Y20+(Energy_Revenue!Y14*0.1)*(1-Dep_Tax!Y24)</f>
        <v>0</v>
      </c>
      <c r="Z74" s="55">
        <f>Equity_CF!Z20+(Energy_Revenue!Z14*0.1)*(1-Dep_Tax!Z24)</f>
        <v>0</v>
      </c>
      <c r="AA74" s="55">
        <f>Equity_CF!AA20+(Energy_Revenue!AA14*0.1)*(1-Dep_Tax!AA24)</f>
        <v>0</v>
      </c>
      <c r="AB74" s="55">
        <f>Equity_CF!AB20+(Energy_Revenue!AB14*0.1)*(1-Dep_Tax!AB24)</f>
        <v>0</v>
      </c>
      <c r="AC74" s="55">
        <f>Equity_CF!AC20+(Energy_Revenue!AC14*0.1)*(1-Dep_Tax!AC24)</f>
        <v>0</v>
      </c>
      <c r="AD74" s="55">
        <f>Equity_CF!AD20+(Energy_Revenue!AD14*0.1)*(1-Dep_Tax!AD24)</f>
        <v>0</v>
      </c>
      <c r="AE74" s="55">
        <f>Equity_CF!AE20+(Energy_Revenue!AE14*0.1)*(1-Dep_Tax!AE24)</f>
        <v>0</v>
      </c>
      <c r="AF74" s="55">
        <f>Equity_CF!AF20+(Energy_Revenue!AF14*0.1)*(1-Dep_Tax!AF24)</f>
        <v>0</v>
      </c>
    </row>
    <row r="75" spans="1:32">
      <c r="A75" s="40" t="s">
        <v>682</v>
      </c>
      <c r="B75" s="40" t="s">
        <v>702</v>
      </c>
      <c r="C75" s="55">
        <f>Equity_CF!C20+(Energy_Revenue!C14*-0.0999999999999999)*(1-Dep_Tax!C24)</f>
        <v>-1091.8332500000001</v>
      </c>
      <c r="D75" s="55">
        <f>Equity_CF!D20+(Energy_Revenue!D14*-0.0999999999999999)*(1-Dep_Tax!D24)</f>
        <v>-1507.6532500000003</v>
      </c>
      <c r="E75" s="55">
        <f>Equity_CF!E20+(Energy_Revenue!E14*-0.0999999999999999)*(1-Dep_Tax!E24)</f>
        <v>735.67362080000009</v>
      </c>
      <c r="F75" s="55">
        <f>Equity_CF!F20+(Energy_Revenue!F14*-0.0999999999999999)*(1-Dep_Tax!F24)</f>
        <v>79.165511891733445</v>
      </c>
      <c r="G75" s="55">
        <f>Equity_CF!G20+(Energy_Revenue!G14*-0.0999999999999999)*(1-Dep_Tax!G24)</f>
        <v>101.98857386795005</v>
      </c>
      <c r="H75" s="55">
        <f>Equity_CF!H20+(Energy_Revenue!H14*-0.0999999999999999)*(1-Dep_Tax!H24)</f>
        <v>124.76532114688085</v>
      </c>
      <c r="I75" s="55">
        <f>Equity_CF!I20+(Energy_Revenue!I14*-0.0999999999999999)*(1-Dep_Tax!I24)</f>
        <v>142.05413470513102</v>
      </c>
      <c r="J75" s="55">
        <f>Equity_CF!J20+(Energy_Revenue!J14*-0.0999999999999999)*(1-Dep_Tax!J24)</f>
        <v>163.60116311159271</v>
      </c>
      <c r="K75" s="55">
        <f>Equity_CF!K20+(Energy_Revenue!K14*-0.0999999999999999)*(1-Dep_Tax!K24)</f>
        <v>185.10127069715094</v>
      </c>
      <c r="L75" s="55">
        <f>Equity_CF!L20+(Energy_Revenue!L14*-0.0999999999999999)*(1-Dep_Tax!L24)</f>
        <v>206.55344459449864</v>
      </c>
      <c r="M75" s="55">
        <f>Equity_CF!M20+(Energy_Revenue!M14*-0.0999999999999999)*(1-Dep_Tax!M24)</f>
        <v>227.95665182788457</v>
      </c>
      <c r="N75" s="55">
        <f>Equity_CF!N20+(Energy_Revenue!N14*-0.0999999999999999)*(1-Dep_Tax!N24)</f>
        <v>249.30983891064704</v>
      </c>
      <c r="O75" s="55">
        <f>Equity_CF!O20+(Energy_Revenue!O14*-0.0999999999999999)*(1-Dep_Tax!O24)</f>
        <v>270.61193143469734</v>
      </c>
      <c r="P75" s="55">
        <f>Equity_CF!P20+(Energy_Revenue!P14*-0.0999999999999999)*(1-Dep_Tax!P24)</f>
        <v>291.86183365179545</v>
      </c>
      <c r="Q75" s="55">
        <f>Equity_CF!Q20+(Energy_Revenue!Q14*-0.0999999999999999)*(1-Dep_Tax!Q24)</f>
        <v>313.05842804645016</v>
      </c>
      <c r="R75" s="55">
        <f>Equity_CF!R20+(Energy_Revenue!R14*-0.0999999999999999)*(1-Dep_Tax!R24)</f>
        <v>318.6469904757036</v>
      </c>
      <c r="S75" s="55">
        <f>Equity_CF!S20+(Energy_Revenue!S14*-0.0999999999999999)*(1-Dep_Tax!S24)</f>
        <v>338.6237096890099</v>
      </c>
      <c r="T75" s="55">
        <f>Equity_CF!T20+(Energy_Revenue!T14*-0.0999999999999999)*(1-Dep_Tax!T24)</f>
        <v>323.0061614347195</v>
      </c>
      <c r="U75" s="55">
        <f>Equity_CF!U20+(Energy_Revenue!U14*-0.0999999999999999)*(1-Dep_Tax!U24)</f>
        <v>626.03323835263927</v>
      </c>
      <c r="V75" s="55">
        <f>Equity_CF!V20+(Energy_Revenue!V14*-0.0999999999999999)*(1-Dep_Tax!V24)</f>
        <v>621.95589775644066</v>
      </c>
      <c r="W75" s="55">
        <f>Equity_CF!W20+(Energy_Revenue!W14*-0.0999999999999999)*(1-Dep_Tax!W24)</f>
        <v>617.82761396594435</v>
      </c>
      <c r="X75" s="55">
        <f>Equity_CF!X20+(Energy_Revenue!X14*-0.0999999999999999)*(1-Dep_Tax!X24)</f>
        <v>613.64730691002967</v>
      </c>
      <c r="Y75" s="55">
        <f>Equity_CF!Y20+(Energy_Revenue!Y14*-0.0999999999999999)*(1-Dep_Tax!Y24)</f>
        <v>0</v>
      </c>
      <c r="Z75" s="55">
        <f>Equity_CF!Z20+(Energy_Revenue!Z14*-0.0999999999999999)*(1-Dep_Tax!Z24)</f>
        <v>0</v>
      </c>
      <c r="AA75" s="55">
        <f>Equity_CF!AA20+(Energy_Revenue!AA14*-0.0999999999999999)*(1-Dep_Tax!AA24)</f>
        <v>0</v>
      </c>
      <c r="AB75" s="55">
        <f>Equity_CF!AB20+(Energy_Revenue!AB14*-0.0999999999999999)*(1-Dep_Tax!AB24)</f>
        <v>0</v>
      </c>
      <c r="AC75" s="55">
        <f>Equity_CF!AC20+(Energy_Revenue!AC14*-0.0999999999999999)*(1-Dep_Tax!AC24)</f>
        <v>0</v>
      </c>
      <c r="AD75" s="55">
        <f>Equity_CF!AD20+(Energy_Revenue!AD14*-0.0999999999999999)*(1-Dep_Tax!AD24)</f>
        <v>0</v>
      </c>
      <c r="AE75" s="55">
        <f>Equity_CF!AE20+(Energy_Revenue!AE14*-0.0999999999999999)*(1-Dep_Tax!AE24)</f>
        <v>0</v>
      </c>
      <c r="AF75" s="55">
        <f>Equity_CF!AF20+(Energy_Revenue!AF14*-0.0999999999999999)*(1-Dep_Tax!AF24)</f>
        <v>0</v>
      </c>
    </row>
    <row r="76" spans="1:32">
      <c r="A76" s="40" t="s">
        <v>683</v>
      </c>
      <c r="B76" s="40" t="s">
        <v>703</v>
      </c>
      <c r="C76" s="55">
        <f>Equity_CF!C20+(Energy_Revenue!C14*-0.05)*(1-Dep_Tax!C24)</f>
        <v>-1091.8332500000001</v>
      </c>
      <c r="D76" s="55">
        <f>Equity_CF!D20+(Energy_Revenue!D14*-0.05)*(1-Dep_Tax!D24)</f>
        <v>-1507.6532500000003</v>
      </c>
      <c r="E76" s="55">
        <f>Equity_CF!E20+(Energy_Revenue!E14*-0.05)*(1-Dep_Tax!E24)</f>
        <v>785.54701639999996</v>
      </c>
      <c r="F76" s="55">
        <f>Equity_CF!F20+(Energy_Revenue!F14*-0.05)*(1-Dep_Tax!F24)</f>
        <v>128.93916070053334</v>
      </c>
      <c r="G76" s="55">
        <f>Equity_CF!G20+(Energy_Revenue!G14*-0.05)*(1-Dep_Tax!G24)</f>
        <v>151.66267537913234</v>
      </c>
      <c r="H76" s="55">
        <f>Equity_CF!H20+(Energy_Revenue!H14*-0.05)*(1-Dep_Tax!H24)</f>
        <v>174.34007445504079</v>
      </c>
      <c r="I76" s="55">
        <f>Equity_CF!I20+(Energy_Revenue!I14*-0.05)*(1-Dep_Tax!I24)</f>
        <v>189.05595831659744</v>
      </c>
      <c r="J76" s="55">
        <f>Equity_CF!J20+(Energy_Revenue!J14*-0.05)*(1-Dep_Tax!J24)</f>
        <v>210.5089830758362</v>
      </c>
      <c r="K76" s="55">
        <f>Equity_CF!K20+(Energy_Revenue!K14*-0.05)*(1-Dep_Tax!K24)</f>
        <v>231.91527502146593</v>
      </c>
      <c r="L76" s="55">
        <f>Equity_CF!L20+(Energy_Revenue!L14*-0.05)*(1-Dep_Tax!L24)</f>
        <v>253.273820910165</v>
      </c>
      <c r="M76" s="55">
        <f>Equity_CF!M20+(Energy_Revenue!M14*-0.05)*(1-Dep_Tax!M24)</f>
        <v>274.5835873909196</v>
      </c>
      <c r="N76" s="55">
        <f>Equity_CF!N20+(Energy_Revenue!N14*-0.05)*(1-Dep_Tax!N24)</f>
        <v>295.84352060255605</v>
      </c>
      <c r="O76" s="55">
        <f>Equity_CF!O20+(Energy_Revenue!O14*-0.05)*(1-Dep_Tax!O24)</f>
        <v>317.0525457632225</v>
      </c>
      <c r="P76" s="55">
        <f>Equity_CF!P20+(Energy_Revenue!P14*-0.05)*(1-Dep_Tax!P24)</f>
        <v>338.20956675166354</v>
      </c>
      <c r="Q76" s="55">
        <f>Equity_CF!Q20+(Energy_Revenue!Q14*-0.05)*(1-Dep_Tax!Q24)</f>
        <v>359.3134656801185</v>
      </c>
      <c r="R76" s="55">
        <f>Equity_CF!R20+(Energy_Revenue!R14*-0.05)*(1-Dep_Tax!R24)</f>
        <v>362.37991132050462</v>
      </c>
      <c r="S76" s="55">
        <f>Equity_CF!S20+(Energy_Revenue!S14*-0.05)*(1-Dep_Tax!S24)</f>
        <v>382.26916469212131</v>
      </c>
      <c r="T76" s="55">
        <f>Equity_CF!T20+(Energy_Revenue!T14*-0.05)*(1-Dep_Tax!T24)</f>
        <v>361.72452951747971</v>
      </c>
      <c r="U76" s="55">
        <f>Equity_CF!U20+(Energy_Revenue!U14*-0.05)*(1-Dep_Tax!U24)</f>
        <v>664.67416969923397</v>
      </c>
      <c r="V76" s="55">
        <f>Equity_CF!V20+(Energy_Revenue!V14*-0.05)*(1-Dep_Tax!V24)</f>
        <v>660.51954724034215</v>
      </c>
      <c r="W76" s="55">
        <f>Equity_CF!W20+(Energy_Revenue!W14*-0.05)*(1-Dep_Tax!W24)</f>
        <v>656.31413615087797</v>
      </c>
      <c r="X76" s="55">
        <f>Equity_CF!X20+(Energy_Revenue!X14*-0.05)*(1-Dep_Tax!X24)</f>
        <v>652.05685605059341</v>
      </c>
      <c r="Y76" s="55">
        <f>Equity_CF!Y20+(Energy_Revenue!Y14*-0.05)*(1-Dep_Tax!Y24)</f>
        <v>0</v>
      </c>
      <c r="Z76" s="55">
        <f>Equity_CF!Z20+(Energy_Revenue!Z14*-0.05)*(1-Dep_Tax!Z24)</f>
        <v>0</v>
      </c>
      <c r="AA76" s="55">
        <f>Equity_CF!AA20+(Energy_Revenue!AA14*-0.05)*(1-Dep_Tax!AA24)</f>
        <v>0</v>
      </c>
      <c r="AB76" s="55">
        <f>Equity_CF!AB20+(Energy_Revenue!AB14*-0.05)*(1-Dep_Tax!AB24)</f>
        <v>0</v>
      </c>
      <c r="AC76" s="55">
        <f>Equity_CF!AC20+(Energy_Revenue!AC14*-0.05)*(1-Dep_Tax!AC24)</f>
        <v>0</v>
      </c>
      <c r="AD76" s="55">
        <f>Equity_CF!AD20+(Energy_Revenue!AD14*-0.05)*(1-Dep_Tax!AD24)</f>
        <v>0</v>
      </c>
      <c r="AE76" s="55">
        <f>Equity_CF!AE20+(Energy_Revenue!AE14*-0.05)*(1-Dep_Tax!AE24)</f>
        <v>0</v>
      </c>
      <c r="AF76" s="55">
        <f>Equity_CF!AF20+(Energy_Revenue!AF14*-0.05)*(1-Dep_Tax!AF24)</f>
        <v>0</v>
      </c>
    </row>
    <row r="77" spans="1:32">
      <c r="A77" s="40" t="s">
        <v>684</v>
      </c>
      <c r="B77" s="40" t="s">
        <v>704</v>
      </c>
      <c r="C77" s="55">
        <f>Equity_CF!C20+(Energy_Revenue!C14*0)*(1-Dep_Tax!C24)</f>
        <v>-1091.8332500000001</v>
      </c>
      <c r="D77" s="55">
        <f>Equity_CF!D20+(Energy_Revenue!D14*0)*(1-Dep_Tax!D24)</f>
        <v>-1507.6532500000003</v>
      </c>
      <c r="E77" s="55">
        <f>Equity_CF!E20+(Energy_Revenue!E14*0)*(1-Dep_Tax!E24)</f>
        <v>835.42041199999994</v>
      </c>
      <c r="F77" s="55">
        <f>Equity_CF!F20+(Energy_Revenue!F14*0)*(1-Dep_Tax!F24)</f>
        <v>178.71280950933334</v>
      </c>
      <c r="G77" s="55">
        <f>Equity_CF!G20+(Energy_Revenue!G14*0)*(1-Dep_Tax!G24)</f>
        <v>201.33677689031475</v>
      </c>
      <c r="H77" s="55">
        <f>Equity_CF!H20+(Energy_Revenue!H14*0)*(1-Dep_Tax!H24)</f>
        <v>223.91482776320083</v>
      </c>
      <c r="I77" s="55">
        <f>Equity_CF!I20+(Energy_Revenue!I14*0)*(1-Dep_Tax!I24)</f>
        <v>236.05778192806397</v>
      </c>
      <c r="J77" s="55">
        <f>Equity_CF!J20+(Energy_Revenue!J14*0)*(1-Dep_Tax!J24)</f>
        <v>257.4168030400798</v>
      </c>
      <c r="K77" s="55">
        <f>Equity_CF!K20+(Energy_Revenue!K14*0)*(1-Dep_Tax!K24)</f>
        <v>278.72927934578104</v>
      </c>
      <c r="L77" s="55">
        <f>Equity_CF!L20+(Energy_Revenue!L14*0)*(1-Dep_Tax!L24)</f>
        <v>299.9941972258315</v>
      </c>
      <c r="M77" s="55">
        <f>Equity_CF!M20+(Energy_Revenue!M14*0)*(1-Dep_Tax!M24)</f>
        <v>321.21052295395475</v>
      </c>
      <c r="N77" s="55">
        <f>Equity_CF!N20+(Energy_Revenue!N14*0)*(1-Dep_Tax!N24)</f>
        <v>342.37720229446512</v>
      </c>
      <c r="O77" s="55">
        <f>Equity_CF!O20+(Energy_Revenue!O14*0)*(1-Dep_Tax!O24)</f>
        <v>363.49316009174777</v>
      </c>
      <c r="P77" s="55">
        <f>Equity_CF!P20+(Energy_Revenue!P14*0)*(1-Dep_Tax!P24)</f>
        <v>384.55729985153175</v>
      </c>
      <c r="Q77" s="55">
        <f>Equity_CF!Q20+(Energy_Revenue!Q14*0)*(1-Dep_Tax!Q24)</f>
        <v>405.56850331378701</v>
      </c>
      <c r="R77" s="55">
        <f>Equity_CF!R20+(Energy_Revenue!R14*0)*(1-Dep_Tax!R24)</f>
        <v>406.11283216530569</v>
      </c>
      <c r="S77" s="55">
        <f>Equity_CF!S20+(Energy_Revenue!S14*0)*(1-Dep_Tax!S24)</f>
        <v>425.91461969523277</v>
      </c>
      <c r="T77" s="55">
        <f>Equity_CF!T20+(Energy_Revenue!T14*0)*(1-Dep_Tax!T24)</f>
        <v>400.44289760023992</v>
      </c>
      <c r="U77" s="55">
        <f>Equity_CF!U20+(Energy_Revenue!U14*0)*(1-Dep_Tax!U24)</f>
        <v>703.31510104582867</v>
      </c>
      <c r="V77" s="55">
        <f>Equity_CF!V20+(Energy_Revenue!V14*0)*(1-Dep_Tax!V24)</f>
        <v>699.08319672424363</v>
      </c>
      <c r="W77" s="55">
        <f>Equity_CF!W20+(Energy_Revenue!W14*0)*(1-Dep_Tax!W24)</f>
        <v>694.8006583358117</v>
      </c>
      <c r="X77" s="55">
        <f>Equity_CF!X20+(Energy_Revenue!X14*0)*(1-Dep_Tax!X24)</f>
        <v>690.46640519115726</v>
      </c>
      <c r="Y77" s="55">
        <f>Equity_CF!Y20+(Energy_Revenue!Y14*0)*(1-Dep_Tax!Y24)</f>
        <v>0</v>
      </c>
      <c r="Z77" s="55">
        <f>Equity_CF!Z20+(Energy_Revenue!Z14*0)*(1-Dep_Tax!Z24)</f>
        <v>0</v>
      </c>
      <c r="AA77" s="55">
        <f>Equity_CF!AA20+(Energy_Revenue!AA14*0)*(1-Dep_Tax!AA24)</f>
        <v>0</v>
      </c>
      <c r="AB77" s="55">
        <f>Equity_CF!AB20+(Energy_Revenue!AB14*0)*(1-Dep_Tax!AB24)</f>
        <v>0</v>
      </c>
      <c r="AC77" s="55">
        <f>Equity_CF!AC20+(Energy_Revenue!AC14*0)*(1-Dep_Tax!AC24)</f>
        <v>0</v>
      </c>
      <c r="AD77" s="55">
        <f>Equity_CF!AD20+(Energy_Revenue!AD14*0)*(1-Dep_Tax!AD24)</f>
        <v>0</v>
      </c>
      <c r="AE77" s="55">
        <f>Equity_CF!AE20+(Energy_Revenue!AE14*0)*(1-Dep_Tax!AE24)</f>
        <v>0</v>
      </c>
      <c r="AF77" s="55">
        <f>Equity_CF!AF20+(Energy_Revenue!AF14*0)*(1-Dep_Tax!AF24)</f>
        <v>0</v>
      </c>
    </row>
    <row r="78" spans="1:32">
      <c r="A78" s="40" t="s">
        <v>685</v>
      </c>
      <c r="B78" s="40" t="s">
        <v>705</v>
      </c>
      <c r="C78" s="55">
        <f>Equity_CF!C20+(Energy_Revenue!C14*0.05)*(1-Dep_Tax!C24)</f>
        <v>-1091.8332500000001</v>
      </c>
      <c r="D78" s="55">
        <f>Equity_CF!D20+(Energy_Revenue!D14*0.05)*(1-Dep_Tax!D24)</f>
        <v>-1507.6532500000003</v>
      </c>
      <c r="E78" s="55">
        <f>Equity_CF!E20+(Energy_Revenue!E14*0.05)*(1-Dep_Tax!E24)</f>
        <v>885.29380759999992</v>
      </c>
      <c r="F78" s="55">
        <f>Equity_CF!F20+(Energy_Revenue!F14*0.05)*(1-Dep_Tax!F24)</f>
        <v>228.48645831813334</v>
      </c>
      <c r="G78" s="55">
        <f>Equity_CF!G20+(Energy_Revenue!G14*0.05)*(1-Dep_Tax!G24)</f>
        <v>251.01087840149717</v>
      </c>
      <c r="H78" s="55">
        <f>Equity_CF!H20+(Energy_Revenue!H14*0.05)*(1-Dep_Tax!H24)</f>
        <v>273.48958107136087</v>
      </c>
      <c r="I78" s="55">
        <f>Equity_CF!I20+(Energy_Revenue!I14*0.05)*(1-Dep_Tax!I24)</f>
        <v>283.05960553953048</v>
      </c>
      <c r="J78" s="55">
        <f>Equity_CF!J20+(Energy_Revenue!J14*0.05)*(1-Dep_Tax!J24)</f>
        <v>304.32462300432337</v>
      </c>
      <c r="K78" s="55">
        <f>Equity_CF!K20+(Energy_Revenue!K14*0.05)*(1-Dep_Tax!K24)</f>
        <v>325.54328367009612</v>
      </c>
      <c r="L78" s="55">
        <f>Equity_CF!L20+(Energy_Revenue!L14*0.05)*(1-Dep_Tax!L24)</f>
        <v>346.714573541498</v>
      </c>
      <c r="M78" s="55">
        <f>Equity_CF!M20+(Energy_Revenue!M14*0.05)*(1-Dep_Tax!M24)</f>
        <v>367.8374585169899</v>
      </c>
      <c r="N78" s="55">
        <f>Equity_CF!N20+(Energy_Revenue!N14*0.05)*(1-Dep_Tax!N24)</f>
        <v>388.91088398637419</v>
      </c>
      <c r="O78" s="55">
        <f>Equity_CF!O20+(Energy_Revenue!O14*0.05)*(1-Dep_Tax!O24)</f>
        <v>409.93377442027304</v>
      </c>
      <c r="P78" s="55">
        <f>Equity_CF!P20+(Energy_Revenue!P14*0.05)*(1-Dep_Tax!P24)</f>
        <v>430.90503295139996</v>
      </c>
      <c r="Q78" s="55">
        <f>Equity_CF!Q20+(Energy_Revenue!Q14*0.05)*(1-Dep_Tax!Q24)</f>
        <v>451.82354094745551</v>
      </c>
      <c r="R78" s="55">
        <f>Equity_CF!R20+(Energy_Revenue!R14*0.05)*(1-Dep_Tax!R24)</f>
        <v>449.84575301010676</v>
      </c>
      <c r="S78" s="55">
        <f>Equity_CF!S20+(Energy_Revenue!S14*0.05)*(1-Dep_Tax!S24)</f>
        <v>469.56007469834424</v>
      </c>
      <c r="T78" s="55">
        <f>Equity_CF!T20+(Energy_Revenue!T14*0.05)*(1-Dep_Tax!T24)</f>
        <v>439.16126568300012</v>
      </c>
      <c r="U78" s="55">
        <f>Equity_CF!U20+(Energy_Revenue!U14*0.05)*(1-Dep_Tax!U24)</f>
        <v>741.95603239242337</v>
      </c>
      <c r="V78" s="55">
        <f>Equity_CF!V20+(Energy_Revenue!V14*0.05)*(1-Dep_Tax!V24)</f>
        <v>737.64684620814512</v>
      </c>
      <c r="W78" s="55">
        <f>Equity_CF!W20+(Energy_Revenue!W14*0.05)*(1-Dep_Tax!W24)</f>
        <v>733.28718052074544</v>
      </c>
      <c r="X78" s="55">
        <f>Equity_CF!X20+(Energy_Revenue!X14*0.05)*(1-Dep_Tax!X24)</f>
        <v>728.87595433172112</v>
      </c>
      <c r="Y78" s="55">
        <f>Equity_CF!Y20+(Energy_Revenue!Y14*0.05)*(1-Dep_Tax!Y24)</f>
        <v>0</v>
      </c>
      <c r="Z78" s="55">
        <f>Equity_CF!Z20+(Energy_Revenue!Z14*0.05)*(1-Dep_Tax!Z24)</f>
        <v>0</v>
      </c>
      <c r="AA78" s="55">
        <f>Equity_CF!AA20+(Energy_Revenue!AA14*0.05)*(1-Dep_Tax!AA24)</f>
        <v>0</v>
      </c>
      <c r="AB78" s="55">
        <f>Equity_CF!AB20+(Energy_Revenue!AB14*0.05)*(1-Dep_Tax!AB24)</f>
        <v>0</v>
      </c>
      <c r="AC78" s="55">
        <f>Equity_CF!AC20+(Energy_Revenue!AC14*0.05)*(1-Dep_Tax!AC24)</f>
        <v>0</v>
      </c>
      <c r="AD78" s="55">
        <f>Equity_CF!AD20+(Energy_Revenue!AD14*0.05)*(1-Dep_Tax!AD24)</f>
        <v>0</v>
      </c>
      <c r="AE78" s="55">
        <f>Equity_CF!AE20+(Energy_Revenue!AE14*0.05)*(1-Dep_Tax!AE24)</f>
        <v>0</v>
      </c>
      <c r="AF78" s="55">
        <f>Equity_CF!AF20+(Energy_Revenue!AF14*0.05)*(1-Dep_Tax!AF24)</f>
        <v>0</v>
      </c>
    </row>
    <row r="79" spans="1:32">
      <c r="A79" s="40" t="s">
        <v>686</v>
      </c>
      <c r="B79" s="40" t="s">
        <v>706</v>
      </c>
      <c r="C79" s="55">
        <f>Equity_CF!C20+(Energy_Revenue!C14*0.1)*(1-Dep_Tax!C24)</f>
        <v>-1091.8332500000001</v>
      </c>
      <c r="D79" s="55">
        <f>Equity_CF!D20+(Energy_Revenue!D14*0.1)*(1-Dep_Tax!D24)</f>
        <v>-1507.6532500000003</v>
      </c>
      <c r="E79" s="55">
        <f>Equity_CF!E20+(Energy_Revenue!E14*0.1)*(1-Dep_Tax!E24)</f>
        <v>935.1672031999999</v>
      </c>
      <c r="F79" s="55">
        <f>Equity_CF!F20+(Energy_Revenue!F14*0.1)*(1-Dep_Tax!F24)</f>
        <v>278.26010712693335</v>
      </c>
      <c r="G79" s="55">
        <f>Equity_CF!G20+(Energy_Revenue!G14*0.1)*(1-Dep_Tax!G24)</f>
        <v>300.68497991267958</v>
      </c>
      <c r="H79" s="55">
        <f>Equity_CF!H20+(Energy_Revenue!H14*0.1)*(1-Dep_Tax!H24)</f>
        <v>323.06433437952091</v>
      </c>
      <c r="I79" s="55">
        <f>Equity_CF!I20+(Energy_Revenue!I14*0.1)*(1-Dep_Tax!I24)</f>
        <v>330.06142915099701</v>
      </c>
      <c r="J79" s="55">
        <f>Equity_CF!J20+(Energy_Revenue!J14*0.1)*(1-Dep_Tax!J24)</f>
        <v>351.232442968567</v>
      </c>
      <c r="K79" s="55">
        <f>Equity_CF!K20+(Energy_Revenue!K14*0.1)*(1-Dep_Tax!K24)</f>
        <v>372.35728799441125</v>
      </c>
      <c r="L79" s="55">
        <f>Equity_CF!L20+(Energy_Revenue!L14*0.1)*(1-Dep_Tax!L24)</f>
        <v>393.4349498571645</v>
      </c>
      <c r="M79" s="55">
        <f>Equity_CF!M20+(Energy_Revenue!M14*0.1)*(1-Dep_Tax!M24)</f>
        <v>414.46439408002504</v>
      </c>
      <c r="N79" s="55">
        <f>Equity_CF!N20+(Energy_Revenue!N14*0.1)*(1-Dep_Tax!N24)</f>
        <v>435.44456567828331</v>
      </c>
      <c r="O79" s="55">
        <f>Equity_CF!O20+(Energy_Revenue!O14*0.1)*(1-Dep_Tax!O24)</f>
        <v>456.37438874879831</v>
      </c>
      <c r="P79" s="55">
        <f>Equity_CF!P20+(Energy_Revenue!P14*0.1)*(1-Dep_Tax!P24)</f>
        <v>477.25276605126817</v>
      </c>
      <c r="Q79" s="55">
        <f>Equity_CF!Q20+(Energy_Revenue!Q14*0.1)*(1-Dep_Tax!Q24)</f>
        <v>498.07857858112396</v>
      </c>
      <c r="R79" s="55">
        <f>Equity_CF!R20+(Energy_Revenue!R14*0.1)*(1-Dep_Tax!R24)</f>
        <v>493.57867385490783</v>
      </c>
      <c r="S79" s="55">
        <f>Equity_CF!S20+(Energy_Revenue!S14*0.1)*(1-Dep_Tax!S24)</f>
        <v>513.2055297014557</v>
      </c>
      <c r="T79" s="55">
        <f>Equity_CF!T20+(Energy_Revenue!T14*0.1)*(1-Dep_Tax!T24)</f>
        <v>477.87963376576039</v>
      </c>
      <c r="U79" s="55">
        <f>Equity_CF!U20+(Energy_Revenue!U14*0.1)*(1-Dep_Tax!U24)</f>
        <v>780.59696373901807</v>
      </c>
      <c r="V79" s="55">
        <f>Equity_CF!V20+(Energy_Revenue!V14*0.1)*(1-Dep_Tax!V24)</f>
        <v>776.21049569204672</v>
      </c>
      <c r="W79" s="55">
        <f>Equity_CF!W20+(Energy_Revenue!W14*0.1)*(1-Dep_Tax!W24)</f>
        <v>771.77370270567917</v>
      </c>
      <c r="X79" s="55">
        <f>Equity_CF!X20+(Energy_Revenue!X14*0.1)*(1-Dep_Tax!X24)</f>
        <v>767.28550347228497</v>
      </c>
      <c r="Y79" s="55">
        <f>Equity_CF!Y20+(Energy_Revenue!Y14*0.1)*(1-Dep_Tax!Y24)</f>
        <v>0</v>
      </c>
      <c r="Z79" s="55">
        <f>Equity_CF!Z20+(Energy_Revenue!Z14*0.1)*(1-Dep_Tax!Z24)</f>
        <v>0</v>
      </c>
      <c r="AA79" s="55">
        <f>Equity_CF!AA20+(Energy_Revenue!AA14*0.1)*(1-Dep_Tax!AA24)</f>
        <v>0</v>
      </c>
      <c r="AB79" s="55">
        <f>Equity_CF!AB20+(Energy_Revenue!AB14*0.1)*(1-Dep_Tax!AB24)</f>
        <v>0</v>
      </c>
      <c r="AC79" s="55">
        <f>Equity_CF!AC20+(Energy_Revenue!AC14*0.1)*(1-Dep_Tax!AC24)</f>
        <v>0</v>
      </c>
      <c r="AD79" s="55">
        <f>Equity_CF!AD20+(Energy_Revenue!AD14*0.1)*(1-Dep_Tax!AD24)</f>
        <v>0</v>
      </c>
      <c r="AE79" s="55">
        <f>Equity_CF!AE20+(Energy_Revenue!AE14*0.1)*(1-Dep_Tax!AE24)</f>
        <v>0</v>
      </c>
      <c r="AF79" s="55">
        <f>Equity_CF!AF20+(Energy_Revenue!AF14*0.1)*(1-Dep_Tax!AF24)</f>
        <v>0</v>
      </c>
    </row>
    <row r="80" spans="1:32">
      <c r="A80" s="40" t="s">
        <v>687</v>
      </c>
      <c r="B80" s="40" t="s">
        <v>702</v>
      </c>
      <c r="C80" s="55">
        <f>Equity_CF!C20-((CAPEX!C15-CAPEX!C17-Debt!C12)*-0.0999999999999999)</f>
        <v>-993.99325000000022</v>
      </c>
      <c r="D80" s="55">
        <f>Equity_CF!D20-((CAPEX!D15-CAPEX!D17-Debt!D12)*-0.0999999999999999)</f>
        <v>-1385.3532500000003</v>
      </c>
      <c r="E80" s="55">
        <f>Equity_CF!E20-((CAPEX!E15-CAPEX!E17-Debt!E12)*-0.0999999999999999)</f>
        <v>798.730412</v>
      </c>
      <c r="F80" s="55">
        <f>Equity_CF!F20-((CAPEX!F15-CAPEX!F17-Debt!F12)*-0.0999999999999999)</f>
        <v>178.71280950933334</v>
      </c>
      <c r="G80" s="55">
        <f>Equity_CF!G20-((CAPEX!G15-CAPEX!G17-Debt!G12)*-0.0999999999999999)</f>
        <v>201.33677689031475</v>
      </c>
      <c r="H80" s="55">
        <f>Equity_CF!H20-((CAPEX!H15-CAPEX!H17-Debt!H12)*-0.0999999999999999)</f>
        <v>223.91482776320083</v>
      </c>
      <c r="I80" s="55">
        <f>Equity_CF!I20-((CAPEX!I15-CAPEX!I17-Debt!I12)*-0.0999999999999999)</f>
        <v>236.05778192806397</v>
      </c>
      <c r="J80" s="55">
        <f>Equity_CF!J20-((CAPEX!J15-CAPEX!J17-Debt!J12)*-0.0999999999999999)</f>
        <v>257.4168030400798</v>
      </c>
      <c r="K80" s="55">
        <f>Equity_CF!K20-((CAPEX!K15-CAPEX!K17-Debt!K12)*-0.0999999999999999)</f>
        <v>278.72927934578104</v>
      </c>
      <c r="L80" s="55">
        <f>Equity_CF!L20-((CAPEX!L15-CAPEX!L17-Debt!L12)*-0.0999999999999999)</f>
        <v>299.9941972258315</v>
      </c>
      <c r="M80" s="55">
        <f>Equity_CF!M20-((CAPEX!M15-CAPEX!M17-Debt!M12)*-0.0999999999999999)</f>
        <v>321.21052295395475</v>
      </c>
      <c r="N80" s="55">
        <f>Equity_CF!N20-((CAPEX!N15-CAPEX!N17-Debt!N12)*-0.0999999999999999)</f>
        <v>342.37720229446512</v>
      </c>
      <c r="O80" s="55">
        <f>Equity_CF!O20-((CAPEX!O15-CAPEX!O17-Debt!O12)*-0.0999999999999999)</f>
        <v>363.49316009174777</v>
      </c>
      <c r="P80" s="55">
        <f>Equity_CF!P20-((CAPEX!P15-CAPEX!P17-Debt!P12)*-0.0999999999999999)</f>
        <v>384.55729985153175</v>
      </c>
      <c r="Q80" s="55">
        <f>Equity_CF!Q20-((CAPEX!Q15-CAPEX!Q17-Debt!Q12)*-0.0999999999999999)</f>
        <v>405.56850331378701</v>
      </c>
      <c r="R80" s="55">
        <f>Equity_CF!R20-((CAPEX!R15-CAPEX!R17-Debt!R12)*-0.0999999999999999)</f>
        <v>406.11283216530569</v>
      </c>
      <c r="S80" s="55">
        <f>Equity_CF!S20-((CAPEX!S15-CAPEX!S17-Debt!S12)*-0.0999999999999999)</f>
        <v>425.91461969523277</v>
      </c>
      <c r="T80" s="55">
        <f>Equity_CF!T20-((CAPEX!T15-CAPEX!T17-Debt!T12)*-0.0999999999999999)</f>
        <v>400.44289760023992</v>
      </c>
      <c r="U80" s="55">
        <f>Equity_CF!U20-((CAPEX!U15-CAPEX!U17-Debt!U12)*-0.0999999999999999)</f>
        <v>703.31510104582867</v>
      </c>
      <c r="V80" s="55">
        <f>Equity_CF!V20-((CAPEX!V15-CAPEX!V17-Debt!V12)*-0.0999999999999999)</f>
        <v>699.08319672424363</v>
      </c>
      <c r="W80" s="55">
        <f>Equity_CF!W20-((CAPEX!W15-CAPEX!W17-Debt!W12)*-0.0999999999999999)</f>
        <v>694.8006583358117</v>
      </c>
      <c r="X80" s="55">
        <f>Equity_CF!X20-((CAPEX!X15-CAPEX!X17-Debt!X12)*-0.0999999999999999)</f>
        <v>690.46640519115726</v>
      </c>
      <c r="Y80" s="55">
        <f>Equity_CF!Y20-((CAPEX!Y15-CAPEX!Y17-Debt!Y12)*-0.0999999999999999)</f>
        <v>0</v>
      </c>
      <c r="Z80" s="55">
        <f>Equity_CF!Z20-((CAPEX!Z15-CAPEX!Z17-Debt!Z12)*-0.0999999999999999)</f>
        <v>0</v>
      </c>
      <c r="AA80" s="55">
        <f>Equity_CF!AA20-((CAPEX!AA15-CAPEX!AA17-Debt!AA12)*-0.0999999999999999)</f>
        <v>0</v>
      </c>
      <c r="AB80" s="55">
        <f>Equity_CF!AB20-((CAPEX!AB15-CAPEX!AB17-Debt!AB12)*-0.0999999999999999)</f>
        <v>0</v>
      </c>
      <c r="AC80" s="55">
        <f>Equity_CF!AC20-((CAPEX!AC15-CAPEX!AC17-Debt!AC12)*-0.0999999999999999)</f>
        <v>0</v>
      </c>
      <c r="AD80" s="55">
        <f>Equity_CF!AD20-((CAPEX!AD15-CAPEX!AD17-Debt!AD12)*-0.0999999999999999)</f>
        <v>0</v>
      </c>
      <c r="AE80" s="55">
        <f>Equity_CF!AE20-((CAPEX!AE15-CAPEX!AE17-Debt!AE12)*-0.0999999999999999)</f>
        <v>0</v>
      </c>
      <c r="AF80" s="55">
        <f>Equity_CF!AF20-((CAPEX!AF15-CAPEX!AF17-Debt!AF12)*-0.0999999999999999)</f>
        <v>0</v>
      </c>
    </row>
    <row r="81" spans="1:32">
      <c r="A81" t="s">
        <v>688</v>
      </c>
      <c r="B81" t="s">
        <v>703</v>
      </c>
      <c r="C81" s="56">
        <f>Equity_CF!C20-((CAPEX!C15-CAPEX!C17-Debt!C12)*-0.05)</f>
        <v>-1042.9132500000001</v>
      </c>
      <c r="D81" s="56">
        <f>Equity_CF!D20-((CAPEX!D15-CAPEX!D17-Debt!D12)*-0.05)</f>
        <v>-1446.5032500000002</v>
      </c>
      <c r="E81" s="56">
        <f>Equity_CF!E20-((CAPEX!E15-CAPEX!E17-Debt!E12)*-0.05)</f>
        <v>817.07541199999991</v>
      </c>
      <c r="F81" s="56">
        <f>Equity_CF!F20-((CAPEX!F15-CAPEX!F17-Debt!F12)*-0.05)</f>
        <v>178.71280950933334</v>
      </c>
      <c r="G81" s="56">
        <f>Equity_CF!G20-((CAPEX!G15-CAPEX!G17-Debt!G12)*-0.05)</f>
        <v>201.33677689031475</v>
      </c>
      <c r="H81" s="56">
        <f>Equity_CF!H20-((CAPEX!H15-CAPEX!H17-Debt!H12)*-0.05)</f>
        <v>223.91482776320083</v>
      </c>
      <c r="I81" s="56">
        <f>Equity_CF!I20-((CAPEX!I15-CAPEX!I17-Debt!I12)*-0.05)</f>
        <v>236.05778192806397</v>
      </c>
      <c r="J81" s="56">
        <f>Equity_CF!J20-((CAPEX!J15-CAPEX!J17-Debt!J12)*-0.05)</f>
        <v>257.4168030400798</v>
      </c>
      <c r="K81" s="56">
        <f>Equity_CF!K20-((CAPEX!K15-CAPEX!K17-Debt!K12)*-0.05)</f>
        <v>278.72927934578104</v>
      </c>
      <c r="L81" s="56">
        <f>Equity_CF!L20-((CAPEX!L15-CAPEX!L17-Debt!L12)*-0.05)</f>
        <v>299.9941972258315</v>
      </c>
      <c r="M81" s="56">
        <f>Equity_CF!M20-((CAPEX!M15-CAPEX!M17-Debt!M12)*-0.05)</f>
        <v>321.21052295395475</v>
      </c>
      <c r="N81" s="56">
        <f>Equity_CF!N20-((CAPEX!N15-CAPEX!N17-Debt!N12)*-0.05)</f>
        <v>342.37720229446512</v>
      </c>
      <c r="O81" s="56">
        <f>Equity_CF!O20-((CAPEX!O15-CAPEX!O17-Debt!O12)*-0.05)</f>
        <v>363.49316009174777</v>
      </c>
      <c r="P81" s="56">
        <f>Equity_CF!P20-((CAPEX!P15-CAPEX!P17-Debt!P12)*-0.05)</f>
        <v>384.55729985153175</v>
      </c>
      <c r="Q81" s="56">
        <f>Equity_CF!Q20-((CAPEX!Q15-CAPEX!Q17-Debt!Q12)*-0.05)</f>
        <v>405.56850331378701</v>
      </c>
      <c r="R81" s="56">
        <f>Equity_CF!R20-((CAPEX!R15-CAPEX!R17-Debt!R12)*-0.05)</f>
        <v>406.11283216530569</v>
      </c>
      <c r="S81" s="56">
        <f>Equity_CF!S20-((CAPEX!S15-CAPEX!S17-Debt!S12)*-0.05)</f>
        <v>425.91461969523277</v>
      </c>
      <c r="T81" s="56">
        <f>Equity_CF!T20-((CAPEX!T15-CAPEX!T17-Debt!T12)*-0.05)</f>
        <v>400.44289760023992</v>
      </c>
      <c r="U81" s="56">
        <f>Equity_CF!U20-((CAPEX!U15-CAPEX!U17-Debt!U12)*-0.05)</f>
        <v>703.31510104582867</v>
      </c>
      <c r="V81" s="56">
        <f>Equity_CF!V20-((CAPEX!V15-CAPEX!V17-Debt!V12)*-0.05)</f>
        <v>699.08319672424363</v>
      </c>
      <c r="W81" s="56">
        <f>Equity_CF!W20-((CAPEX!W15-CAPEX!W17-Debt!W12)*-0.05)</f>
        <v>694.8006583358117</v>
      </c>
      <c r="X81" s="56">
        <f>Equity_CF!X20-((CAPEX!X15-CAPEX!X17-Debt!X12)*-0.05)</f>
        <v>690.46640519115726</v>
      </c>
      <c r="Y81" s="56">
        <f>Equity_CF!Y20-((CAPEX!Y15-CAPEX!Y17-Debt!Y12)*-0.05)</f>
        <v>0</v>
      </c>
      <c r="Z81" s="56">
        <f>Equity_CF!Z20-((CAPEX!Z15-CAPEX!Z17-Debt!Z12)*-0.05)</f>
        <v>0</v>
      </c>
      <c r="AA81" s="56">
        <f>Equity_CF!AA20-((CAPEX!AA15-CAPEX!AA17-Debt!AA12)*-0.05)</f>
        <v>0</v>
      </c>
      <c r="AB81" s="56">
        <f>Equity_CF!AB20-((CAPEX!AB15-CAPEX!AB17-Debt!AB12)*-0.05)</f>
        <v>0</v>
      </c>
      <c r="AC81" s="56">
        <f>Equity_CF!AC20-((CAPEX!AC15-CAPEX!AC17-Debt!AC12)*-0.05)</f>
        <v>0</v>
      </c>
      <c r="AD81" s="56">
        <f>Equity_CF!AD20-((CAPEX!AD15-CAPEX!AD17-Debt!AD12)*-0.05)</f>
        <v>0</v>
      </c>
      <c r="AE81" s="56">
        <f>Equity_CF!AE20-((CAPEX!AE15-CAPEX!AE17-Debt!AE12)*-0.05)</f>
        <v>0</v>
      </c>
      <c r="AF81" s="56">
        <f>Equity_CF!AF20-((CAPEX!AF15-CAPEX!AF17-Debt!AF12)*-0.05)</f>
        <v>0</v>
      </c>
    </row>
    <row r="82" spans="1:32">
      <c r="A82" t="s">
        <v>689</v>
      </c>
      <c r="B82" t="s">
        <v>704</v>
      </c>
      <c r="C82" s="56">
        <f>Equity_CF!C20-((CAPEX!C15-CAPEX!C17-Debt!C12)*0)</f>
        <v>-1091.8332500000001</v>
      </c>
      <c r="D82" s="56">
        <f>Equity_CF!D20-((CAPEX!D15-CAPEX!D17-Debt!D12)*0)</f>
        <v>-1507.6532500000003</v>
      </c>
      <c r="E82" s="56">
        <f>Equity_CF!E20-((CAPEX!E15-CAPEX!E17-Debt!E12)*0)</f>
        <v>835.42041199999994</v>
      </c>
      <c r="F82" s="56">
        <f>Equity_CF!F20-((CAPEX!F15-CAPEX!F17-Debt!F12)*0)</f>
        <v>178.71280950933334</v>
      </c>
      <c r="G82" s="56">
        <f>Equity_CF!G20-((CAPEX!G15-CAPEX!G17-Debt!G12)*0)</f>
        <v>201.33677689031475</v>
      </c>
      <c r="H82" s="56">
        <f>Equity_CF!H20-((CAPEX!H15-CAPEX!H17-Debt!H12)*0)</f>
        <v>223.91482776320083</v>
      </c>
      <c r="I82" s="56">
        <f>Equity_CF!I20-((CAPEX!I15-CAPEX!I17-Debt!I12)*0)</f>
        <v>236.05778192806397</v>
      </c>
      <c r="J82" s="56">
        <f>Equity_CF!J20-((CAPEX!J15-CAPEX!J17-Debt!J12)*0)</f>
        <v>257.4168030400798</v>
      </c>
      <c r="K82" s="56">
        <f>Equity_CF!K20-((CAPEX!K15-CAPEX!K17-Debt!K12)*0)</f>
        <v>278.72927934578104</v>
      </c>
      <c r="L82" s="56">
        <f>Equity_CF!L20-((CAPEX!L15-CAPEX!L17-Debt!L12)*0)</f>
        <v>299.9941972258315</v>
      </c>
      <c r="M82" s="56">
        <f>Equity_CF!M20-((CAPEX!M15-CAPEX!M17-Debt!M12)*0)</f>
        <v>321.21052295395475</v>
      </c>
      <c r="N82" s="56">
        <f>Equity_CF!N20-((CAPEX!N15-CAPEX!N17-Debt!N12)*0)</f>
        <v>342.37720229446512</v>
      </c>
      <c r="O82" s="56">
        <f>Equity_CF!O20-((CAPEX!O15-CAPEX!O17-Debt!O12)*0)</f>
        <v>363.49316009174777</v>
      </c>
      <c r="P82" s="56">
        <f>Equity_CF!P20-((CAPEX!P15-CAPEX!P17-Debt!P12)*0)</f>
        <v>384.55729985153175</v>
      </c>
      <c r="Q82" s="56">
        <f>Equity_CF!Q20-((CAPEX!Q15-CAPEX!Q17-Debt!Q12)*0)</f>
        <v>405.56850331378701</v>
      </c>
      <c r="R82" s="56">
        <f>Equity_CF!R20-((CAPEX!R15-CAPEX!R17-Debt!R12)*0)</f>
        <v>406.11283216530569</v>
      </c>
      <c r="S82" s="56">
        <f>Equity_CF!S20-((CAPEX!S15-CAPEX!S17-Debt!S12)*0)</f>
        <v>425.91461969523277</v>
      </c>
      <c r="T82" s="56">
        <f>Equity_CF!T20-((CAPEX!T15-CAPEX!T17-Debt!T12)*0)</f>
        <v>400.44289760023992</v>
      </c>
      <c r="U82" s="56">
        <f>Equity_CF!U20-((CAPEX!U15-CAPEX!U17-Debt!U12)*0)</f>
        <v>703.31510104582867</v>
      </c>
      <c r="V82" s="56">
        <f>Equity_CF!V20-((CAPEX!V15-CAPEX!V17-Debt!V12)*0)</f>
        <v>699.08319672424363</v>
      </c>
      <c r="W82" s="56">
        <f>Equity_CF!W20-((CAPEX!W15-CAPEX!W17-Debt!W12)*0)</f>
        <v>694.8006583358117</v>
      </c>
      <c r="X82" s="56">
        <f>Equity_CF!X20-((CAPEX!X15-CAPEX!X17-Debt!X12)*0)</f>
        <v>690.46640519115726</v>
      </c>
      <c r="Y82" s="56">
        <f>Equity_CF!Y20-((CAPEX!Y15-CAPEX!Y17-Debt!Y12)*0)</f>
        <v>0</v>
      </c>
      <c r="Z82" s="56">
        <f>Equity_CF!Z20-((CAPEX!Z15-CAPEX!Z17-Debt!Z12)*0)</f>
        <v>0</v>
      </c>
      <c r="AA82" s="56">
        <f>Equity_CF!AA20-((CAPEX!AA15-CAPEX!AA17-Debt!AA12)*0)</f>
        <v>0</v>
      </c>
      <c r="AB82" s="56">
        <f>Equity_CF!AB20-((CAPEX!AB15-CAPEX!AB17-Debt!AB12)*0)</f>
        <v>0</v>
      </c>
      <c r="AC82" s="56">
        <f>Equity_CF!AC20-((CAPEX!AC15-CAPEX!AC17-Debt!AC12)*0)</f>
        <v>0</v>
      </c>
      <c r="AD82" s="56">
        <f>Equity_CF!AD20-((CAPEX!AD15-CAPEX!AD17-Debt!AD12)*0)</f>
        <v>0</v>
      </c>
      <c r="AE82" s="56">
        <f>Equity_CF!AE20-((CAPEX!AE15-CAPEX!AE17-Debt!AE12)*0)</f>
        <v>0</v>
      </c>
      <c r="AF82" s="56">
        <f>Equity_CF!AF20-((CAPEX!AF15-CAPEX!AF17-Debt!AF12)*0)</f>
        <v>0</v>
      </c>
    </row>
    <row r="83" spans="1:32">
      <c r="A83" t="s">
        <v>690</v>
      </c>
      <c r="B83" t="s">
        <v>705</v>
      </c>
      <c r="C83" s="56">
        <f>Equity_CF!C20-((CAPEX!C15-CAPEX!C17-Debt!C12)*0.05)</f>
        <v>-1140.7532500000002</v>
      </c>
      <c r="D83" s="56">
        <f>Equity_CF!D20-((CAPEX!D15-CAPEX!D17-Debt!D12)*0.05)</f>
        <v>-1568.8032500000004</v>
      </c>
      <c r="E83" s="56">
        <f>Equity_CF!E20-((CAPEX!E15-CAPEX!E17-Debt!E12)*0.05)</f>
        <v>853.76541199999997</v>
      </c>
      <c r="F83" s="56">
        <f>Equity_CF!F20-((CAPEX!F15-CAPEX!F17-Debt!F12)*0.05)</f>
        <v>178.71280950933334</v>
      </c>
      <c r="G83" s="56">
        <f>Equity_CF!G20-((CAPEX!G15-CAPEX!G17-Debt!G12)*0.05)</f>
        <v>201.33677689031475</v>
      </c>
      <c r="H83" s="56">
        <f>Equity_CF!H20-((CAPEX!H15-CAPEX!H17-Debt!H12)*0.05)</f>
        <v>223.91482776320083</v>
      </c>
      <c r="I83" s="56">
        <f>Equity_CF!I20-((CAPEX!I15-CAPEX!I17-Debt!I12)*0.05)</f>
        <v>236.05778192806397</v>
      </c>
      <c r="J83" s="56">
        <f>Equity_CF!J20-((CAPEX!J15-CAPEX!J17-Debt!J12)*0.05)</f>
        <v>257.4168030400798</v>
      </c>
      <c r="K83" s="56">
        <f>Equity_CF!K20-((CAPEX!K15-CAPEX!K17-Debt!K12)*0.05)</f>
        <v>278.72927934578104</v>
      </c>
      <c r="L83" s="56">
        <f>Equity_CF!L20-((CAPEX!L15-CAPEX!L17-Debt!L12)*0.05)</f>
        <v>299.9941972258315</v>
      </c>
      <c r="M83" s="56">
        <f>Equity_CF!M20-((CAPEX!M15-CAPEX!M17-Debt!M12)*0.05)</f>
        <v>321.21052295395475</v>
      </c>
      <c r="N83" s="56">
        <f>Equity_CF!N20-((CAPEX!N15-CAPEX!N17-Debt!N12)*0.05)</f>
        <v>342.37720229446512</v>
      </c>
      <c r="O83" s="56">
        <f>Equity_CF!O20-((CAPEX!O15-CAPEX!O17-Debt!O12)*0.05)</f>
        <v>363.49316009174777</v>
      </c>
      <c r="P83" s="56">
        <f>Equity_CF!P20-((CAPEX!P15-CAPEX!P17-Debt!P12)*0.05)</f>
        <v>384.55729985153175</v>
      </c>
      <c r="Q83" s="56">
        <f>Equity_CF!Q20-((CAPEX!Q15-CAPEX!Q17-Debt!Q12)*0.05)</f>
        <v>405.56850331378701</v>
      </c>
      <c r="R83" s="56">
        <f>Equity_CF!R20-((CAPEX!R15-CAPEX!R17-Debt!R12)*0.05)</f>
        <v>406.11283216530569</v>
      </c>
      <c r="S83" s="56">
        <f>Equity_CF!S20-((CAPEX!S15-CAPEX!S17-Debt!S12)*0.05)</f>
        <v>425.91461969523277</v>
      </c>
      <c r="T83" s="56">
        <f>Equity_CF!T20-((CAPEX!T15-CAPEX!T17-Debt!T12)*0.05)</f>
        <v>400.44289760023992</v>
      </c>
      <c r="U83" s="56">
        <f>Equity_CF!U20-((CAPEX!U15-CAPEX!U17-Debt!U12)*0.05)</f>
        <v>703.31510104582867</v>
      </c>
      <c r="V83" s="56">
        <f>Equity_CF!V20-((CAPEX!V15-CAPEX!V17-Debt!V12)*0.05)</f>
        <v>699.08319672424363</v>
      </c>
      <c r="W83" s="56">
        <f>Equity_CF!W20-((CAPEX!W15-CAPEX!W17-Debt!W12)*0.05)</f>
        <v>694.8006583358117</v>
      </c>
      <c r="X83" s="56">
        <f>Equity_CF!X20-((CAPEX!X15-CAPEX!X17-Debt!X12)*0.05)</f>
        <v>690.46640519115726</v>
      </c>
      <c r="Y83" s="56">
        <f>Equity_CF!Y20-((CAPEX!Y15-CAPEX!Y17-Debt!Y12)*0.05)</f>
        <v>0</v>
      </c>
      <c r="Z83" s="56">
        <f>Equity_CF!Z20-((CAPEX!Z15-CAPEX!Z17-Debt!Z12)*0.05)</f>
        <v>0</v>
      </c>
      <c r="AA83" s="56">
        <f>Equity_CF!AA20-((CAPEX!AA15-CAPEX!AA17-Debt!AA12)*0.05)</f>
        <v>0</v>
      </c>
      <c r="AB83" s="56">
        <f>Equity_CF!AB20-((CAPEX!AB15-CAPEX!AB17-Debt!AB12)*0.05)</f>
        <v>0</v>
      </c>
      <c r="AC83" s="56">
        <f>Equity_CF!AC20-((CAPEX!AC15-CAPEX!AC17-Debt!AC12)*0.05)</f>
        <v>0</v>
      </c>
      <c r="AD83" s="56">
        <f>Equity_CF!AD20-((CAPEX!AD15-CAPEX!AD17-Debt!AD12)*0.05)</f>
        <v>0</v>
      </c>
      <c r="AE83" s="56">
        <f>Equity_CF!AE20-((CAPEX!AE15-CAPEX!AE17-Debt!AE12)*0.05)</f>
        <v>0</v>
      </c>
      <c r="AF83" s="56">
        <f>Equity_CF!AF20-((CAPEX!AF15-CAPEX!AF17-Debt!AF12)*0.05)</f>
        <v>0</v>
      </c>
    </row>
    <row r="84" spans="1:32">
      <c r="A84" t="s">
        <v>691</v>
      </c>
      <c r="B84" t="s">
        <v>706</v>
      </c>
      <c r="C84" s="56">
        <f>Equity_CF!C20-((CAPEX!C15-CAPEX!C17-Debt!C12)*0.1)</f>
        <v>-1189.6732500000001</v>
      </c>
      <c r="D84" s="56">
        <f>Equity_CF!D20-((CAPEX!D15-CAPEX!D17-Debt!D12)*0.1)</f>
        <v>-1629.9532500000003</v>
      </c>
      <c r="E84" s="56">
        <f>Equity_CF!E20-((CAPEX!E15-CAPEX!E17-Debt!E12)*0.1)</f>
        <v>872.110412</v>
      </c>
      <c r="F84" s="56">
        <f>Equity_CF!F20-((CAPEX!F15-CAPEX!F17-Debt!F12)*0.1)</f>
        <v>178.71280950933334</v>
      </c>
      <c r="G84" s="56">
        <f>Equity_CF!G20-((CAPEX!G15-CAPEX!G17-Debt!G12)*0.1)</f>
        <v>201.33677689031475</v>
      </c>
      <c r="H84" s="56">
        <f>Equity_CF!H20-((CAPEX!H15-CAPEX!H17-Debt!H12)*0.1)</f>
        <v>223.91482776320083</v>
      </c>
      <c r="I84" s="56">
        <f>Equity_CF!I20-((CAPEX!I15-CAPEX!I17-Debt!I12)*0.1)</f>
        <v>236.05778192806397</v>
      </c>
      <c r="J84" s="56">
        <f>Equity_CF!J20-((CAPEX!J15-CAPEX!J17-Debt!J12)*0.1)</f>
        <v>257.4168030400798</v>
      </c>
      <c r="K84" s="56">
        <f>Equity_CF!K20-((CAPEX!K15-CAPEX!K17-Debt!K12)*0.1)</f>
        <v>278.72927934578104</v>
      </c>
      <c r="L84" s="56">
        <f>Equity_CF!L20-((CAPEX!L15-CAPEX!L17-Debt!L12)*0.1)</f>
        <v>299.9941972258315</v>
      </c>
      <c r="M84" s="56">
        <f>Equity_CF!M20-((CAPEX!M15-CAPEX!M17-Debt!M12)*0.1)</f>
        <v>321.21052295395475</v>
      </c>
      <c r="N84" s="56">
        <f>Equity_CF!N20-((CAPEX!N15-CAPEX!N17-Debt!N12)*0.1)</f>
        <v>342.37720229446512</v>
      </c>
      <c r="O84" s="56">
        <f>Equity_CF!O20-((CAPEX!O15-CAPEX!O17-Debt!O12)*0.1)</f>
        <v>363.49316009174777</v>
      </c>
      <c r="P84" s="56">
        <f>Equity_CF!P20-((CAPEX!P15-CAPEX!P17-Debt!P12)*0.1)</f>
        <v>384.55729985153175</v>
      </c>
      <c r="Q84" s="56">
        <f>Equity_CF!Q20-((CAPEX!Q15-CAPEX!Q17-Debt!Q12)*0.1)</f>
        <v>405.56850331378701</v>
      </c>
      <c r="R84" s="56">
        <f>Equity_CF!R20-((CAPEX!R15-CAPEX!R17-Debt!R12)*0.1)</f>
        <v>406.11283216530569</v>
      </c>
      <c r="S84" s="56">
        <f>Equity_CF!S20-((CAPEX!S15-CAPEX!S17-Debt!S12)*0.1)</f>
        <v>425.91461969523277</v>
      </c>
      <c r="T84" s="56">
        <f>Equity_CF!T20-((CAPEX!T15-CAPEX!T17-Debt!T12)*0.1)</f>
        <v>400.44289760023992</v>
      </c>
      <c r="U84" s="56">
        <f>Equity_CF!U20-((CAPEX!U15-CAPEX!U17-Debt!U12)*0.1)</f>
        <v>703.31510104582867</v>
      </c>
      <c r="V84" s="56">
        <f>Equity_CF!V20-((CAPEX!V15-CAPEX!V17-Debt!V12)*0.1)</f>
        <v>699.08319672424363</v>
      </c>
      <c r="W84" s="56">
        <f>Equity_CF!W20-((CAPEX!W15-CAPEX!W17-Debt!W12)*0.1)</f>
        <v>694.8006583358117</v>
      </c>
      <c r="X84" s="56">
        <f>Equity_CF!X20-((CAPEX!X15-CAPEX!X17-Debt!X12)*0.1)</f>
        <v>690.46640519115726</v>
      </c>
      <c r="Y84" s="56">
        <f>Equity_CF!Y20-((CAPEX!Y15-CAPEX!Y17-Debt!Y12)*0.1)</f>
        <v>0</v>
      </c>
      <c r="Z84" s="56">
        <f>Equity_CF!Z20-((CAPEX!Z15-CAPEX!Z17-Debt!Z12)*0.1)</f>
        <v>0</v>
      </c>
      <c r="AA84" s="56">
        <f>Equity_CF!AA20-((CAPEX!AA15-CAPEX!AA17-Debt!AA12)*0.1)</f>
        <v>0</v>
      </c>
      <c r="AB84" s="56">
        <f>Equity_CF!AB20-((CAPEX!AB15-CAPEX!AB17-Debt!AB12)*0.1)</f>
        <v>0</v>
      </c>
      <c r="AC84" s="56">
        <f>Equity_CF!AC20-((CAPEX!AC15-CAPEX!AC17-Debt!AC12)*0.1)</f>
        <v>0</v>
      </c>
      <c r="AD84" s="56">
        <f>Equity_CF!AD20-((CAPEX!AD15-CAPEX!AD17-Debt!AD12)*0.1)</f>
        <v>0</v>
      </c>
      <c r="AE84" s="56">
        <f>Equity_CF!AE20-((CAPEX!AE15-CAPEX!AE17-Debt!AE12)*0.1)</f>
        <v>0</v>
      </c>
      <c r="AF84" s="56">
        <f>Equity_CF!AF20-((CAPEX!AF15-CAPEX!AF17-Debt!AF12)*0.1)</f>
        <v>0</v>
      </c>
    </row>
    <row r="85" spans="1:32">
      <c r="A85" t="s">
        <v>692</v>
      </c>
      <c r="B85" t="s">
        <v>702</v>
      </c>
      <c r="C85" s="56">
        <f>Equity_CF!C20-(Energy_Revenue!C19*-0.0999999999999999)*(1-Dep_Tax!C24)</f>
        <v>-1091.8332500000001</v>
      </c>
      <c r="D85" s="56">
        <f>Equity_CF!D20-(Energy_Revenue!D19*-0.0999999999999999)*(1-Dep_Tax!D24)</f>
        <v>-1507.6532500000003</v>
      </c>
      <c r="E85" s="56">
        <f>Equity_CF!E20-(Energy_Revenue!E19*-0.0999999999999999)*(1-Dep_Tax!E24)</f>
        <v>847.65041199999996</v>
      </c>
      <c r="F85" s="56">
        <f>Equity_CF!F20-(Energy_Revenue!F19*-0.0999999999999999)*(1-Dep_Tax!F24)</f>
        <v>191.18740950933332</v>
      </c>
      <c r="G85" s="56">
        <f>Equity_CF!G20-(Energy_Revenue!G19*-0.0999999999999999)*(1-Dep_Tax!G24)</f>
        <v>214.06086889031474</v>
      </c>
      <c r="H85" s="56">
        <f>Equity_CF!H20-(Energy_Revenue!H19*-0.0999999999999999)*(1-Dep_Tax!H24)</f>
        <v>236.89340160320083</v>
      </c>
      <c r="I85" s="56">
        <f>Equity_CF!I20-(Energy_Revenue!I19*-0.0999999999999999)*(1-Dep_Tax!I24)</f>
        <v>248.63401997902395</v>
      </c>
      <c r="J85" s="56">
        <f>Equity_CF!J20-(Energy_Revenue!J19*-0.0999999999999999)*(1-Dep_Tax!J24)</f>
        <v>270.244565852059</v>
      </c>
      <c r="K85" s="56">
        <f>Equity_CF!K20-(Energy_Revenue!K19*-0.0999999999999999)*(1-Dep_Tax!K24)</f>
        <v>291.81359741399979</v>
      </c>
      <c r="L85" s="56">
        <f>Equity_CF!L20-(Energy_Revenue!L19*-0.0999999999999999)*(1-Dep_Tax!L24)</f>
        <v>313.34020165541466</v>
      </c>
      <c r="M85" s="56">
        <f>Equity_CF!M20-(Energy_Revenue!M19*-0.0999999999999999)*(1-Dep_Tax!M24)</f>
        <v>334.82344747212954</v>
      </c>
      <c r="N85" s="56">
        <f>Equity_CF!N20-(Energy_Revenue!N19*-0.0999999999999999)*(1-Dep_Tax!N24)</f>
        <v>356.26238530300344</v>
      </c>
      <c r="O85" s="56">
        <f>Equity_CF!O20-(Energy_Revenue!O19*-0.0999999999999999)*(1-Dep_Tax!O24)</f>
        <v>377.65604676045683</v>
      </c>
      <c r="P85" s="56">
        <f>Equity_CF!P20-(Energy_Revenue!P19*-0.0999999999999999)*(1-Dep_Tax!P24)</f>
        <v>399.00344425361499</v>
      </c>
      <c r="Q85" s="56">
        <f>Equity_CF!Q20-(Energy_Revenue!Q19*-0.0999999999999999)*(1-Dep_Tax!Q24)</f>
        <v>420.30357060391191</v>
      </c>
      <c r="R85" s="56">
        <f>Equity_CF!R20-(Energy_Revenue!R19*-0.0999999999999999)*(1-Dep_Tax!R24)</f>
        <v>420.35156034671058</v>
      </c>
      <c r="S85" s="56">
        <f>Equity_CF!S20-(Energy_Revenue!S19*-0.0999999999999999)*(1-Dep_Tax!S24)</f>
        <v>440.43812244026577</v>
      </c>
      <c r="T85" s="56">
        <f>Equity_CF!T20-(Energy_Revenue!T19*-0.0999999999999999)*(1-Dep_Tax!T24)</f>
        <v>413.61087342240319</v>
      </c>
      <c r="U85" s="56">
        <f>Equity_CF!U20-(Energy_Revenue!U19*-0.0999999999999999)*(1-Dep_Tax!U24)</f>
        <v>716.74643638443524</v>
      </c>
      <c r="V85" s="56">
        <f>Equity_CF!V20-(Energy_Revenue!V19*-0.0999999999999999)*(1-Dep_Tax!V24)</f>
        <v>712.78315876962233</v>
      </c>
      <c r="W85" s="56">
        <f>Equity_CF!W20-(Energy_Revenue!W19*-0.0999999999999999)*(1-Dep_Tax!W24)</f>
        <v>708.77461962209793</v>
      </c>
      <c r="X85" s="56">
        <f>Equity_CF!X20-(Energy_Revenue!X19*-0.0999999999999999)*(1-Dep_Tax!X24)</f>
        <v>704.7198457031692</v>
      </c>
      <c r="Y85" s="56">
        <f>Equity_CF!Y20-(Energy_Revenue!Y19*-0.0999999999999999)*(1-Dep_Tax!Y24)</f>
        <v>0</v>
      </c>
      <c r="Z85" s="56">
        <f>Equity_CF!Z20-(Energy_Revenue!Z19*-0.0999999999999999)*(1-Dep_Tax!Z24)</f>
        <v>0</v>
      </c>
      <c r="AA85" s="56">
        <f>Equity_CF!AA20-(Energy_Revenue!AA19*-0.0999999999999999)*(1-Dep_Tax!AA24)</f>
        <v>0</v>
      </c>
      <c r="AB85" s="56">
        <f>Equity_CF!AB20-(Energy_Revenue!AB19*-0.0999999999999999)*(1-Dep_Tax!AB24)</f>
        <v>0</v>
      </c>
      <c r="AC85" s="56">
        <f>Equity_CF!AC20-(Energy_Revenue!AC19*-0.0999999999999999)*(1-Dep_Tax!AC24)</f>
        <v>0</v>
      </c>
      <c r="AD85" s="56">
        <f>Equity_CF!AD20-(Energy_Revenue!AD19*-0.0999999999999999)*(1-Dep_Tax!AD24)</f>
        <v>0</v>
      </c>
      <c r="AE85" s="56">
        <f>Equity_CF!AE20-(Energy_Revenue!AE19*-0.0999999999999999)*(1-Dep_Tax!AE24)</f>
        <v>0</v>
      </c>
      <c r="AF85" s="56">
        <f>Equity_CF!AF20-(Energy_Revenue!AF19*-0.0999999999999999)*(1-Dep_Tax!AF24)</f>
        <v>0</v>
      </c>
    </row>
    <row r="86" spans="1:32">
      <c r="A86" t="s">
        <v>693</v>
      </c>
      <c r="B86" t="s">
        <v>703</v>
      </c>
      <c r="C86" s="56">
        <f>Equity_CF!C20-(Energy_Revenue!C19*-0.05)*(1-Dep_Tax!C24)</f>
        <v>-1091.8332500000001</v>
      </c>
      <c r="D86" s="56">
        <f>Equity_CF!D20-(Energy_Revenue!D19*-0.05)*(1-Dep_Tax!D24)</f>
        <v>-1507.6532500000003</v>
      </c>
      <c r="E86" s="56">
        <f>Equity_CF!E20-(Energy_Revenue!E19*-0.05)*(1-Dep_Tax!E24)</f>
        <v>841.53541199999995</v>
      </c>
      <c r="F86" s="56">
        <f>Equity_CF!F20-(Energy_Revenue!F19*-0.05)*(1-Dep_Tax!F24)</f>
        <v>184.95010950933334</v>
      </c>
      <c r="G86" s="56">
        <f>Equity_CF!G20-(Energy_Revenue!G19*-0.05)*(1-Dep_Tax!G24)</f>
        <v>207.69882289031474</v>
      </c>
      <c r="H86" s="56">
        <f>Equity_CF!H20-(Energy_Revenue!H19*-0.05)*(1-Dep_Tax!H24)</f>
        <v>230.40411468320085</v>
      </c>
      <c r="I86" s="56">
        <f>Equity_CF!I20-(Energy_Revenue!I19*-0.05)*(1-Dep_Tax!I24)</f>
        <v>242.34590095354397</v>
      </c>
      <c r="J86" s="56">
        <f>Equity_CF!J20-(Energy_Revenue!J19*-0.05)*(1-Dep_Tax!J24)</f>
        <v>263.83068444606943</v>
      </c>
      <c r="K86" s="56">
        <f>Equity_CF!K20-(Energy_Revenue!K19*-0.05)*(1-Dep_Tax!K24)</f>
        <v>285.27143837989041</v>
      </c>
      <c r="L86" s="56">
        <f>Equity_CF!L20-(Energy_Revenue!L19*-0.05)*(1-Dep_Tax!L24)</f>
        <v>306.66719944062305</v>
      </c>
      <c r="M86" s="56">
        <f>Equity_CF!M20-(Energy_Revenue!M19*-0.05)*(1-Dep_Tax!M24)</f>
        <v>328.01698521304218</v>
      </c>
      <c r="N86" s="56">
        <f>Equity_CF!N20-(Energy_Revenue!N19*-0.05)*(1-Dep_Tax!N24)</f>
        <v>349.31979379873428</v>
      </c>
      <c r="O86" s="56">
        <f>Equity_CF!O20-(Energy_Revenue!O19*-0.05)*(1-Dep_Tax!O24)</f>
        <v>370.57460342610233</v>
      </c>
      <c r="P86" s="56">
        <f>Equity_CF!P20-(Energy_Revenue!P19*-0.05)*(1-Dep_Tax!P24)</f>
        <v>391.7803720525734</v>
      </c>
      <c r="Q86" s="56">
        <f>Equity_CF!Q20-(Energy_Revenue!Q19*-0.05)*(1-Dep_Tax!Q24)</f>
        <v>412.93603695884946</v>
      </c>
      <c r="R86" s="56">
        <f>Equity_CF!R20-(Energy_Revenue!R19*-0.05)*(1-Dep_Tax!R24)</f>
        <v>413.23219625600814</v>
      </c>
      <c r="S86" s="56">
        <f>Equity_CF!S20-(Energy_Revenue!S19*-0.05)*(1-Dep_Tax!S24)</f>
        <v>433.1763710677493</v>
      </c>
      <c r="T86" s="56">
        <f>Equity_CF!T20-(Energy_Revenue!T19*-0.05)*(1-Dep_Tax!T24)</f>
        <v>407.02688551132155</v>
      </c>
      <c r="U86" s="56">
        <f>Equity_CF!U20-(Energy_Revenue!U19*-0.05)*(1-Dep_Tax!U24)</f>
        <v>710.0307687151319</v>
      </c>
      <c r="V86" s="56">
        <f>Equity_CF!V20-(Energy_Revenue!V19*-0.05)*(1-Dep_Tax!V24)</f>
        <v>705.93317774693298</v>
      </c>
      <c r="W86" s="56">
        <f>Equity_CF!W20-(Energy_Revenue!W19*-0.05)*(1-Dep_Tax!W24)</f>
        <v>701.78763897895487</v>
      </c>
      <c r="X86" s="56">
        <f>Equity_CF!X20-(Energy_Revenue!X19*-0.05)*(1-Dep_Tax!X24)</f>
        <v>697.59312544716329</v>
      </c>
      <c r="Y86" s="56">
        <f>Equity_CF!Y20-(Energy_Revenue!Y19*-0.05)*(1-Dep_Tax!Y24)</f>
        <v>0</v>
      </c>
      <c r="Z86" s="56">
        <f>Equity_CF!Z20-(Energy_Revenue!Z19*-0.05)*(1-Dep_Tax!Z24)</f>
        <v>0</v>
      </c>
      <c r="AA86" s="56">
        <f>Equity_CF!AA20-(Energy_Revenue!AA19*-0.05)*(1-Dep_Tax!AA24)</f>
        <v>0</v>
      </c>
      <c r="AB86" s="56">
        <f>Equity_CF!AB20-(Energy_Revenue!AB19*-0.05)*(1-Dep_Tax!AB24)</f>
        <v>0</v>
      </c>
      <c r="AC86" s="56">
        <f>Equity_CF!AC20-(Energy_Revenue!AC19*-0.05)*(1-Dep_Tax!AC24)</f>
        <v>0</v>
      </c>
      <c r="AD86" s="56">
        <f>Equity_CF!AD20-(Energy_Revenue!AD19*-0.05)*(1-Dep_Tax!AD24)</f>
        <v>0</v>
      </c>
      <c r="AE86" s="56">
        <f>Equity_CF!AE20-(Energy_Revenue!AE19*-0.05)*(1-Dep_Tax!AE24)</f>
        <v>0</v>
      </c>
      <c r="AF86" s="56">
        <f>Equity_CF!AF20-(Energy_Revenue!AF19*-0.05)*(1-Dep_Tax!AF24)</f>
        <v>0</v>
      </c>
    </row>
    <row r="87" spans="1:32">
      <c r="A87" t="s">
        <v>694</v>
      </c>
      <c r="B87" t="s">
        <v>704</v>
      </c>
      <c r="C87" s="56">
        <f>Equity_CF!C20-(Energy_Revenue!C19*0)*(1-Dep_Tax!C24)</f>
        <v>-1091.8332500000001</v>
      </c>
      <c r="D87" s="56">
        <f>Equity_CF!D20-(Energy_Revenue!D19*0)*(1-Dep_Tax!D24)</f>
        <v>-1507.6532500000003</v>
      </c>
      <c r="E87" s="56">
        <f>Equity_CF!E20-(Energy_Revenue!E19*0)*(1-Dep_Tax!E24)</f>
        <v>835.42041199999994</v>
      </c>
      <c r="F87" s="56">
        <f>Equity_CF!F20-(Energy_Revenue!F19*0)*(1-Dep_Tax!F24)</f>
        <v>178.71280950933334</v>
      </c>
      <c r="G87" s="56">
        <f>Equity_CF!G20-(Energy_Revenue!G19*0)*(1-Dep_Tax!G24)</f>
        <v>201.33677689031475</v>
      </c>
      <c r="H87" s="56">
        <f>Equity_CF!H20-(Energy_Revenue!H19*0)*(1-Dep_Tax!H24)</f>
        <v>223.91482776320083</v>
      </c>
      <c r="I87" s="56">
        <f>Equity_CF!I20-(Energy_Revenue!I19*0)*(1-Dep_Tax!I24)</f>
        <v>236.05778192806397</v>
      </c>
      <c r="J87" s="56">
        <f>Equity_CF!J20-(Energy_Revenue!J19*0)*(1-Dep_Tax!J24)</f>
        <v>257.4168030400798</v>
      </c>
      <c r="K87" s="56">
        <f>Equity_CF!K20-(Energy_Revenue!K19*0)*(1-Dep_Tax!K24)</f>
        <v>278.72927934578104</v>
      </c>
      <c r="L87" s="56">
        <f>Equity_CF!L20-(Energy_Revenue!L19*0)*(1-Dep_Tax!L24)</f>
        <v>299.9941972258315</v>
      </c>
      <c r="M87" s="56">
        <f>Equity_CF!M20-(Energy_Revenue!M19*0)*(1-Dep_Tax!M24)</f>
        <v>321.21052295395475</v>
      </c>
      <c r="N87" s="56">
        <f>Equity_CF!N20-(Energy_Revenue!N19*0)*(1-Dep_Tax!N24)</f>
        <v>342.37720229446512</v>
      </c>
      <c r="O87" s="56">
        <f>Equity_CF!O20-(Energy_Revenue!O19*0)*(1-Dep_Tax!O24)</f>
        <v>363.49316009174777</v>
      </c>
      <c r="P87" s="56">
        <f>Equity_CF!P20-(Energy_Revenue!P19*0)*(1-Dep_Tax!P24)</f>
        <v>384.55729985153175</v>
      </c>
      <c r="Q87" s="56">
        <f>Equity_CF!Q20-(Energy_Revenue!Q19*0)*(1-Dep_Tax!Q24)</f>
        <v>405.56850331378701</v>
      </c>
      <c r="R87" s="56">
        <f>Equity_CF!R20-(Energy_Revenue!R19*0)*(1-Dep_Tax!R24)</f>
        <v>406.11283216530569</v>
      </c>
      <c r="S87" s="56">
        <f>Equity_CF!S20-(Energy_Revenue!S19*0)*(1-Dep_Tax!S24)</f>
        <v>425.91461969523277</v>
      </c>
      <c r="T87" s="56">
        <f>Equity_CF!T20-(Energy_Revenue!T19*0)*(1-Dep_Tax!T24)</f>
        <v>400.44289760023992</v>
      </c>
      <c r="U87" s="56">
        <f>Equity_CF!U20-(Energy_Revenue!U19*0)*(1-Dep_Tax!U24)</f>
        <v>703.31510104582867</v>
      </c>
      <c r="V87" s="56">
        <f>Equity_CF!V20-(Energy_Revenue!V19*0)*(1-Dep_Tax!V24)</f>
        <v>699.08319672424363</v>
      </c>
      <c r="W87" s="56">
        <f>Equity_CF!W20-(Energy_Revenue!W19*0)*(1-Dep_Tax!W24)</f>
        <v>694.8006583358117</v>
      </c>
      <c r="X87" s="56">
        <f>Equity_CF!X20-(Energy_Revenue!X19*0)*(1-Dep_Tax!X24)</f>
        <v>690.46640519115726</v>
      </c>
      <c r="Y87" s="56">
        <f>Equity_CF!Y20-(Energy_Revenue!Y19*0)*(1-Dep_Tax!Y24)</f>
        <v>0</v>
      </c>
      <c r="Z87" s="56">
        <f>Equity_CF!Z20-(Energy_Revenue!Z19*0)*(1-Dep_Tax!Z24)</f>
        <v>0</v>
      </c>
      <c r="AA87" s="56">
        <f>Equity_CF!AA20-(Energy_Revenue!AA19*0)*(1-Dep_Tax!AA24)</f>
        <v>0</v>
      </c>
      <c r="AB87" s="56">
        <f>Equity_CF!AB20-(Energy_Revenue!AB19*0)*(1-Dep_Tax!AB24)</f>
        <v>0</v>
      </c>
      <c r="AC87" s="56">
        <f>Equity_CF!AC20-(Energy_Revenue!AC19*0)*(1-Dep_Tax!AC24)</f>
        <v>0</v>
      </c>
      <c r="AD87" s="56">
        <f>Equity_CF!AD20-(Energy_Revenue!AD19*0)*(1-Dep_Tax!AD24)</f>
        <v>0</v>
      </c>
      <c r="AE87" s="56">
        <f>Equity_CF!AE20-(Energy_Revenue!AE19*0)*(1-Dep_Tax!AE24)</f>
        <v>0</v>
      </c>
      <c r="AF87" s="56">
        <f>Equity_CF!AF20-(Energy_Revenue!AF19*0)*(1-Dep_Tax!AF24)</f>
        <v>0</v>
      </c>
    </row>
    <row r="88" spans="1:32">
      <c r="A88" t="s">
        <v>695</v>
      </c>
      <c r="B88" t="s">
        <v>705</v>
      </c>
      <c r="C88" s="56">
        <f>Equity_CF!C20-(Energy_Revenue!C19*0.05)*(1-Dep_Tax!C24)</f>
        <v>-1091.8332500000001</v>
      </c>
      <c r="D88" s="56">
        <f>Equity_CF!D20-(Energy_Revenue!D19*0.05)*(1-Dep_Tax!D24)</f>
        <v>-1507.6532500000003</v>
      </c>
      <c r="E88" s="56">
        <f>Equity_CF!E20-(Energy_Revenue!E19*0.05)*(1-Dep_Tax!E24)</f>
        <v>829.30541199999993</v>
      </c>
      <c r="F88" s="56">
        <f>Equity_CF!F20-(Energy_Revenue!F19*0.05)*(1-Dep_Tax!F24)</f>
        <v>172.47550950933334</v>
      </c>
      <c r="G88" s="56">
        <f>Equity_CF!G20-(Energy_Revenue!G19*0.05)*(1-Dep_Tax!G24)</f>
        <v>194.97473089031476</v>
      </c>
      <c r="H88" s="56">
        <f>Equity_CF!H20-(Energy_Revenue!H19*0.05)*(1-Dep_Tax!H24)</f>
        <v>217.42554084320082</v>
      </c>
      <c r="I88" s="56">
        <f>Equity_CF!I20-(Energy_Revenue!I19*0.05)*(1-Dep_Tax!I24)</f>
        <v>229.76966290258397</v>
      </c>
      <c r="J88" s="56">
        <f>Equity_CF!J20-(Energy_Revenue!J19*0.05)*(1-Dep_Tax!J24)</f>
        <v>251.0029216340902</v>
      </c>
      <c r="K88" s="56">
        <f>Equity_CF!K20-(Energy_Revenue!K19*0.05)*(1-Dep_Tax!K24)</f>
        <v>272.18712031167166</v>
      </c>
      <c r="L88" s="56">
        <f>Equity_CF!L20-(Energy_Revenue!L19*0.05)*(1-Dep_Tax!L24)</f>
        <v>293.32119501103995</v>
      </c>
      <c r="M88" s="56">
        <f>Equity_CF!M20-(Energy_Revenue!M19*0.05)*(1-Dep_Tax!M24)</f>
        <v>314.40406069486733</v>
      </c>
      <c r="N88" s="56">
        <f>Equity_CF!N20-(Energy_Revenue!N19*0.05)*(1-Dep_Tax!N24)</f>
        <v>335.43461079019596</v>
      </c>
      <c r="O88" s="56">
        <f>Equity_CF!O20-(Energy_Revenue!O19*0.05)*(1-Dep_Tax!O24)</f>
        <v>356.41171675739321</v>
      </c>
      <c r="P88" s="56">
        <f>Equity_CF!P20-(Energy_Revenue!P19*0.05)*(1-Dep_Tax!P24)</f>
        <v>377.33422765049011</v>
      </c>
      <c r="Q88" s="56">
        <f>Equity_CF!Q20-(Energy_Revenue!Q19*0.05)*(1-Dep_Tax!Q24)</f>
        <v>398.20096966872455</v>
      </c>
      <c r="R88" s="56">
        <f>Equity_CF!R20-(Energy_Revenue!R19*0.05)*(1-Dep_Tax!R24)</f>
        <v>398.99346807460324</v>
      </c>
      <c r="S88" s="56">
        <f>Equity_CF!S20-(Energy_Revenue!S19*0.05)*(1-Dep_Tax!S24)</f>
        <v>418.65286832271624</v>
      </c>
      <c r="T88" s="56">
        <f>Equity_CF!T20-(Energy_Revenue!T19*0.05)*(1-Dep_Tax!T24)</f>
        <v>393.85890968915828</v>
      </c>
      <c r="U88" s="56">
        <f>Equity_CF!U20-(Energy_Revenue!U19*0.05)*(1-Dep_Tax!U24)</f>
        <v>696.59943337652544</v>
      </c>
      <c r="V88" s="56">
        <f>Equity_CF!V20-(Energy_Revenue!V19*0.05)*(1-Dep_Tax!V24)</f>
        <v>692.23321570155429</v>
      </c>
      <c r="W88" s="56">
        <f>Equity_CF!W20-(Energy_Revenue!W19*0.05)*(1-Dep_Tax!W24)</f>
        <v>687.81367769266853</v>
      </c>
      <c r="X88" s="56">
        <f>Equity_CF!X20-(Energy_Revenue!X19*0.05)*(1-Dep_Tax!X24)</f>
        <v>683.33968493515124</v>
      </c>
      <c r="Y88" s="56">
        <f>Equity_CF!Y20-(Energy_Revenue!Y19*0.05)*(1-Dep_Tax!Y24)</f>
        <v>0</v>
      </c>
      <c r="Z88" s="56">
        <f>Equity_CF!Z20-(Energy_Revenue!Z19*0.05)*(1-Dep_Tax!Z24)</f>
        <v>0</v>
      </c>
      <c r="AA88" s="56">
        <f>Equity_CF!AA20-(Energy_Revenue!AA19*0.05)*(1-Dep_Tax!AA24)</f>
        <v>0</v>
      </c>
      <c r="AB88" s="56">
        <f>Equity_CF!AB20-(Energy_Revenue!AB19*0.05)*(1-Dep_Tax!AB24)</f>
        <v>0</v>
      </c>
      <c r="AC88" s="56">
        <f>Equity_CF!AC20-(Energy_Revenue!AC19*0.05)*(1-Dep_Tax!AC24)</f>
        <v>0</v>
      </c>
      <c r="AD88" s="56">
        <f>Equity_CF!AD20-(Energy_Revenue!AD19*0.05)*(1-Dep_Tax!AD24)</f>
        <v>0</v>
      </c>
      <c r="AE88" s="56">
        <f>Equity_CF!AE20-(Energy_Revenue!AE19*0.05)*(1-Dep_Tax!AE24)</f>
        <v>0</v>
      </c>
      <c r="AF88" s="56">
        <f>Equity_CF!AF20-(Energy_Revenue!AF19*0.05)*(1-Dep_Tax!AF24)</f>
        <v>0</v>
      </c>
    </row>
    <row r="89" spans="1:32">
      <c r="A89" t="s">
        <v>696</v>
      </c>
      <c r="B89" t="s">
        <v>706</v>
      </c>
      <c r="C89" s="56">
        <f>Equity_CF!C20-(Energy_Revenue!C19*0.1)*(1-Dep_Tax!C24)</f>
        <v>-1091.8332500000001</v>
      </c>
      <c r="D89" s="56">
        <f>Equity_CF!D20-(Energy_Revenue!D19*0.1)*(1-Dep_Tax!D24)</f>
        <v>-1507.6532500000003</v>
      </c>
      <c r="E89" s="56">
        <f>Equity_CF!E20-(Energy_Revenue!E19*0.1)*(1-Dep_Tax!E24)</f>
        <v>823.19041199999992</v>
      </c>
      <c r="F89" s="56">
        <f>Equity_CF!F20-(Energy_Revenue!F19*0.1)*(1-Dep_Tax!F24)</f>
        <v>166.23820950933333</v>
      </c>
      <c r="G89" s="56">
        <f>Equity_CF!G20-(Energy_Revenue!G19*0.1)*(1-Dep_Tax!G24)</f>
        <v>188.61268489031474</v>
      </c>
      <c r="H89" s="56">
        <f>Equity_CF!H20-(Energy_Revenue!H19*0.1)*(1-Dep_Tax!H24)</f>
        <v>210.93625392320084</v>
      </c>
      <c r="I89" s="56">
        <f>Equity_CF!I20-(Energy_Revenue!I19*0.1)*(1-Dep_Tax!I24)</f>
        <v>223.48154387710397</v>
      </c>
      <c r="J89" s="56">
        <f>Equity_CF!J20-(Energy_Revenue!J19*0.1)*(1-Dep_Tax!J24)</f>
        <v>244.5890402281006</v>
      </c>
      <c r="K89" s="56">
        <f>Equity_CF!K20-(Energy_Revenue!K19*0.1)*(1-Dep_Tax!K24)</f>
        <v>265.64496127756223</v>
      </c>
      <c r="L89" s="56">
        <f>Equity_CF!L20-(Energy_Revenue!L19*0.1)*(1-Dep_Tax!L24)</f>
        <v>286.64819279624834</v>
      </c>
      <c r="M89" s="56">
        <f>Equity_CF!M20-(Energy_Revenue!M19*0.1)*(1-Dep_Tax!M24)</f>
        <v>307.59759843577996</v>
      </c>
      <c r="N89" s="56">
        <f>Equity_CF!N20-(Energy_Revenue!N19*0.1)*(1-Dep_Tax!N24)</f>
        <v>328.4920192859268</v>
      </c>
      <c r="O89" s="56">
        <f>Equity_CF!O20-(Energy_Revenue!O19*0.1)*(1-Dep_Tax!O24)</f>
        <v>349.3302734230387</v>
      </c>
      <c r="P89" s="56">
        <f>Equity_CF!P20-(Energy_Revenue!P19*0.1)*(1-Dep_Tax!P24)</f>
        <v>370.11115544944846</v>
      </c>
      <c r="Q89" s="56">
        <f>Equity_CF!Q20-(Energy_Revenue!Q19*0.1)*(1-Dep_Tax!Q24)</f>
        <v>390.83343602366205</v>
      </c>
      <c r="R89" s="56">
        <f>Equity_CF!R20-(Energy_Revenue!R19*0.1)*(1-Dep_Tax!R24)</f>
        <v>391.87410398390074</v>
      </c>
      <c r="S89" s="56">
        <f>Equity_CF!S20-(Energy_Revenue!S19*0.1)*(1-Dep_Tax!S24)</f>
        <v>411.39111695019972</v>
      </c>
      <c r="T89" s="56">
        <f>Equity_CF!T20-(Energy_Revenue!T19*0.1)*(1-Dep_Tax!T24)</f>
        <v>387.27492177807665</v>
      </c>
      <c r="U89" s="56">
        <f>Equity_CF!U20-(Energy_Revenue!U19*0.1)*(1-Dep_Tax!U24)</f>
        <v>689.8837657072221</v>
      </c>
      <c r="V89" s="56">
        <f>Equity_CF!V20-(Energy_Revenue!V19*0.1)*(1-Dep_Tax!V24)</f>
        <v>685.38323467886494</v>
      </c>
      <c r="W89" s="56">
        <f>Equity_CF!W20-(Energy_Revenue!W19*0.1)*(1-Dep_Tax!W24)</f>
        <v>680.82669704952548</v>
      </c>
      <c r="X89" s="56">
        <f>Equity_CF!X20-(Energy_Revenue!X19*0.1)*(1-Dep_Tax!X24)</f>
        <v>676.21296467914533</v>
      </c>
      <c r="Y89" s="56">
        <f>Equity_CF!Y20-(Energy_Revenue!Y19*0.1)*(1-Dep_Tax!Y24)</f>
        <v>0</v>
      </c>
      <c r="Z89" s="56">
        <f>Equity_CF!Z20-(Energy_Revenue!Z19*0.1)*(1-Dep_Tax!Z24)</f>
        <v>0</v>
      </c>
      <c r="AA89" s="56">
        <f>Equity_CF!AA20-(Energy_Revenue!AA19*0.1)*(1-Dep_Tax!AA24)</f>
        <v>0</v>
      </c>
      <c r="AB89" s="56">
        <f>Equity_CF!AB20-(Energy_Revenue!AB19*0.1)*(1-Dep_Tax!AB24)</f>
        <v>0</v>
      </c>
      <c r="AC89" s="56">
        <f>Equity_CF!AC20-(Energy_Revenue!AC19*0.1)*(1-Dep_Tax!AC24)</f>
        <v>0</v>
      </c>
      <c r="AD89" s="56">
        <f>Equity_CF!AD20-(Energy_Revenue!AD19*0.1)*(1-Dep_Tax!AD24)</f>
        <v>0</v>
      </c>
      <c r="AE89" s="56">
        <f>Equity_CF!AE20-(Energy_Revenue!AE19*0.1)*(1-Dep_Tax!AE24)</f>
        <v>0</v>
      </c>
      <c r="AF89" s="56">
        <f>Equity_CF!AF20-(Energy_Revenue!AF19*0.1)*(1-Dep_Tax!AF24)</f>
        <v>0</v>
      </c>
    </row>
    <row r="90" spans="1:32">
      <c r="A90" t="s">
        <v>697</v>
      </c>
      <c r="B90" t="s">
        <v>702</v>
      </c>
      <c r="C90" s="56">
        <f>Equity_CF!C20-Debt!C16*-0.0999999999999999*(1-Dep_Tax!C24)</f>
        <v>-1083.7003000000002</v>
      </c>
      <c r="D90" s="56">
        <f>Equity_CF!D20-Debt!D16*-0.0999999999999999*(1-Dep_Tax!D24)</f>
        <v>-1479.1879250000004</v>
      </c>
      <c r="E90" s="56">
        <f>Equity_CF!E20-Debt!E16*-0.0999999999999999*(1-Dep_Tax!E24)</f>
        <v>876.08516199999985</v>
      </c>
      <c r="F90" s="56">
        <f>Equity_CF!F20-Debt!F16*-0.0999999999999999*(1-Dep_Tax!F24)</f>
        <v>219.37755950933331</v>
      </c>
      <c r="G90" s="56">
        <f>Equity_CF!G20-Debt!G16*-0.0999999999999999*(1-Dep_Tax!G24)</f>
        <v>239.29054355698139</v>
      </c>
      <c r="H90" s="56">
        <f>Equity_CF!H20-Debt!H16*-0.0999999999999999*(1-Dep_Tax!H24)</f>
        <v>259.15761109653414</v>
      </c>
      <c r="I90" s="56">
        <f>Equity_CF!I20-Debt!I16*-0.0999999999999999*(1-Dep_Tax!I24)</f>
        <v>266.96299192806396</v>
      </c>
      <c r="J90" s="56">
        <f>Equity_CF!J20-Debt!J16*-0.0999999999999999*(1-Dep_Tax!J24)</f>
        <v>285.74657887341311</v>
      </c>
      <c r="K90" s="56">
        <f>Equity_CF!K20-Debt!K16*-0.0999999999999999*(1-Dep_Tax!K24)</f>
        <v>304.48362101244766</v>
      </c>
      <c r="L90" s="56">
        <f>Equity_CF!L20-Debt!L16*-0.0999999999999999*(1-Dep_Tax!L24)</f>
        <v>323.17310472583148</v>
      </c>
      <c r="M90" s="56">
        <f>Equity_CF!M20-Debt!M16*-0.0999999999999999*(1-Dep_Tax!M24)</f>
        <v>341.81399628728803</v>
      </c>
      <c r="N90" s="56">
        <f>Equity_CF!N20-Debt!N16*-0.0999999999999999*(1-Dep_Tax!N24)</f>
        <v>360.40524146113177</v>
      </c>
      <c r="O90" s="56">
        <f>Equity_CF!O20-Debt!O16*-0.0999999999999999*(1-Dep_Tax!O24)</f>
        <v>378.94576509174772</v>
      </c>
      <c r="P90" s="56">
        <f>Equity_CF!P20-Debt!P16*-0.0999999999999999*(1-Dep_Tax!P24)</f>
        <v>397.43447068486506</v>
      </c>
      <c r="Q90" s="56">
        <f>Equity_CF!Q20-Debt!Q16*-0.0999999999999999*(1-Dep_Tax!Q24)</f>
        <v>415.87023998045368</v>
      </c>
      <c r="R90" s="56">
        <f>Equity_CF!R20-Debt!R16*-0.0999999999999999*(1-Dep_Tax!R24)</f>
        <v>413.43248716530564</v>
      </c>
      <c r="S90" s="56">
        <f>Equity_CF!S20-Debt!S16*-0.0999999999999999*(1-Dep_Tax!S24)</f>
        <v>430.79438969523278</v>
      </c>
      <c r="T90" s="56">
        <f>Equity_CF!T20-Debt!T16*-0.0999999999999999*(1-Dep_Tax!T24)</f>
        <v>402.61168426690659</v>
      </c>
      <c r="U90" s="56">
        <f>Equity_CF!U20-Debt!U16*-0.0999999999999999*(1-Dep_Tax!U24)</f>
        <v>703.31510104582867</v>
      </c>
      <c r="V90" s="56">
        <f>Equity_CF!V20-Debt!V16*-0.0999999999999999*(1-Dep_Tax!V24)</f>
        <v>699.08319672424363</v>
      </c>
      <c r="W90" s="56">
        <f>Equity_CF!W20-Debt!W16*-0.0999999999999999*(1-Dep_Tax!W24)</f>
        <v>694.8006583358117</v>
      </c>
      <c r="X90" s="56">
        <f>Equity_CF!X20-Debt!X16*-0.0999999999999999*(1-Dep_Tax!X24)</f>
        <v>690.46640519115726</v>
      </c>
      <c r="Y90" s="56">
        <f>Equity_CF!Y20-Debt!Y16*-0.0999999999999999*(1-Dep_Tax!Y24)</f>
        <v>0</v>
      </c>
      <c r="Z90" s="56">
        <f>Equity_CF!Z20-Debt!Z16*-0.0999999999999999*(1-Dep_Tax!Z24)</f>
        <v>0</v>
      </c>
      <c r="AA90" s="56">
        <f>Equity_CF!AA20-Debt!AA16*-0.0999999999999999*(1-Dep_Tax!AA24)</f>
        <v>0</v>
      </c>
      <c r="AB90" s="56">
        <f>Equity_CF!AB20-Debt!AB16*-0.0999999999999999*(1-Dep_Tax!AB24)</f>
        <v>0</v>
      </c>
      <c r="AC90" s="56">
        <f>Equity_CF!AC20-Debt!AC16*-0.0999999999999999*(1-Dep_Tax!AC24)</f>
        <v>0</v>
      </c>
      <c r="AD90" s="56">
        <f>Equity_CF!AD20-Debt!AD16*-0.0999999999999999*(1-Dep_Tax!AD24)</f>
        <v>0</v>
      </c>
      <c r="AE90" s="56">
        <f>Equity_CF!AE20-Debt!AE16*-0.0999999999999999*(1-Dep_Tax!AE24)</f>
        <v>0</v>
      </c>
      <c r="AF90" s="56">
        <f>Equity_CF!AF20-Debt!AF16*-0.0999999999999999*(1-Dep_Tax!AF24)</f>
        <v>0</v>
      </c>
    </row>
    <row r="91" spans="1:32">
      <c r="A91" t="s">
        <v>698</v>
      </c>
      <c r="B91" t="s">
        <v>703</v>
      </c>
      <c r="C91" s="56">
        <f>Equity_CF!C20-Debt!C16*-0.05*(1-Dep_Tax!C24)</f>
        <v>-1087.7667750000001</v>
      </c>
      <c r="D91" s="56">
        <f>Equity_CF!D20-Debt!D16*-0.05*(1-Dep_Tax!D24)</f>
        <v>-1493.4205875000002</v>
      </c>
      <c r="E91" s="56">
        <f>Equity_CF!E20-Debt!E16*-0.05*(1-Dep_Tax!E24)</f>
        <v>855.7527869999999</v>
      </c>
      <c r="F91" s="56">
        <f>Equity_CF!F20-Debt!F16*-0.05*(1-Dep_Tax!F24)</f>
        <v>199.04518450933335</v>
      </c>
      <c r="G91" s="56">
        <f>Equity_CF!G20-Debt!G16*-0.05*(1-Dep_Tax!G24)</f>
        <v>220.31366022364807</v>
      </c>
      <c r="H91" s="56">
        <f>Equity_CF!H20-Debt!H16*-0.05*(1-Dep_Tax!H24)</f>
        <v>241.53621942986749</v>
      </c>
      <c r="I91" s="56">
        <f>Equity_CF!I20-Debt!I16*-0.05*(1-Dep_Tax!I24)</f>
        <v>251.51038692806398</v>
      </c>
      <c r="J91" s="56">
        <f>Equity_CF!J20-Debt!J16*-0.05*(1-Dep_Tax!J24)</f>
        <v>271.58169095674646</v>
      </c>
      <c r="K91" s="56">
        <f>Equity_CF!K20-Debt!K16*-0.05*(1-Dep_Tax!K24)</f>
        <v>291.60645017911435</v>
      </c>
      <c r="L91" s="56">
        <f>Equity_CF!L20-Debt!L16*-0.05*(1-Dep_Tax!L24)</f>
        <v>311.58365097583152</v>
      </c>
      <c r="M91" s="56">
        <f>Equity_CF!M20-Debt!M16*-0.05*(1-Dep_Tax!M24)</f>
        <v>331.51225962062142</v>
      </c>
      <c r="N91" s="56">
        <f>Equity_CF!N20-Debt!N16*-0.05*(1-Dep_Tax!N24)</f>
        <v>351.39122187779844</v>
      </c>
      <c r="O91" s="56">
        <f>Equity_CF!O20-Debt!O16*-0.05*(1-Dep_Tax!O24)</f>
        <v>371.21946259174774</v>
      </c>
      <c r="P91" s="56">
        <f>Equity_CF!P20-Debt!P16*-0.05*(1-Dep_Tax!P24)</f>
        <v>390.99588526819844</v>
      </c>
      <c r="Q91" s="56">
        <f>Equity_CF!Q20-Debt!Q16*-0.05*(1-Dep_Tax!Q24)</f>
        <v>410.71937164712034</v>
      </c>
      <c r="R91" s="56">
        <f>Equity_CF!R20-Debt!R16*-0.05*(1-Dep_Tax!R24)</f>
        <v>409.7726596653057</v>
      </c>
      <c r="S91" s="56">
        <f>Equity_CF!S20-Debt!S16*-0.05*(1-Dep_Tax!S24)</f>
        <v>428.35450469523278</v>
      </c>
      <c r="T91" s="56">
        <f>Equity_CF!T20-Debt!T16*-0.05*(1-Dep_Tax!T24)</f>
        <v>401.52729093357323</v>
      </c>
      <c r="U91" s="56">
        <f>Equity_CF!U20-Debt!U16*-0.05*(1-Dep_Tax!U24)</f>
        <v>703.31510104582867</v>
      </c>
      <c r="V91" s="56">
        <f>Equity_CF!V20-Debt!V16*-0.05*(1-Dep_Tax!V24)</f>
        <v>699.08319672424363</v>
      </c>
      <c r="W91" s="56">
        <f>Equity_CF!W20-Debt!W16*-0.05*(1-Dep_Tax!W24)</f>
        <v>694.8006583358117</v>
      </c>
      <c r="X91" s="56">
        <f>Equity_CF!X20-Debt!X16*-0.05*(1-Dep_Tax!X24)</f>
        <v>690.46640519115726</v>
      </c>
      <c r="Y91" s="56">
        <f>Equity_CF!Y20-Debt!Y16*-0.05*(1-Dep_Tax!Y24)</f>
        <v>0</v>
      </c>
      <c r="Z91" s="56">
        <f>Equity_CF!Z20-Debt!Z16*-0.05*(1-Dep_Tax!Z24)</f>
        <v>0</v>
      </c>
      <c r="AA91" s="56">
        <f>Equity_CF!AA20-Debt!AA16*-0.05*(1-Dep_Tax!AA24)</f>
        <v>0</v>
      </c>
      <c r="AB91" s="56">
        <f>Equity_CF!AB20-Debt!AB16*-0.05*(1-Dep_Tax!AB24)</f>
        <v>0</v>
      </c>
      <c r="AC91" s="56">
        <f>Equity_CF!AC20-Debt!AC16*-0.05*(1-Dep_Tax!AC24)</f>
        <v>0</v>
      </c>
      <c r="AD91" s="56">
        <f>Equity_CF!AD20-Debt!AD16*-0.05*(1-Dep_Tax!AD24)</f>
        <v>0</v>
      </c>
      <c r="AE91" s="56">
        <f>Equity_CF!AE20-Debt!AE16*-0.05*(1-Dep_Tax!AE24)</f>
        <v>0</v>
      </c>
      <c r="AF91" s="56">
        <f>Equity_CF!AF20-Debt!AF16*-0.05*(1-Dep_Tax!AF24)</f>
        <v>0</v>
      </c>
    </row>
    <row r="92" spans="1:32">
      <c r="A92" t="s">
        <v>699</v>
      </c>
      <c r="B92" t="s">
        <v>704</v>
      </c>
      <c r="C92" s="56">
        <f>Equity_CF!C20-Debt!C16*0*(1-Dep_Tax!C24)</f>
        <v>-1091.8332500000001</v>
      </c>
      <c r="D92" s="56">
        <f>Equity_CF!D20-Debt!D16*0*(1-Dep_Tax!D24)</f>
        <v>-1507.6532500000003</v>
      </c>
      <c r="E92" s="56">
        <f>Equity_CF!E20-Debt!E16*0*(1-Dep_Tax!E24)</f>
        <v>835.42041199999994</v>
      </c>
      <c r="F92" s="56">
        <f>Equity_CF!F20-Debt!F16*0*(1-Dep_Tax!F24)</f>
        <v>178.71280950933334</v>
      </c>
      <c r="G92" s="56">
        <f>Equity_CF!G20-Debt!G16*0*(1-Dep_Tax!G24)</f>
        <v>201.33677689031475</v>
      </c>
      <c r="H92" s="56">
        <f>Equity_CF!H20-Debt!H16*0*(1-Dep_Tax!H24)</f>
        <v>223.91482776320083</v>
      </c>
      <c r="I92" s="56">
        <f>Equity_CF!I20-Debt!I16*0*(1-Dep_Tax!I24)</f>
        <v>236.05778192806397</v>
      </c>
      <c r="J92" s="56">
        <f>Equity_CF!J20-Debt!J16*0*(1-Dep_Tax!J24)</f>
        <v>257.4168030400798</v>
      </c>
      <c r="K92" s="56">
        <f>Equity_CF!K20-Debt!K16*0*(1-Dep_Tax!K24)</f>
        <v>278.72927934578104</v>
      </c>
      <c r="L92" s="56">
        <f>Equity_CF!L20-Debt!L16*0*(1-Dep_Tax!L24)</f>
        <v>299.9941972258315</v>
      </c>
      <c r="M92" s="56">
        <f>Equity_CF!M20-Debt!M16*0*(1-Dep_Tax!M24)</f>
        <v>321.21052295395475</v>
      </c>
      <c r="N92" s="56">
        <f>Equity_CF!N20-Debt!N16*0*(1-Dep_Tax!N24)</f>
        <v>342.37720229446512</v>
      </c>
      <c r="O92" s="56">
        <f>Equity_CF!O20-Debt!O16*0*(1-Dep_Tax!O24)</f>
        <v>363.49316009174777</v>
      </c>
      <c r="P92" s="56">
        <f>Equity_CF!P20-Debt!P16*0*(1-Dep_Tax!P24)</f>
        <v>384.55729985153175</v>
      </c>
      <c r="Q92" s="56">
        <f>Equity_CF!Q20-Debt!Q16*0*(1-Dep_Tax!Q24)</f>
        <v>405.56850331378701</v>
      </c>
      <c r="R92" s="56">
        <f>Equity_CF!R20-Debt!R16*0*(1-Dep_Tax!R24)</f>
        <v>406.11283216530569</v>
      </c>
      <c r="S92" s="56">
        <f>Equity_CF!S20-Debt!S16*0*(1-Dep_Tax!S24)</f>
        <v>425.91461969523277</v>
      </c>
      <c r="T92" s="56">
        <f>Equity_CF!T20-Debt!T16*0*(1-Dep_Tax!T24)</f>
        <v>400.44289760023992</v>
      </c>
      <c r="U92" s="56">
        <f>Equity_CF!U20-Debt!U16*0*(1-Dep_Tax!U24)</f>
        <v>703.31510104582867</v>
      </c>
      <c r="V92" s="56">
        <f>Equity_CF!V20-Debt!V16*0*(1-Dep_Tax!V24)</f>
        <v>699.08319672424363</v>
      </c>
      <c r="W92" s="56">
        <f>Equity_CF!W20-Debt!W16*0*(1-Dep_Tax!W24)</f>
        <v>694.8006583358117</v>
      </c>
      <c r="X92" s="56">
        <f>Equity_CF!X20-Debt!X16*0*(1-Dep_Tax!X24)</f>
        <v>690.46640519115726</v>
      </c>
      <c r="Y92" s="56">
        <f>Equity_CF!Y20-Debt!Y16*0*(1-Dep_Tax!Y24)</f>
        <v>0</v>
      </c>
      <c r="Z92" s="56">
        <f>Equity_CF!Z20-Debt!Z16*0*(1-Dep_Tax!Z24)</f>
        <v>0</v>
      </c>
      <c r="AA92" s="56">
        <f>Equity_CF!AA20-Debt!AA16*0*(1-Dep_Tax!AA24)</f>
        <v>0</v>
      </c>
      <c r="AB92" s="56">
        <f>Equity_CF!AB20-Debt!AB16*0*(1-Dep_Tax!AB24)</f>
        <v>0</v>
      </c>
      <c r="AC92" s="56">
        <f>Equity_CF!AC20-Debt!AC16*0*(1-Dep_Tax!AC24)</f>
        <v>0</v>
      </c>
      <c r="AD92" s="56">
        <f>Equity_CF!AD20-Debt!AD16*0*(1-Dep_Tax!AD24)</f>
        <v>0</v>
      </c>
      <c r="AE92" s="56">
        <f>Equity_CF!AE20-Debt!AE16*0*(1-Dep_Tax!AE24)</f>
        <v>0</v>
      </c>
      <c r="AF92" s="56">
        <f>Equity_CF!AF20-Debt!AF16*0*(1-Dep_Tax!AF24)</f>
        <v>0</v>
      </c>
    </row>
    <row r="93" spans="1:32">
      <c r="A93" t="s">
        <v>700</v>
      </c>
      <c r="B93" t="s">
        <v>705</v>
      </c>
      <c r="C93" s="56">
        <f>Equity_CF!C20-Debt!C16*0.05*(1-Dep_Tax!C24)</f>
        <v>-1095.8997250000002</v>
      </c>
      <c r="D93" s="56">
        <f>Equity_CF!D20-Debt!D16*0.05*(1-Dep_Tax!D24)</f>
        <v>-1521.8859125000004</v>
      </c>
      <c r="E93" s="56">
        <f>Equity_CF!E20-Debt!E16*0.05*(1-Dep_Tax!E24)</f>
        <v>815.08803699999999</v>
      </c>
      <c r="F93" s="56">
        <f>Equity_CF!F20-Debt!F16*0.05*(1-Dep_Tax!F24)</f>
        <v>158.38043450933333</v>
      </c>
      <c r="G93" s="56">
        <f>Equity_CF!G20-Debt!G16*0.05*(1-Dep_Tax!G24)</f>
        <v>182.35989355698143</v>
      </c>
      <c r="H93" s="56">
        <f>Equity_CF!H20-Debt!H16*0.05*(1-Dep_Tax!H24)</f>
        <v>206.29343609653418</v>
      </c>
      <c r="I93" s="56">
        <f>Equity_CF!I20-Debt!I16*0.05*(1-Dep_Tax!I24)</f>
        <v>220.60517692806397</v>
      </c>
      <c r="J93" s="56">
        <f>Equity_CF!J20-Debt!J16*0.05*(1-Dep_Tax!J24)</f>
        <v>243.25191512341314</v>
      </c>
      <c r="K93" s="56">
        <f>Equity_CF!K20-Debt!K16*0.05*(1-Dep_Tax!K24)</f>
        <v>265.85210851244773</v>
      </c>
      <c r="L93" s="56">
        <f>Equity_CF!L20-Debt!L16*0.05*(1-Dep_Tax!L24)</f>
        <v>288.40474347583148</v>
      </c>
      <c r="M93" s="56">
        <f>Equity_CF!M20-Debt!M16*0.05*(1-Dep_Tax!M24)</f>
        <v>310.90878628728808</v>
      </c>
      <c r="N93" s="56">
        <f>Equity_CF!N20-Debt!N16*0.05*(1-Dep_Tax!N24)</f>
        <v>333.3631827111318</v>
      </c>
      <c r="O93" s="56">
        <f>Equity_CF!O20-Debt!O16*0.05*(1-Dep_Tax!O24)</f>
        <v>355.76685759174779</v>
      </c>
      <c r="P93" s="56">
        <f>Equity_CF!P20-Debt!P16*0.05*(1-Dep_Tax!P24)</f>
        <v>378.11871443486507</v>
      </c>
      <c r="Q93" s="56">
        <f>Equity_CF!Q20-Debt!Q16*0.05*(1-Dep_Tax!Q24)</f>
        <v>400.41763498045367</v>
      </c>
      <c r="R93" s="56">
        <f>Equity_CF!R20-Debt!R16*0.05*(1-Dep_Tax!R24)</f>
        <v>402.45300466530568</v>
      </c>
      <c r="S93" s="56">
        <f>Equity_CF!S20-Debt!S16*0.05*(1-Dep_Tax!S24)</f>
        <v>423.47473469523277</v>
      </c>
      <c r="T93" s="56">
        <f>Equity_CF!T20-Debt!T16*0.05*(1-Dep_Tax!T24)</f>
        <v>399.35850426690661</v>
      </c>
      <c r="U93" s="56">
        <f>Equity_CF!U20-Debt!U16*0.05*(1-Dep_Tax!U24)</f>
        <v>703.31510104582867</v>
      </c>
      <c r="V93" s="56">
        <f>Equity_CF!V20-Debt!V16*0.05*(1-Dep_Tax!V24)</f>
        <v>699.08319672424363</v>
      </c>
      <c r="W93" s="56">
        <f>Equity_CF!W20-Debt!W16*0.05*(1-Dep_Tax!W24)</f>
        <v>694.8006583358117</v>
      </c>
      <c r="X93" s="56">
        <f>Equity_CF!X20-Debt!X16*0.05*(1-Dep_Tax!X24)</f>
        <v>690.46640519115726</v>
      </c>
      <c r="Y93" s="56">
        <f>Equity_CF!Y20-Debt!Y16*0.05*(1-Dep_Tax!Y24)</f>
        <v>0</v>
      </c>
      <c r="Z93" s="56">
        <f>Equity_CF!Z20-Debt!Z16*0.05*(1-Dep_Tax!Z24)</f>
        <v>0</v>
      </c>
      <c r="AA93" s="56">
        <f>Equity_CF!AA20-Debt!AA16*0.05*(1-Dep_Tax!AA24)</f>
        <v>0</v>
      </c>
      <c r="AB93" s="56">
        <f>Equity_CF!AB20-Debt!AB16*0.05*(1-Dep_Tax!AB24)</f>
        <v>0</v>
      </c>
      <c r="AC93" s="56">
        <f>Equity_CF!AC20-Debt!AC16*0.05*(1-Dep_Tax!AC24)</f>
        <v>0</v>
      </c>
      <c r="AD93" s="56">
        <f>Equity_CF!AD20-Debt!AD16*0.05*(1-Dep_Tax!AD24)</f>
        <v>0</v>
      </c>
      <c r="AE93" s="56">
        <f>Equity_CF!AE20-Debt!AE16*0.05*(1-Dep_Tax!AE24)</f>
        <v>0</v>
      </c>
      <c r="AF93" s="56">
        <f>Equity_CF!AF20-Debt!AF16*0.05*(1-Dep_Tax!AF24)</f>
        <v>0</v>
      </c>
    </row>
    <row r="94" spans="1:32">
      <c r="A94" t="s">
        <v>701</v>
      </c>
      <c r="B94" t="s">
        <v>706</v>
      </c>
      <c r="C94" s="56">
        <f>Equity_CF!C20-Debt!C16*0.1*(1-Dep_Tax!C24)</f>
        <v>-1099.9662000000001</v>
      </c>
      <c r="D94" s="56">
        <f>Equity_CF!D20-Debt!D16*0.1*(1-Dep_Tax!D24)</f>
        <v>-1536.1185750000002</v>
      </c>
      <c r="E94" s="56">
        <f>Equity_CF!E20-Debt!E16*0.1*(1-Dep_Tax!E24)</f>
        <v>794.75566199999992</v>
      </c>
      <c r="F94" s="56">
        <f>Equity_CF!F20-Debt!F16*0.1*(1-Dep_Tax!F24)</f>
        <v>138.04805950933334</v>
      </c>
      <c r="G94" s="56">
        <f>Equity_CF!G20-Debt!G16*0.1*(1-Dep_Tax!G24)</f>
        <v>163.38301022364809</v>
      </c>
      <c r="H94" s="56">
        <f>Equity_CF!H20-Debt!H16*0.1*(1-Dep_Tax!H24)</f>
        <v>188.6720444298675</v>
      </c>
      <c r="I94" s="56">
        <f>Equity_CF!I20-Debt!I16*0.1*(1-Dep_Tax!I24)</f>
        <v>205.15257192806399</v>
      </c>
      <c r="J94" s="56">
        <f>Equity_CF!J20-Debt!J16*0.1*(1-Dep_Tax!J24)</f>
        <v>229.08702720674648</v>
      </c>
      <c r="K94" s="56">
        <f>Equity_CF!K20-Debt!K16*0.1*(1-Dep_Tax!K24)</f>
        <v>252.97493767911436</v>
      </c>
      <c r="L94" s="56">
        <f>Equity_CF!L20-Debt!L16*0.1*(1-Dep_Tax!L24)</f>
        <v>276.81528972583152</v>
      </c>
      <c r="M94" s="56">
        <f>Equity_CF!M20-Debt!M16*0.1*(1-Dep_Tax!M24)</f>
        <v>300.60704962062141</v>
      </c>
      <c r="N94" s="56">
        <f>Equity_CF!N20-Debt!N16*0.1*(1-Dep_Tax!N24)</f>
        <v>324.34916312779848</v>
      </c>
      <c r="O94" s="56">
        <f>Equity_CF!O20-Debt!O16*0.1*(1-Dep_Tax!O24)</f>
        <v>348.04055509174776</v>
      </c>
      <c r="P94" s="56">
        <f>Equity_CF!P20-Debt!P16*0.1*(1-Dep_Tax!P24)</f>
        <v>371.68012901819844</v>
      </c>
      <c r="Q94" s="56">
        <f>Equity_CF!Q20-Debt!Q16*0.1*(1-Dep_Tax!Q24)</f>
        <v>395.26676664712033</v>
      </c>
      <c r="R94" s="56">
        <f>Equity_CF!R20-Debt!R16*0.1*(1-Dep_Tax!R24)</f>
        <v>398.79317716530568</v>
      </c>
      <c r="S94" s="56">
        <f>Equity_CF!S20-Debt!S16*0.1*(1-Dep_Tax!S24)</f>
        <v>421.03484969523277</v>
      </c>
      <c r="T94" s="56">
        <f>Equity_CF!T20-Debt!T16*0.1*(1-Dep_Tax!T24)</f>
        <v>398.27411093357324</v>
      </c>
      <c r="U94" s="56">
        <f>Equity_CF!U20-Debt!U16*0.1*(1-Dep_Tax!U24)</f>
        <v>703.31510104582867</v>
      </c>
      <c r="V94" s="56">
        <f>Equity_CF!V20-Debt!V16*0.1*(1-Dep_Tax!V24)</f>
        <v>699.08319672424363</v>
      </c>
      <c r="W94" s="56">
        <f>Equity_CF!W20-Debt!W16*0.1*(1-Dep_Tax!W24)</f>
        <v>694.8006583358117</v>
      </c>
      <c r="X94" s="56">
        <f>Equity_CF!X20-Debt!X16*0.1*(1-Dep_Tax!X24)</f>
        <v>690.46640519115726</v>
      </c>
      <c r="Y94" s="56">
        <f>Equity_CF!Y20-Debt!Y16*0.1*(1-Dep_Tax!Y24)</f>
        <v>0</v>
      </c>
      <c r="Z94" s="56">
        <f>Equity_CF!Z20-Debt!Z16*0.1*(1-Dep_Tax!Z24)</f>
        <v>0</v>
      </c>
      <c r="AA94" s="56">
        <f>Equity_CF!AA20-Debt!AA16*0.1*(1-Dep_Tax!AA24)</f>
        <v>0</v>
      </c>
      <c r="AB94" s="56">
        <f>Equity_CF!AB20-Debt!AB16*0.1*(1-Dep_Tax!AB24)</f>
        <v>0</v>
      </c>
      <c r="AC94" s="56">
        <f>Equity_CF!AC20-Debt!AC16*0.1*(1-Dep_Tax!AC24)</f>
        <v>0</v>
      </c>
      <c r="AD94" s="56">
        <f>Equity_CF!AD20-Debt!AD16*0.1*(1-Dep_Tax!AD24)</f>
        <v>0</v>
      </c>
      <c r="AE94" s="56">
        <f>Equity_CF!AE20-Debt!AE16*0.1*(1-Dep_Tax!AE24)</f>
        <v>0</v>
      </c>
      <c r="AF94" s="56">
        <f>Equity_CF!AF20-Debt!AF16*0.1*(1-Dep_Tax!AF24)</f>
        <v>0</v>
      </c>
    </row>
  </sheetData>
  <mergeCells count="7">
    <mergeCell ref="A23:G25"/>
    <mergeCell ref="A28:AF28"/>
    <mergeCell ref="A1:G1"/>
    <mergeCell ref="A2:G2"/>
    <mergeCell ref="A3:G3"/>
    <mergeCell ref="A5:G5"/>
    <mergeCell ref="A14:G14"/>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Abbreviations</vt:lpstr>
      <vt:lpstr>Input</vt:lpstr>
      <vt:lpstr>Summary</vt:lpstr>
      <vt:lpstr>CAPEX</vt:lpstr>
      <vt:lpstr>Energy_Revenue</vt:lpstr>
      <vt:lpstr>Debt</vt:lpstr>
      <vt:lpstr>Dep_Tax</vt:lpstr>
      <vt:lpstr>Income_Statement</vt:lpstr>
      <vt:lpstr>Project_CF</vt:lpstr>
      <vt:lpstr>Equity_CF</vt:lpstr>
      <vt:lpstr>Sensitivity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HOANG Nguyen Le</cp:lastModifiedBy>
  <dcterms:modified xsi:type="dcterms:W3CDTF">2026-07-31T02:00:28Z</dcterms:modified>
</cp:coreProperties>
</file>
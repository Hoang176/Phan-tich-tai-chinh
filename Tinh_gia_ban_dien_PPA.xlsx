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7684b285e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PA_Tariff" sheetId="11" r:id="Rbe68256e8c1a4a89"/>
  </x:sheets>
</x:workbook>
</file>

<file path=xl/comments1.xml><?xml version="1.0" encoding="utf-8"?>
<x:comments xmlns:x="http://schemas.openxmlformats.org/spreadsheetml/2006/main">
  <x:authors>
    <x:author>tc={811031E2-5294-BDB1-2B29-BB52A829B804}</x:author>
    <x:author>tc={3793F5DB-CA71-3647-4360-58EB3A70623C}</x:author>
    <x:author>tc={442CD9AA-A7F7-CAD3-3EA2-30C12999768A}</x:author>
  </x:authors>
  <x:commentList>
    <x:comment ref="B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IRR mục tiêu dùng để giải FC. Theo Điều 3 Thông tư 12/2025/TT-BCT, IRR không được vượt 12%.</x:t>
        </x:r>
      </x:text>
    </x:comment>
    <x:comment ref="B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Đối với điện gió, hai bên thỏa thuận sản lượng kỳ vọng P50 tại điểm giao nhận theo Điều 5 Thông tư 12/2025/TT-BCT và nội dung sửa đổi liên quan.</x:t>
        </x:r>
      </x:text>
    </x:comment>
    <x:comment ref="E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Cơ sở tính FOMC của dự án mới là chi phí xây dựng + chi phí thiết bị theo Điều 6 Thông tư 12/2025/TT-BCT.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#,##0.0;[Red](#,##0.0);-"/>
    <x:numFmt numFmtId="201" formatCode="0"/>
    <x:numFmt numFmtId="202" formatCode="#,##0.00;[Red](#,##0.00);-"/>
    <x:numFmt numFmtId="203" formatCode="0.0%"/>
    <x:numFmt numFmtId="204" formatCode="0.0"/>
    <x:numFmt numFmtId="205" formatCode="#,##0;[Red](#,##0);-"/>
    <x:numFmt numFmtId="206" formatCode="0.00%"/>
    <x:numFmt numFmtId="207" formatCode="0.00x"/>
    <x:numFmt numFmtId="208" formatCode="#,##0.0"/>
    <x:numFmt numFmtId="209" formatCode="#,##0"/>
    <x:numFmt numFmtId="210" formatCode="#,##0.00"/>
    <x:numFmt numFmtId="211" formatCode="@"/>
    <x:numFmt numFmtId="212" formatCode="0.0%;[Red](0.0%);-"/>
    <x:numFmt numFmtId="213" formatCode="0.00x;[Red](0.00x);-"/>
    <x:numFmt numFmtId="214" formatCode="0.00%;[Red](0.00%);-"/>
    <x:numFmt numFmtId="215" formatCode="0.0000x"/>
    <x:numFmt numFmtId="216" formatCode="#,##0.000"/>
    <x:numFmt numFmtId="217" formatCode="0.0000"/>
  </x:numFmts>
  <x:fonts count="48">
    <x:font>
      <x:sz val="11"/>
      <x:name val="Carlito"/>
    </x:font>
    <x:font>
      <x:sz val="10"/>
      <x:color rgb="FF222222"/>
      <x:name val="Arial"/>
    </x:font>
    <x:font>
      <x:b/>
      <x:sz val="15"/>
      <x:color rgb="FFFFFFFF"/>
      <x:name val="Arial"/>
    </x:font>
    <x:font>
      <x:i/>
      <x:sz val="10"/>
      <x:color rgb="FF666666"/>
      <x:name val="Arial"/>
    </x:font>
    <x:font>
      <x:sz val="9"/>
      <x:color rgb="FF666666"/>
      <x:name val="Arial"/>
    </x:font>
    <x:font>
      <x:b/>
      <x:sz val="10"/>
      <x:color rgb="FF4F6D8A"/>
      <x:name val="Arial"/>
    </x:font>
    <x:font>
      <x:b/>
      <x:sz val="10"/>
      <x:color rgb="FFFF0000"/>
      <x:name val="Arial"/>
    </x:font>
    <x:font>
      <x:b/>
      <x:sz val="10"/>
      <x:color rgb="FF0000FF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FF0000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sz val="8"/>
      <x:color rgb="FF666666"/>
      <x:name val="Arial"/>
    </x:font>
    <x:font>
      <x:b/>
      <x:sz val="9"/>
      <x:color rgb="FF222222"/>
      <x:name val="Arial"/>
    </x:font>
    <x:font>
      <x:i/>
      <x:sz val="9"/>
      <x:color rgb="FF222222"/>
      <x:name val="Arial"/>
    </x:font>
    <x:font>
      <x:sz val="9"/>
      <x:color rgb="FF222222"/>
      <x:name val="Arial"/>
    </x:font>
    <x:font>
      <x:b/>
      <x:sz val="9"/>
      <x:color rgb="FFFFFFFF"/>
      <x:name val="Arial"/>
    </x:font>
    <x:font>
      <x:sz val="9"/>
      <x:color rgb="FF0000FF"/>
      <x:name val="Arial"/>
    </x:font>
    <x:font>
      <x:b/>
      <x:sz val="9"/>
      <x:color rgb="FF4F6D8A"/>
      <x:name val="Arial"/>
    </x:font>
    <x:font>
      <x:sz val="9"/>
      <x:color rgb="FF0000FF"/>
      <x:name val="Arial"/>
    </x:font>
    <x:font>
      <x:b/>
      <x:sz val="9"/>
      <x:color rgb="FF0000FF"/>
      <x:name val="Arial"/>
    </x:font>
    <x:font>
      <x:b/>
      <x:sz val="11"/>
      <x:color rgb="FF4F6D8A"/>
      <x:name val="Arial"/>
    </x:font>
    <x:font>
      <x:b/>
      <x:sz val="16"/>
      <x:color rgb="FF0000FF"/>
      <x:name val="Arial"/>
    </x:font>
    <x:font>
      <x:b/>
      <x:sz val="14"/>
      <x:color rgb="FFC00000"/>
      <x:name val="Arial"/>
    </x:font>
    <x:font>
      <x:b/>
      <x:sz val="14"/>
      <x:color rgb="FF0000FF"/>
      <x:name val="Arial"/>
    </x:font>
    <x:font>
      <x:b/>
      <x:sz val="14"/>
      <x:color rgb="FFFFFFFF"/>
      <x:name val="Carlito"/>
    </x:font>
    <x:font>
      <x:i/>
      <x:sz val="10"/>
      <x:color rgb="FF404040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i/>
      <x:sz val="9"/>
      <x:color rgb="FF666666"/>
      <x:name val="Carlito"/>
    </x:font>
    <x:font>
      <x:sz val="11"/>
      <x:color rgb="FF000000"/>
      <x:name val="Carlito"/>
    </x:font>
    <x:font>
      <x:sz val="9"/>
      <x:color rgb="FF404040"/>
      <x:name val="Carlito"/>
    </x:font>
    <x:font>
      <x:i/>
      <x:sz val="9"/>
      <x:color rgb="FF9C0006"/>
      <x:name val="Carlito"/>
    </x:font>
    <x:font>
      <x:sz val="11"/>
      <x:name val="Arial"/>
    </x:font>
    <x:font>
      <x:i/>
      <x:sz val="10"/>
      <x:color rgb="FF404040"/>
      <x:name val="Arial"/>
    </x:font>
    <x:font>
      <x:b/>
      <x:sz val="11"/>
      <x:color rgb="FFFFFFFF"/>
      <x:name val="Arial"/>
    </x:font>
    <x:font>
      <x:sz val="11"/>
      <x:color rgb="FF404040"/>
      <x:name val="Arial"/>
    </x:font>
    <x:font>
      <x:sz val="11"/>
      <x:color rgb="FF0000FF"/>
      <x:name val="Arial"/>
    </x:font>
    <x:font>
      <x:b/>
      <x:sz val="11"/>
      <x:color rgb="FF000000"/>
      <x:name val="Arial"/>
    </x:font>
    <x:font>
      <x:b/>
      <x:sz val="11"/>
      <x:name val="Arial"/>
    </x:font>
    <x:font>
      <x:sz val="11"/>
      <x:color rgb="FF000000"/>
      <x:name val="Arial"/>
    </x:font>
    <x:font>
      <x:sz val="9"/>
      <x:color rgb="FF404040"/>
      <x:name val="Arial"/>
    </x:font>
    <x:font>
      <x:i/>
      <x:sz val="9"/>
      <x:color rgb="FF9C0006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rgb="FF4F6D8A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FFF9E8"/>
      </x:patternFill>
    </x:fill>
    <x:fill>
      <x:patternFill patternType="solid">
        <x:fgColor rgb="FFF1F6FA"/>
      </x:patternFill>
    </x:fill>
    <x:fill>
      <x:patternFill patternType="solid">
        <x:fgColor rgb="FFF2F2F2"/>
      </x:patternFill>
    </x:fill>
    <x:fill>
      <x:patternFill patternType="solid">
        <x:fgColor rgb="FFFCEFE8"/>
      </x:patternFill>
    </x:fill>
    <x:fill>
      <x:patternFill patternType="solid">
        <x:fgColor rgb="FFEDF6E9"/>
      </x:patternFill>
    </x:fill>
    <x:fill>
      <x:patternFill patternType="solid">
        <x:fgColor rgb="FFD9EAF7"/>
      </x:patternFill>
    </x:fill>
    <x:fill>
      <x:patternFill patternType="solid">
        <x:fgColor rgb="FF587895"/>
      </x:patternFill>
    </x:fill>
    <x:fill>
      <x:patternFill patternType="solid">
        <x:fgColor rgb="FFF1F6FA"/>
      </x:patternFill>
    </x:fill>
    <x:fill>
      <x:patternFill patternType="solid">
        <x:fgColor rgb="FFFDEDEC"/>
      </x:patternFill>
    </x:fill>
    <x:fill>
      <x:patternFill patternType="solid">
        <x:fgColor rgb="FFFFF8F2"/>
      </x:patternFill>
    </x:fill>
    <x:fill>
      <x:patternFill patternType="solid">
        <x:fgColor rgb="FFFFF2E8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</x:fills>
  <x:borders count="34">
    <x:border/>
    <x:border>
      <x:left style="thin">
        <x:color rgb="FFCEDAE3"/>
      </x:left>
      <x:top style="thin">
        <x:color rgb="FFCEDAE3"/>
      </x:top>
      <x:bottom style="thin">
        <x:color rgb="FFCEDAE3"/>
      </x:bottom>
    </x:border>
    <x:border>
      <x:top style="thin">
        <x:color rgb="FFCEDAE3"/>
      </x:top>
      <x:bottom style="thin">
        <x:color rgb="FFCEDAE3"/>
      </x:bottom>
    </x:border>
    <x:border>
      <x:right style="thin">
        <x:color rgb="FFCEDAE3"/>
      </x:right>
      <x:top style="thin">
        <x:color rgb="FFCEDAE3"/>
      </x:top>
      <x:bottom style="thin">
        <x:color rgb="FFCEDAE3"/>
      </x:bottom>
    </x:border>
    <x:border>
      <x:bottom style="thin">
        <x:color rgb="FFD9E1E8"/>
      </x:bottom>
    </x:border>
    <x:border>
      <x:bottom style="thin">
        <x:color rgb="FFCEDAE3"/>
      </x:bottom>
    </x:border>
    <x:border>
      <x:bottom style="thin">
        <x:color rgb="FFE4EAF0"/>
      </x:bottom>
    </x:border>
    <x:border>
      <x:left style="medium">
        <x:color rgb="FFD9B3AE"/>
      </x:left>
      <x:top style="medium">
        <x:color rgb="FFD9B3AE"/>
      </x:top>
      <x:bottom style="medium">
        <x:color rgb="FFD9B3AE"/>
      </x:bottom>
    </x:border>
    <x:border>
      <x:top style="medium">
        <x:color rgb="FFD9B3AE"/>
      </x:top>
      <x:bottom style="medium">
        <x:color rgb="FFD9B3AE"/>
      </x:bottom>
    </x:border>
    <x:border>
      <x:right style="medium">
        <x:color rgb="FFD9B3AE"/>
      </x:right>
      <x:top style="medium">
        <x:color rgb="FFD9B3AE"/>
      </x:top>
      <x:bottom style="medium">
        <x:color rgb="FFD9B3AE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A6A6A6"/>
      </x:left>
      <x:right style="thin">
        <x:color rgb="FFD9E2F3"/>
      </x:right>
      <x:top style="medium">
        <x:color rgb="FFA6A6A6"/>
      </x:top>
      <x:bottom style="medium">
        <x:color rgb="FFA6A6A6"/>
      </x:bottom>
    </x:border>
    <x:border>
      <x:left style="thin">
        <x:color rgb="FFD9E2F3"/>
      </x:left>
      <x:right style="thin">
        <x:color rgb="FFD9E2F3"/>
      </x:right>
      <x:top style="medium">
        <x:color rgb="FFA6A6A6"/>
      </x:top>
      <x:bottom style="medium">
        <x:color rgb="FFA6A6A6"/>
      </x:bottom>
    </x:border>
    <x:border>
      <x:left style="thin">
        <x:color rgb="FFD9E2F3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right style="thin">
        <x:color rgb="FFD9E2F3"/>
      </x:right>
      <x:top style="thin">
        <x:color rgb="FFD9E2F3"/>
      </x:top>
      <x:bottom style="double">
        <x:color rgb="FF1F4E78"/>
      </x:bottom>
    </x:border>
    <x:border>
      <x:left style="thin">
        <x:color rgb="FFD9E2F3"/>
      </x:left>
      <x:top style="thin">
        <x:color rgb="FFD9E2F3"/>
      </x:top>
      <x:bottom style="double">
        <x:color rgb="FF1F4E78"/>
      </x:bottom>
    </x:border>
    <x:border>
      <x:top style="thin">
        <x:color rgb="FFD9E2F3"/>
      </x:top>
      <x:bottom style="double">
        <x:color rgb="FF1F4E78"/>
      </x:bottom>
    </x:border>
    <x:border>
      <x:left style="thin">
        <x:color rgb="FFC65911"/>
      </x:left>
      <x:top style="thin">
        <x:color rgb="FFC65911"/>
      </x:top>
    </x:border>
    <x:border>
      <x:top style="thin">
        <x:color rgb="FFC65911"/>
      </x:top>
    </x:border>
    <x:border>
      <x:right style="thin">
        <x:color rgb="FFC65911"/>
      </x:right>
      <x:top style="thin">
        <x:color rgb="FFC65911"/>
      </x:top>
    </x:border>
    <x:border>
      <x:left style="thin">
        <x:color rgb="FFC65911"/>
      </x:left>
      <x:bottom style="thin">
        <x:color rgb="FFC65911"/>
      </x:bottom>
    </x:border>
    <x:border>
      <x:bottom style="thin">
        <x:color rgb="FFC65911"/>
      </x:bottom>
    </x:border>
    <x:border>
      <x:right style="thin">
        <x:color rgb="FFC65911"/>
      </x:right>
      <x:bottom style="thin">
        <x:color rgb="FFC65911"/>
      </x:bottom>
    </x:border>
    <x:border>
      <x:left style="thin">
        <x:color rgb="FFF4B084"/>
      </x:left>
      <x:right style="thin">
        <x:color rgb="FFD9E2F3"/>
      </x:right>
      <x:top style="thin">
        <x:color rgb="FFF4B084"/>
      </x:top>
      <x:bottom style="thin">
        <x:color rgb="FFF4B084"/>
      </x:bottom>
    </x:border>
    <x:border>
      <x:left style="thin">
        <x:color rgb="FFD9E2F3"/>
      </x:left>
      <x:right style="thin">
        <x:color rgb="FFD9E2F3"/>
      </x:right>
      <x:top style="thin">
        <x:color rgb="FFF4B084"/>
      </x:top>
      <x:bottom style="thin">
        <x:color rgb="FFF4B084"/>
      </x:bottom>
    </x:border>
    <x:border>
      <x:left style="thin">
        <x:color rgb="FFD9E2F3"/>
      </x:left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56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horizontal="left"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horizontal="right" vertical="center" wrapText="1"/>
    </x:xf>
    <x:xf numFmtId="200" fontId="6" fillId="5" borderId="4" xfId="0" applyNumberFormat="1" applyFont="1" applyFill="1" applyBorder="1" applyAlignment="1">
      <x:alignment horizontal="right"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horizontal="right" vertical="center" wrapText="1"/>
    </x:xf>
    <x:xf numFmtId="201" fontId="10" fillId="5" borderId="4" xfId="0" applyNumberFormat="1" applyFont="1" applyFill="1" applyBorder="1" applyAlignment="1">
      <x:alignment horizontal="right" vertical="center" wrapText="1"/>
    </x:xf>
    <x:xf numFmtId="201" fontId="6" fillId="5" borderId="4" xfId="0" applyNumberFormat="1" applyFont="1" applyFill="1" applyBorder="1" applyAlignment="1">
      <x:alignment horizontal="right"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horizontal="right" vertical="center" wrapText="1"/>
    </x:xf>
    <x:xf numFmtId="201" fontId="7" fillId="6" borderId="4" xfId="0" applyNumberFormat="1" applyFont="1" applyFill="1" applyBorder="1" applyAlignment="1">
      <x:alignment horizontal="right" vertical="center" wrapText="1"/>
    </x:xf>
    <x:xf numFmtId="202" fontId="7" fillId="6" borderId="4" xfId="0" applyNumberFormat="1" applyFont="1" applyFill="1" applyBorder="1" applyAlignment="1">
      <x:alignment horizontal="right" vertical="center" wrapText="1"/>
    </x:xf>
    <x:xf numFmtId="202" fontId="6" fillId="5" borderId="4" xfId="0" applyNumberFormat="1" applyFont="1" applyFill="1" applyBorder="1" applyAlignment="1">
      <x:alignment horizontal="right" vertical="center" wrapText="1"/>
    </x:xf>
    <x:xf numFmtId="203" fontId="6" fillId="5" borderId="4" xfId="0" applyNumberFormat="1" applyFont="1" applyFill="1" applyBorder="1" applyAlignment="1">
      <x:alignment horizontal="right" vertical="center" wrapText="1"/>
    </x:xf>
    <x:xf numFmtId="203" fontId="10" fillId="5" borderId="4" xfId="0" applyNumberFormat="1" applyFont="1" applyFill="1" applyBorder="1" applyAlignment="1">
      <x:alignment horizontal="right" vertical="center" wrapText="1"/>
    </x:xf>
    <x:xf numFmtId="204" fontId="10" fillId="5" borderId="4" xfId="0" applyNumberFormat="1" applyFont="1" applyFill="1" applyBorder="1" applyAlignment="1">
      <x:alignment horizontal="right" vertical="center" wrapText="1"/>
    </x:xf>
    <x:xf numFmtId="202" fontId="10" fillId="5" borderId="4" xfId="0" applyNumberFormat="1" applyFont="1" applyFill="1" applyBorder="1" applyAlignment="1">
      <x:alignment horizontal="right" vertical="center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2" xfId="0" applyNumberFormat="1" applyFont="1" applyFill="1" applyBorder="1" applyAlignment="1">
      <x:alignment horizontal="center"/>
    </x:xf>
    <x:xf numFmtId="0" fontId="8" fillId="3" borderId="3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8" fillId="3" borderId="3" xfId="0" applyNumberFormat="1" applyFont="1" applyFill="1" applyBorder="1" applyAlignment="1">
      <x:alignment horizontal="center" vertical="center"/>
    </x:xf>
    <x:xf numFmtId="203" fontId="7" fillId="6" borderId="4" xfId="0" applyNumberFormat="1" applyFont="1" applyFill="1" applyBorder="1" applyAlignment="1">
      <x:alignment horizontal="right" vertical="center" wrapText="1"/>
    </x:xf>
    <x:xf numFmtId="0" fontId="10" fillId="5" borderId="4" xfId="0" applyNumberFormat="1" applyFont="1" applyFill="1" applyBorder="1" applyAlignment="1">
      <x:alignment horizontal="left" vertical="center" wrapText="1"/>
    </x:xf>
    <x:xf numFmtId="205" fontId="7" fillId="6" borderId="4" xfId="0" applyNumberFormat="1" applyFont="1" applyFill="1" applyBorder="1" applyAlignment="1">
      <x:alignment horizontal="right" vertical="center" wrapText="1"/>
    </x:xf>
    <x:xf numFmtId="206" fontId="10" fillId="5" borderId="4" xfId="0" applyNumberFormat="1" applyFont="1" applyFill="1" applyBorder="1" applyAlignment="1">
      <x:alignment horizontal="right" vertical="center" wrapText="1"/>
    </x:xf>
    <x:xf numFmtId="206" fontId="6" fillId="5" borderId="4" xfId="0" applyNumberFormat="1" applyFont="1" applyFill="1" applyBorder="1" applyAlignment="1">
      <x:alignment horizontal="right" vertical="center" wrapText="1"/>
    </x:xf>
    <x:xf numFmtId="207" fontId="10" fillId="5" borderId="4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208" fontId="7" fillId="6" borderId="4" xfId="0" applyNumberFormat="1" applyFont="1" applyFill="1" applyBorder="1" applyAlignment="1">
      <x:alignment vertical="center"/>
    </x:xf>
    <x:xf numFmtId="208" fontId="7" fillId="6" borderId="4" xfId="0" applyNumberFormat="1" applyFont="1" applyFill="1" applyBorder="1" applyAlignment="1">
      <x:alignment horizontal="right" vertical="center"/>
    </x:xf>
    <x:xf numFmtId="201" fontId="7" fillId="6" borderId="4" xfId="0" applyNumberFormat="1" applyFont="1" applyFill="1" applyBorder="1" applyAlignment="1">
      <x:alignment vertical="center"/>
    </x:xf>
    <x:xf numFmtId="201" fontId="7" fillId="6" borderId="4" xfId="0" applyNumberFormat="1" applyFont="1" applyFill="1" applyBorder="1" applyAlignment="1">
      <x:alignment horizontal="right" vertical="center"/>
    </x:xf>
    <x:xf numFmtId="202" fontId="7" fillId="6" borderId="4" xfId="0" applyNumberFormat="1" applyFont="1" applyFill="1" applyBorder="1" applyAlignment="1">
      <x:alignment vertical="center"/>
    </x:xf>
    <x:xf numFmtId="202" fontId="7" fillId="6" borderId="4" xfId="0" applyNumberFormat="1" applyFont="1" applyFill="1" applyBorder="1" applyAlignment="1">
      <x:alignment horizontal="right" vertical="center"/>
    </x:xf>
    <x:xf numFmtId="209" fontId="7" fillId="6" borderId="4" xfId="0" applyNumberFormat="1" applyFont="1" applyFill="1" applyBorder="1" applyAlignment="1">
      <x:alignment vertical="center"/>
    </x:xf>
    <x:xf numFmtId="209" fontId="7" fillId="6" borderId="4" xfId="0" applyNumberFormat="1" applyFont="1" applyFill="1" applyBorder="1" applyAlignment="1">
      <x:alignment horizontal="right" vertical="center"/>
    </x:xf>
    <x:xf numFmtId="210" fontId="7" fillId="6" borderId="4" xfId="0" applyNumberFormat="1" applyFont="1" applyFill="1" applyBorder="1" applyAlignment="1">
      <x:alignment vertical="center"/>
    </x:xf>
    <x:xf numFmtId="210" fontId="7" fillId="6" borderId="4" xfId="0" applyNumberFormat="1" applyFont="1" applyFill="1" applyBorder="1" applyAlignment="1">
      <x:alignment horizontal="right" vertical="center"/>
    </x:xf>
    <x:xf numFmtId="203" fontId="7" fillId="6" borderId="4" xfId="0" applyNumberFormat="1" applyFont="1" applyFill="1" applyBorder="1" applyAlignment="1">
      <x:alignment vertical="center"/>
    </x:xf>
    <x:xf numFmtId="203" fontId="7" fillId="6" borderId="4" xfId="0" applyNumberFormat="1" applyFont="1" applyFill="1" applyBorder="1" applyAlignment="1">
      <x:alignment horizontal="right" vertical="center"/>
    </x:xf>
    <x:xf numFmtId="211" fontId="7" fillId="6" borderId="4" xfId="0" applyNumberFormat="1" applyFont="1" applyFill="1" applyBorder="1" applyAlignment="1">
      <x:alignment vertical="center"/>
    </x:xf>
    <x:xf numFmtId="211" fontId="7" fillId="6" borderId="4" xfId="0" applyNumberFormat="1" applyFont="1" applyFill="1" applyBorder="1" applyAlignment="1">
      <x:alignment horizontal="right" vertical="center"/>
    </x:xf>
    <x:xf numFmtId="211" fontId="7" fillId="6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right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0" fontId="16" fillId="2" borderId="0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7" fillId="2" borderId="5" xfId="0" applyNumberFormat="1" applyFont="1" applyFill="1" applyBorder="1" applyAlignment="1">
      <x:alignment horizontal="right"/>
    </x:xf>
    <x:xf numFmtId="0" fontId="17" fillId="2" borderId="5" xfId="0" applyNumberFormat="1" applyFont="1" applyFill="1" applyBorder="1" applyAlignment="1">
      <x:alignment horizontal="right" vertical="center"/>
    </x:xf>
    <x:xf numFmtId="0" fontId="17" fillId="2" borderId="5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/>
    <x:xf numFmtId="0" fontId="18" fillId="3" borderId="0" xfId="0" applyNumberFormat="1" applyFont="1" applyFill="1" applyBorder="1"/>
    <x:xf numFmtId="201" fontId="18" fillId="3" borderId="0" xfId="0" applyNumberFormat="1" applyFont="1" applyFill="1" applyBorder="1"/>
    <x:xf numFmtId="201" fontId="18" fillId="3" borderId="0" xfId="0" applyNumberFormat="1" applyFont="1" applyFill="1" applyBorder="1" applyAlignment="1">
      <x:alignment horizontal="right"/>
    </x:xf>
    <x:xf numFmtId="0" fontId="16" fillId="4" borderId="0" xfId="0" applyNumberFormat="1" applyFont="1" applyFill="1" applyBorder="1"/>
    <x:xf numFmtId="0" fontId="19" fillId="4" borderId="0" xfId="0" applyNumberFormat="1" applyFont="1" applyFill="1" applyBorder="1"/>
    <x:xf numFmtId="0" fontId="19" fillId="4" borderId="0" xfId="0" applyNumberFormat="1" applyFont="1" applyFill="1" applyBorder="1" applyAlignment="1">
      <x:alignment horizontal="left"/>
    </x:xf>
    <x:xf numFmtId="0" fontId="19" fillId="4" borderId="0" xfId="0" applyNumberFormat="1" applyFont="1" applyFill="1" applyBorder="1" applyAlignment="1">
      <x:alignment horizontal="left" vertical="center"/>
    </x:xf>
    <x:xf numFmtId="0" fontId="16" fillId="0" borderId="6" xfId="0" applyNumberFormat="1" applyFont="1" applyFill="1" applyBorder="1"/>
    <x:xf numFmtId="0" fontId="16" fillId="0" borderId="6" xfId="0" applyNumberFormat="1" applyFont="1" applyFill="1" applyBorder="1" applyAlignment="1">
      <x:alignment vertical="center"/>
    </x:xf>
    <x:xf numFmtId="0" fontId="20" fillId="0" borderId="6" xfId="0" applyNumberFormat="1" applyFont="1" applyFill="1" applyBorder="1" applyAlignment="1">
      <x:alignment vertical="center"/>
    </x:xf>
    <x:xf numFmtId="212" fontId="20" fillId="0" borderId="6" xfId="0" applyNumberFormat="1" applyFont="1" applyFill="1" applyBorder="1" applyAlignment="1">
      <x:alignment vertical="center"/>
    </x:xf>
    <x:xf numFmtId="212" fontId="20" fillId="0" borderId="6" xfId="0" applyNumberFormat="1" applyFont="1" applyFill="1" applyBorder="1" applyAlignment="1">
      <x:alignment horizontal="right" vertical="center"/>
    </x:xf>
    <x:xf numFmtId="0" fontId="21" fillId="0" borderId="6" xfId="0" applyNumberFormat="1" applyFont="1" applyFill="1" applyBorder="1" applyAlignment="1">
      <x:alignment vertical="center"/>
    </x:xf>
    <x:xf numFmtId="202" fontId="21" fillId="0" borderId="6" xfId="0" applyNumberFormat="1" applyFont="1" applyFill="1" applyBorder="1" applyAlignment="1">
      <x:alignment vertical="center"/>
    </x:xf>
    <x:xf numFmtId="202" fontId="21" fillId="0" borderId="6" xfId="0" applyNumberFormat="1" applyFont="1" applyFill="1" applyBorder="1" applyAlignment="1">
      <x:alignment horizontal="right" vertical="center"/>
    </x:xf>
    <x:xf numFmtId="0" fontId="14" fillId="0" borderId="6" xfId="0" applyNumberFormat="1" applyFont="1" applyFill="1" applyBorder="1" applyAlignment="1">
      <x:alignment vertical="center"/>
    </x:xf>
    <x:xf numFmtId="202" fontId="20" fillId="0" borderId="6" xfId="0" applyNumberFormat="1" applyFont="1" applyFill="1" applyBorder="1" applyAlignment="1">
      <x:alignment vertical="center"/>
    </x:xf>
    <x:xf numFmtId="202" fontId="20" fillId="0" borderId="6" xfId="0" applyNumberFormat="1" applyFont="1" applyFill="1" applyBorder="1" applyAlignment="1">
      <x:alignment horizontal="right" vertical="center"/>
    </x:xf>
    <x:xf numFmtId="0" fontId="16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horizontal="right"/>
    </x:xf>
    <x:xf numFmtId="212" fontId="21" fillId="6" borderId="0" xfId="0" applyNumberFormat="1" applyFont="1" applyFill="1" applyBorder="1" applyAlignment="1">
      <x:alignment horizontal="right"/>
    </x:xf>
    <x:xf numFmtId="202" fontId="21" fillId="6" borderId="0" xfId="0" applyNumberFormat="1" applyFont="1" applyFill="1" applyBorder="1" applyAlignment="1">
      <x:alignment horizontal="right"/>
    </x:xf>
    <x:xf numFmtId="0" fontId="21" fillId="6" borderId="0" xfId="0" applyNumberFormat="1" applyFont="1" applyFill="1" applyBorder="1" applyAlignment="1">
      <x:alignment horizontal="center"/>
    </x:xf>
    <x:xf numFmtId="205" fontId="21" fillId="0" borderId="6" xfId="0" applyNumberFormat="1" applyFont="1" applyFill="1" applyBorder="1" applyAlignment="1">
      <x:alignment vertical="center"/>
    </x:xf>
    <x:xf numFmtId="205" fontId="21" fillId="0" borderId="6" xfId="0" applyNumberFormat="1" applyFont="1" applyFill="1" applyBorder="1" applyAlignment="1">
      <x:alignment horizontal="right" vertical="center"/>
    </x:xf>
    <x:xf numFmtId="212" fontId="21" fillId="0" borderId="6" xfId="0" applyNumberFormat="1" applyFont="1" applyFill="1" applyBorder="1" applyAlignment="1">
      <x:alignment vertical="center"/>
    </x:xf>
    <x:xf numFmtId="212" fontId="21" fillId="0" borderId="6" xfId="0" applyNumberFormat="1" applyFont="1" applyFill="1" applyBorder="1" applyAlignment="1">
      <x:alignment horizontal="right" vertical="center"/>
    </x:xf>
    <x:xf numFmtId="205" fontId="21" fillId="6" borderId="0" xfId="0" applyNumberFormat="1" applyFont="1" applyFill="1" applyBorder="1" applyAlignment="1">
      <x:alignment horizontal="right"/>
    </x:xf>
    <x:xf numFmtId="201" fontId="20" fillId="0" borderId="6" xfId="0" applyNumberFormat="1" applyFont="1" applyFill="1" applyBorder="1" applyAlignment="1">
      <x:alignment vertical="center"/>
    </x:xf>
    <x:xf numFmtId="201" fontId="20" fillId="0" borderId="6" xfId="0" applyNumberFormat="1" applyFont="1" applyFill="1" applyBorder="1" applyAlignment="1">
      <x:alignment horizontal="right" vertical="center"/>
    </x:xf>
    <x:xf numFmtId="213" fontId="21" fillId="0" borderId="6" xfId="0" applyNumberFormat="1" applyFont="1" applyFill="1" applyBorder="1" applyAlignment="1">
      <x:alignment vertical="center"/>
    </x:xf>
    <x:xf numFmtId="213" fontId="21" fillId="0" borderId="6" xfId="0" applyNumberFormat="1" applyFont="1" applyFill="1" applyBorder="1" applyAlignment="1">
      <x:alignment horizontal="right" vertical="center"/>
    </x:xf>
    <x:xf numFmtId="213" fontId="20" fillId="0" borderId="6" xfId="0" applyNumberFormat="1" applyFont="1" applyFill="1" applyBorder="1" applyAlignment="1">
      <x:alignment vertical="center"/>
    </x:xf>
    <x:xf numFmtId="213" fontId="20" fillId="0" borderId="6" xfId="0" applyNumberFormat="1" applyFont="1" applyFill="1" applyBorder="1" applyAlignment="1">
      <x:alignment horizontal="right" vertical="center"/>
    </x:xf>
    <x:xf numFmtId="213" fontId="21" fillId="6" borderId="0" xfId="0" applyNumberFormat="1" applyFont="1" applyFill="1" applyBorder="1" applyAlignment="1">
      <x:alignment horizontal="right"/>
    </x:xf>
    <x:xf numFmtId="214" fontId="20" fillId="0" borderId="6" xfId="0" applyNumberFormat="1" applyFont="1" applyFill="1" applyBorder="1" applyAlignment="1">
      <x:alignment vertical="center"/>
    </x:xf>
    <x:xf numFmtId="214" fontId="20" fillId="0" borderId="6" xfId="0" applyNumberFormat="1" applyFont="1" applyFill="1" applyBorder="1" applyAlignment="1">
      <x:alignment horizontal="right" vertical="center"/>
    </x:xf>
    <x:xf numFmtId="0" fontId="16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202" fontId="21" fillId="6" borderId="0" xfId="0" applyNumberFormat="1" applyFont="1" applyFill="1" applyBorder="1"/>
    <x:xf numFmtId="205" fontId="20" fillId="0" borderId="6" xfId="0" applyNumberFormat="1" applyFont="1" applyFill="1" applyBorder="1" applyAlignment="1">
      <x:alignment vertical="center"/>
    </x:xf>
    <x:xf numFmtId="205" fontId="20" fillId="0" borderId="6" xfId="0" applyNumberFormat="1" applyFont="1" applyFill="1" applyBorder="1" applyAlignment="1">
      <x:alignment horizontal="right" vertical="center"/>
    </x:xf>
    <x:xf numFmtId="215" fontId="20" fillId="0" borderId="6" xfId="0" applyNumberFormat="1" applyFont="1" applyFill="1" applyBorder="1" applyAlignment="1">
      <x:alignment vertical="center"/>
    </x:xf>
    <x:xf numFmtId="215" fontId="20" fillId="0" borderId="6" xfId="0" applyNumberFormat="1" applyFont="1" applyFill="1" applyBorder="1" applyAlignment="1">
      <x:alignment horizontal="right" vertical="center"/>
    </x:xf>
    <x:xf numFmtId="214" fontId="21" fillId="6" borderId="0" xfId="0" applyNumberFormat="1" applyFont="1" applyFill="1" applyBorder="1" applyAlignment="1">
      <x:alignment horizontal="right"/>
    </x:xf>
    <x:xf numFmtId="201" fontId="21" fillId="6" borderId="0" xfId="0" applyNumberFormat="1" applyFont="1" applyFill="1" applyBorder="1" applyAlignment="1">
      <x:alignment horizontal="right"/>
    </x:xf>
    <x:xf numFmtId="0" fontId="17" fillId="2" borderId="0" xfId="0" applyNumberFormat="1" applyFont="1" applyFill="1" applyBorder="1" applyAlignment="1">
      <x:alignment horizontal="center"/>
    </x:xf>
    <x:xf numFmtId="214" fontId="21" fillId="6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 wrapText="1"/>
    </x:xf>
    <x:xf numFmtId="202" fontId="16" fillId="0" borderId="0" xfId="0" applyNumberFormat="1" applyFont="1" applyFill="1" applyBorder="1"/>
    <x:xf numFmtId="202" fontId="0" fillId="0" borderId="0" xfId="0" applyNumberFormat="1" applyFont="1" applyFill="1" applyBorder="1"/>
    <x:xf numFmtId="0" fontId="22" fillId="3" borderId="0" xfId="0" applyNumberFormat="1" applyFont="1" applyFill="1" applyBorder="1"/>
    <x:xf numFmtId="0" fontId="22" fillId="3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right"/>
    </x:xf>
    <x:xf numFmtId="208" fontId="7" fillId="6" borderId="0" xfId="0" applyNumberFormat="1" applyFont="1" applyFill="1" applyBorder="1" applyAlignment="1">
      <x:alignment horizontal="right"/>
    </x:xf>
    <x:xf numFmtId="201" fontId="7" fillId="6" borderId="0" xfId="0" applyNumberFormat="1" applyFont="1" applyFill="1" applyBorder="1" applyAlignment="1">
      <x:alignment horizontal="right"/>
    </x:xf>
    <x:xf numFmtId="202" fontId="7" fillId="6" borderId="0" xfId="0" applyNumberFormat="1" applyFont="1" applyFill="1" applyBorder="1" applyAlignment="1">
      <x:alignment horizontal="right"/>
    </x:xf>
    <x:xf numFmtId="205" fontId="7" fillId="6" borderId="0" xfId="0" applyNumberFormat="1" applyFont="1" applyFill="1" applyBorder="1" applyAlignment="1">
      <x:alignment horizontal="right"/>
    </x:xf>
    <x:xf numFmtId="210" fontId="7" fillId="6" borderId="0" xfId="0" applyNumberFormat="1" applyFont="1" applyFill="1" applyBorder="1" applyAlignment="1">
      <x:alignment horizontal="right"/>
    </x:xf>
    <x:xf numFmtId="214" fontId="7" fillId="6" borderId="0" xfId="0" applyNumberFormat="1" applyFont="1" applyFill="1" applyBorder="1" applyAlignment="1">
      <x:alignment horizontal="right"/>
    </x:xf>
    <x:xf numFmtId="213" fontId="7" fillId="6" borderId="0" xfId="0" applyNumberFormat="1" applyFont="1" applyFill="1" applyBorder="1" applyAlignment="1">
      <x:alignment horizontal="right"/>
    </x:xf>
    <x:xf numFmtId="212" fontId="7" fillId="6" borderId="0" xfId="0" applyNumberFormat="1" applyFont="1" applyFill="1" applyBorder="1" applyAlignment="1">
      <x:alignment horizontal="center"/>
    </x:xf>
    <x:xf numFmtId="202" fontId="7" fillId="6" borderId="0" xfId="0" applyNumberFormat="1" applyFont="1" applyFill="1" applyBorder="1" applyAlignment="1">
      <x:alignment horizontal="center"/>
    </x:xf>
    <x:xf numFmtId="213" fontId="7" fillId="6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23" fillId="9" borderId="0" xfId="0" applyNumberFormat="1" applyFont="1" applyFill="1" applyBorder="1"/>
    <x:xf numFmtId="0" fontId="23" fillId="9" borderId="0" xfId="0" applyNumberFormat="1" applyFont="1" applyFill="1" applyBorder="1" applyAlignment="1">
      <x:alignment horizontal="center"/>
    </x:xf>
    <x:xf numFmtId="0" fontId="23" fillId="9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vertical="center"/>
    </x:xf>
    <x:xf numFmtId="201" fontId="18" fillId="3" borderId="0" xfId="0" applyNumberFormat="1" applyFont="1" applyFill="1" applyBorder="1" applyAlignment="1">
      <x:alignment horizontal="right" vertical="center"/>
    </x:xf>
    <x:xf numFmtId="212" fontId="21" fillId="6" borderId="0" xfId="0" applyNumberFormat="1" applyFont="1" applyFill="1" applyBorder="1" applyAlignment="1">
      <x:alignment horizontal="right" vertical="center"/>
    </x:xf>
    <x:xf numFmtId="202" fontId="21" fillId="6" borderId="0" xfId="0" applyNumberFormat="1" applyFont="1" applyFill="1" applyBorder="1" applyAlignment="1">
      <x:alignment horizontal="right" vertical="center"/>
    </x:xf>
    <x:xf numFmtId="0" fontId="21" fillId="6" borderId="0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right"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7" fillId="2" borderId="5" xfId="0" applyNumberFormat="1" applyFont="1" applyFill="1" applyBorder="1" applyAlignment="1">
      <x:alignment horizontal="left" vertical="center" wrapText="1"/>
    </x:xf>
    <x:xf numFmtId="0" fontId="19" fillId="4" borderId="0" xfId="0" applyNumberFormat="1" applyFont="1" applyFill="1" applyBorder="1" applyAlignment="1">
      <x:alignment horizontal="left" vertical="center" wrapText="1"/>
    </x:xf>
    <x:xf numFmtId="0" fontId="16" fillId="0" borderId="6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205" fontId="21" fillId="6" borderId="0" xfId="0" applyNumberFormat="1" applyFont="1" applyFill="1" applyBorder="1" applyAlignment="1">
      <x:alignment horizontal="right" vertical="center"/>
    </x:xf>
    <x:xf numFmtId="213" fontId="21" fillId="6" borderId="0" xfId="0" applyNumberFormat="1" applyFont="1" applyFill="1" applyBorder="1" applyAlignment="1">
      <x:alignment horizontal="right" vertical="center"/>
    </x:xf>
    <x:xf numFmtId="214" fontId="21" fillId="6" borderId="0" xfId="0" applyNumberFormat="1" applyFont="1" applyFill="1" applyBorder="1" applyAlignment="1">
      <x:alignment horizontal="right" vertical="center"/>
    </x:xf>
    <x:xf numFmtId="201" fontId="21" fillId="6" borderId="0" xfId="0" applyNumberFormat="1" applyFont="1" applyFill="1" applyBorder="1" applyAlignment="1">
      <x:alignment horizontal="right" vertical="center"/>
    </x:xf>
    <x:xf numFmtId="206" fontId="7" fillId="6" borderId="4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4" fillId="13" borderId="0" xfId="0" applyNumberFormat="1" applyFont="1" applyFill="1" applyBorder="1"/>
    <x:xf numFmtId="0" fontId="24" fillId="13" borderId="7" xfId="0" applyNumberFormat="1" applyFont="1" applyFill="1" applyBorder="1"/>
    <x:xf numFmtId="0" fontId="24" fillId="13" borderId="8" xfId="0" applyNumberFormat="1" applyFont="1" applyFill="1" applyBorder="1"/>
    <x:xf numFmtId="0" fontId="24" fillId="13" borderId="9" xfId="0" applyNumberFormat="1" applyFont="1" applyFill="1" applyBorder="1"/>
    <x:xf numFmtId="0" fontId="24" fillId="13" borderId="7" xfId="0" applyNumberFormat="1" applyFont="1" applyFill="1" applyBorder="1" applyAlignment="1">
      <x:alignment wrapText="1"/>
    </x:xf>
    <x:xf numFmtId="0" fontId="24" fillId="13" borderId="8" xfId="0" applyNumberFormat="1" applyFont="1" applyFill="1" applyBorder="1" applyAlignment="1">
      <x:alignment wrapText="1"/>
    </x:xf>
    <x:xf numFmtId="0" fontId="24" fillId="13" borderId="9" xfId="0" applyNumberFormat="1" applyFont="1" applyFill="1" applyBorder="1" applyAlignment="1">
      <x:alignment wrapText="1"/>
    </x:xf>
    <x:xf numFmtId="0" fontId="24" fillId="13" borderId="7" xfId="0" applyNumberFormat="1" applyFont="1" applyFill="1" applyBorder="1" applyAlignment="1">
      <x:alignment horizontal="center" wrapText="1"/>
    </x:xf>
    <x:xf numFmtId="0" fontId="24" fillId="13" borderId="8" xfId="0" applyNumberFormat="1" applyFont="1" applyFill="1" applyBorder="1" applyAlignment="1">
      <x:alignment horizontal="center" wrapText="1"/>
    </x:xf>
    <x:xf numFmtId="0" fontId="24" fillId="13" borderId="9" xfId="0" applyNumberFormat="1" applyFont="1" applyFill="1" applyBorder="1" applyAlignment="1">
      <x:alignment horizontal="center" wrapText="1"/>
    </x:xf>
    <x:xf numFmtId="0" fontId="24" fillId="13" borderId="7" xfId="0" applyNumberFormat="1" applyFont="1" applyFill="1" applyBorder="1" applyAlignment="1">
      <x:alignment horizontal="center" vertical="center" wrapText="1"/>
    </x:xf>
    <x:xf numFmtId="0" fontId="24" fillId="13" borderId="8" xfId="0" applyNumberFormat="1" applyFont="1" applyFill="1" applyBorder="1" applyAlignment="1">
      <x:alignment horizontal="center" vertical="center" wrapText="1"/>
    </x:xf>
    <x:xf numFmtId="0" fontId="24" fillId="13" borderId="9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horizontal="center" wrapText="1"/>
    </x:xf>
    <x:xf numFmtId="0" fontId="12" fillId="14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203" fontId="7" fillId="12" borderId="0" xfId="0" applyNumberFormat="1" applyFont="1" applyFill="1" applyBorder="1" applyAlignment="1">
      <x:alignment horizontal="center"/>
    </x:xf>
    <x:xf numFmtId="202" fontId="7" fillId="12" borderId="0" xfId="0" applyNumberFormat="1" applyFont="1" applyFill="1" applyBorder="1" applyAlignment="1">
      <x:alignment horizontal="center"/>
    </x:xf>
    <x:xf numFmtId="201" fontId="7" fillId="12" borderId="0" xfId="0" applyNumberFormat="1" applyFont="1" applyFill="1" applyBorder="1" applyAlignment="1">
      <x:alignment horizontal="center"/>
    </x:xf>
    <x:xf numFmtId="213" fontId="7" fillId="12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25" fillId="15" borderId="0" xfId="0" applyNumberFormat="1" applyFont="1" applyFill="1" applyBorder="1"/>
    <x:xf numFmtId="0" fontId="25" fillId="15" borderId="0" xfId="0" applyNumberFormat="1" applyFont="1" applyFill="1" applyBorder="1" applyAlignment="1">
      <x:alignment horizontal="center"/>
    </x:xf>
    <x:xf numFmtId="0" fontId="25" fillId="15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horizontal="left" wrapText="1"/>
    </x:xf>
    <x:xf numFmtId="0" fontId="12" fillId="12" borderId="0" xfId="0" applyNumberFormat="1" applyFont="1" applyFill="1" applyBorder="1" applyAlignment="1">
      <x:alignment horizontal="left" vertical="center" wrapText="1"/>
    </x:xf>
    <x:xf numFmtId="210" fontId="1" fillId="0" borderId="0" xfId="0" applyNumberFormat="1" applyFont="1" applyFill="1" applyBorder="1" applyAlignment="1">
      <x:alignment vertical="center"/>
    </x:xf>
    <x:xf numFmtId="210" fontId="6" fillId="0" borderId="0" xfId="0" applyNumberFormat="1" applyFont="1" applyFill="1" applyBorder="1" applyAlignment="1">
      <x:alignment vertical="center"/>
    </x:xf>
    <x:xf numFmtId="210" fontId="21" fillId="6" borderId="0" xfId="0" applyNumberFormat="1" applyFont="1" applyFill="1" applyBorder="1" applyAlignment="1">
      <x:alignment horizontal="center" vertical="center"/>
    </x:xf>
    <x:xf numFmtId="210" fontId="16" fillId="0" borderId="0" xfId="0" applyNumberFormat="1" applyFont="1" applyFill="1" applyBorder="1" applyAlignment="1">
      <x:alignment vertical="center"/>
    </x:xf>
    <x:xf numFmtId="210" fontId="21" fillId="0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26" fillId="16" borderId="0" xfId="0" applyNumberFormat="1" applyFont="1" applyFill="1" applyBorder="1"/>
    <x:xf numFmtId="0" fontId="26" fillId="16" borderId="0" xfId="0" applyNumberFormat="1" applyFont="1" applyFill="1" applyBorder="1" applyAlignment="1">
      <x:alignment horizontal="center"/>
    </x:xf>
    <x:xf numFmtId="0" fontId="26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0" xfId="0" applyNumberFormat="1" applyFont="1" applyFill="1" applyBorder="1" applyAlignment="1">
      <x:alignment horizontal="center"/>
    </x:xf>
    <x:xf numFmtId="0" fontId="27" fillId="17" borderId="0" xfId="0" applyNumberFormat="1" applyFont="1" applyFill="1" applyBorder="1" applyAlignment="1">
      <x:alignment horizontal="center" vertical="center"/>
    </x:xf>
    <x:xf numFmtId="0" fontId="28" fillId="0" borderId="0" xfId="0" applyNumberFormat="1" applyFont="1" applyFill="1" applyBorder="1"/>
    <x:xf numFmtId="0" fontId="28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horizontal="center" wrapText="1"/>
    </x:xf>
    <x:xf numFmtId="0" fontId="28" fillId="0" borderId="0" xfId="0" applyNumberFormat="1" applyFont="1" applyFill="1" applyBorder="1" applyAlignment="1">
      <x:alignment horizontal="center" vertical="center" wrapText="1"/>
    </x:xf>
    <x:xf numFmtId="0" fontId="29" fillId="16" borderId="0" xfId="0" applyNumberFormat="1" applyFont="1" applyFill="1" applyBorder="1"/>
    <x:xf numFmtId="0" fontId="29" fillId="16" borderId="0" xfId="0" applyNumberFormat="1" applyFont="1" applyFill="1" applyBorder="1" applyAlignment="1">
      <x:alignment horizontal="left"/>
    </x:xf>
    <x:xf numFmtId="0" fontId="29" fillId="16" borderId="0" xfId="0" applyNumberFormat="1" applyFont="1" applyFill="1" applyBorder="1" applyAlignment="1">
      <x:alignment horizontal="left" vertical="center"/>
    </x:xf>
    <x:xf numFmtId="0" fontId="30" fillId="0" borderId="0" xfId="0" applyNumberFormat="1" applyFont="1" applyFill="1" applyBorder="1"/>
    <x:xf numFmtId="0" fontId="0" fillId="18" borderId="0" xfId="0" applyNumberFormat="1" applyFont="1" applyFill="1" applyBorder="1"/>
    <x:xf numFmtId="0" fontId="31" fillId="18" borderId="0" xfId="0" applyNumberFormat="1" applyFont="1" applyFill="1" applyBorder="1"/>
    <x:xf numFmtId="0" fontId="31" fillId="18" borderId="0" xfId="0" applyNumberFormat="1" applyFont="1" applyFill="1" applyBorder="1" applyAlignment="1">
      <x:alignment horizontal="right"/>
    </x:xf>
    <x:xf numFmtId="0" fontId="30" fillId="0" borderId="10" xfId="0" applyNumberFormat="1" applyFont="1" applyFill="1" applyBorder="1"/>
    <x:xf numFmtId="0" fontId="31" fillId="18" borderId="11" xfId="0" applyNumberFormat="1" applyFont="1" applyFill="1" applyBorder="1" applyAlignment="1">
      <x:alignment horizontal="right"/>
    </x:xf>
    <x:xf numFmtId="0" fontId="30" fillId="0" borderId="11" xfId="0" applyNumberFormat="1" applyFont="1" applyFill="1" applyBorder="1"/>
    <x:xf numFmtId="0" fontId="0" fillId="0" borderId="12" xfId="0" applyNumberFormat="1" applyFont="1" applyFill="1" applyBorder="1"/>
    <x:xf numFmtId="0" fontId="30" fillId="0" borderId="13" xfId="0" applyNumberFormat="1" applyFont="1" applyFill="1" applyBorder="1"/>
    <x:xf numFmtId="0" fontId="31" fillId="18" borderId="14" xfId="0" applyNumberFormat="1" applyFont="1" applyFill="1" applyBorder="1" applyAlignment="1">
      <x:alignment horizontal="right"/>
    </x:xf>
    <x:xf numFmtId="0" fontId="30" fillId="0" borderId="14" xfId="0" applyNumberFormat="1" applyFont="1" applyFill="1" applyBorder="1"/>
    <x:xf numFmtId="0" fontId="0" fillId="0" borderId="15" xfId="0" applyNumberFormat="1" applyFont="1" applyFill="1" applyBorder="1"/>
    <x:xf numFmtId="0" fontId="30" fillId="0" borderId="16" xfId="0" applyNumberFormat="1" applyFont="1" applyFill="1" applyBorder="1"/>
    <x:xf numFmtId="0" fontId="0" fillId="0" borderId="17" xfId="0" applyNumberFormat="1" applyFont="1" applyFill="1" applyBorder="1"/>
    <x:xf numFmtId="0" fontId="30" fillId="0" borderId="17" xfId="0" applyNumberFormat="1" applyFont="1" applyFill="1" applyBorder="1"/>
    <x:xf numFmtId="0" fontId="31" fillId="18" borderId="17" xfId="0" applyNumberFormat="1" applyFont="1" applyFill="1" applyBorder="1" applyAlignment="1">
      <x:alignment horizontal="right"/>
    </x:xf>
    <x:xf numFmtId="0" fontId="0" fillId="0" borderId="18" xfId="0" applyNumberFormat="1" applyFont="1" applyFill="1" applyBorder="1"/>
    <x:xf numFmtId="201" fontId="31" fillId="18" borderId="14" xfId="0" applyNumberFormat="1" applyFont="1" applyFill="1" applyBorder="1" applyAlignment="1">
      <x:alignment horizontal="right"/>
    </x:xf>
    <x:xf numFmtId="209" fontId="31" fillId="18" borderId="14" xfId="0" applyNumberFormat="1" applyFont="1" applyFill="1" applyBorder="1" applyAlignment="1">
      <x:alignment horizontal="right"/>
    </x:xf>
    <x:xf numFmtId="206" fontId="31" fillId="18" borderId="14" xfId="0" applyNumberFormat="1" applyFont="1" applyFill="1" applyBorder="1" applyAlignment="1">
      <x:alignment horizontal="right"/>
    </x:xf>
    <x:xf numFmtId="208" fontId="31" fillId="18" borderId="14" xfId="0" applyNumberFormat="1" applyFont="1" applyFill="1" applyBorder="1" applyAlignment="1">
      <x:alignment horizontal="right"/>
    </x:xf>
    <x:xf numFmtId="208" fontId="31" fillId="18" borderId="11" xfId="0" applyNumberFormat="1" applyFont="1" applyFill="1" applyBorder="1" applyAlignment="1">
      <x:alignment horizontal="right"/>
    </x:xf>
    <x:xf numFmtId="201" fontId="31" fillId="18" borderId="17" xfId="0" applyNumberFormat="1" applyFont="1" applyFill="1" applyBorder="1" applyAlignment="1">
      <x:alignment horizontal="right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32" fillId="0" borderId="11" xfId="0" applyNumberFormat="1" applyFont="1" applyFill="1" applyBorder="1"/>
    <x:xf numFmtId="0" fontId="32" fillId="0" borderId="14" xfId="0" applyNumberFormat="1" applyFont="1" applyFill="1" applyBorder="1"/>
    <x:xf numFmtId="0" fontId="32" fillId="0" borderId="17" xfId="0" applyNumberFormat="1" applyFont="1" applyFill="1" applyBorder="1"/>
    <x:xf numFmtId="210" fontId="32" fillId="0" borderId="11" xfId="0" applyNumberFormat="1" applyFont="1" applyFill="1" applyBorder="1"/>
    <x:xf numFmtId="210" fontId="32" fillId="0" borderId="14" xfId="0" applyNumberFormat="1" applyFont="1" applyFill="1" applyBorder="1"/>
    <x:xf numFmtId="206" fontId="32" fillId="0" borderId="14" xfId="0" applyNumberFormat="1" applyFont="1" applyFill="1" applyBorder="1"/>
    <x:xf numFmtId="0" fontId="0" fillId="19" borderId="13" xfId="0" applyNumberFormat="1" applyFont="1" applyFill="1" applyBorder="1"/>
    <x:xf numFmtId="210" fontId="32" fillId="19" borderId="14" xfId="0" applyNumberFormat="1" applyFont="1" applyFill="1" applyBorder="1"/>
    <x:xf numFmtId="0" fontId="0" fillId="19" borderId="14" xfId="0" applyNumberFormat="1" applyFont="1" applyFill="1" applyBorder="1"/>
    <x:xf numFmtId="0" fontId="0" fillId="19" borderId="15" xfId="0" applyNumberFormat="1" applyFont="1" applyFill="1" applyBorder="1"/>
    <x:xf numFmtId="0" fontId="0" fillId="20" borderId="16" xfId="0" applyNumberFormat="1" applyFont="1" applyFill="1" applyBorder="1"/>
    <x:xf numFmtId="0" fontId="32" fillId="20" borderId="17" xfId="0" applyNumberFormat="1" applyFont="1" applyFill="1" applyBorder="1"/>
    <x:xf numFmtId="0" fontId="0" fillId="20" borderId="17" xfId="0" applyNumberFormat="1" applyFont="1" applyFill="1" applyBorder="1"/>
    <x:xf numFmtId="0" fontId="0" fillId="20" borderId="18" xfId="0" applyNumberFormat="1" applyFont="1" applyFill="1" applyBorder="1"/>
    <x:xf numFmtId="0" fontId="33" fillId="20" borderId="16" xfId="0" applyNumberFormat="1" applyFont="1" applyFill="1" applyBorder="1"/>
    <x:xf numFmtId="0" fontId="33" fillId="20" borderId="17" xfId="0" applyNumberFormat="1" applyFont="1" applyFill="1" applyBorder="1"/>
    <x:xf numFmtId="0" fontId="33" fillId="20" borderId="18" xfId="0" applyNumberFormat="1" applyFont="1" applyFill="1" applyBorder="1"/>
    <x:xf numFmtId="0" fontId="33" fillId="20" borderId="19" xfId="0" applyNumberFormat="1" applyFont="1" applyFill="1" applyBorder="1"/>
    <x:xf numFmtId="0" fontId="32" fillId="20" borderId="20" xfId="0" applyNumberFormat="1" applyFont="1" applyFill="1" applyBorder="1"/>
    <x:xf numFmtId="0" fontId="33" fillId="20" borderId="20" xfId="0" applyNumberFormat="1" applyFont="1" applyFill="1" applyBorder="1"/>
    <x:xf numFmtId="0" fontId="33" fillId="20" borderId="21" xfId="0" applyNumberFormat="1" applyFont="1" applyFill="1" applyBorder="1"/>
    <x:xf numFmtId="0" fontId="0" fillId="21" borderId="0" xfId="0" applyNumberFormat="1" applyFont="1" applyFill="1" applyBorder="1"/>
    <x:xf numFmtId="0" fontId="29" fillId="21" borderId="0" xfId="0" applyNumberFormat="1" applyFont="1" applyFill="1" applyBorder="1"/>
    <x:xf numFmtId="0" fontId="29" fillId="21" borderId="0" xfId="0" applyNumberFormat="1" applyFont="1" applyFill="1" applyBorder="1" applyAlignment="1">
      <x:alignment horizontal="center"/>
    </x:xf>
    <x:xf numFmtId="203" fontId="31" fillId="18" borderId="0" xfId="0" applyNumberFormat="1" applyFont="1" applyFill="1" applyBorder="1"/>
    <x:xf numFmtId="203" fontId="0" fillId="0" borderId="0" xfId="0" applyNumberFormat="1" applyFont="1" applyFill="1" applyBorder="1"/>
    <x:xf numFmtId="0" fontId="29" fillId="21" borderId="14" xfId="0" applyNumberFormat="1" applyFont="1" applyFill="1" applyBorder="1" applyAlignment="1">
      <x:alignment horizontal="center"/>
    </x:xf>
    <x:xf numFmtId="203" fontId="31" fillId="18" borderId="14" xfId="0" applyNumberFormat="1" applyFont="1" applyFill="1" applyBorder="1"/>
    <x:xf numFmtId="203" fontId="0" fillId="0" borderId="14" xfId="0" applyNumberFormat="1" applyFont="1" applyFill="1" applyBorder="1"/>
    <x:xf numFmtId="208" fontId="0" fillId="0" borderId="14" xfId="0" applyNumberFormat="1" applyFont="1" applyFill="1" applyBorder="1"/>
    <x:xf numFmtId="0" fontId="0" fillId="20" borderId="14" xfId="0" applyNumberFormat="1" applyFont="1" applyFill="1" applyBorder="1"/>
    <x:xf numFmtId="0" fontId="34" fillId="20" borderId="14" xfId="0" applyNumberFormat="1" applyFont="1" applyFill="1" applyBorder="1"/>
    <x:xf numFmtId="0" fontId="34" fillId="20" borderId="14" xfId="0" applyNumberFormat="1" applyFont="1" applyFill="1" applyBorder="1" applyAlignment="1">
      <x:alignment wrapText="1"/>
    </x:xf>
    <x:xf numFmtId="216" fontId="0" fillId="0" borderId="14" xfId="0" applyNumberFormat="1" applyFont="1" applyFill="1" applyBorder="1"/>
    <x:xf numFmtId="0" fontId="35" fillId="0" borderId="0" xfId="0" applyNumberFormat="1" applyFont="1" applyFill="1" applyBorder="1"/>
    <x:xf numFmtId="201" fontId="35" fillId="0" borderId="0" xfId="0" applyNumberFormat="1" applyFont="1" applyFill="1" applyBorder="1"/>
    <x:xf numFmtId="200" fontId="35" fillId="0" borderId="0" xfId="0" applyNumberFormat="1" applyFont="1" applyFill="1" applyBorder="1"/>
    <x:xf numFmtId="209" fontId="35" fillId="0" borderId="0" xfId="0" applyNumberFormat="1" applyFont="1" applyFill="1" applyBorder="1"/>
    <x:xf numFmtId="203" fontId="35" fillId="0" borderId="0" xfId="0" applyNumberFormat="1" applyFont="1" applyFill="1" applyBorder="1"/>
    <x:xf numFmtId="217" fontId="35" fillId="0" borderId="0" xfId="0" applyNumberFormat="1" applyFont="1" applyFill="1" applyBorder="1"/>
    <x:xf numFmtId="200" fontId="35" fillId="19" borderId="0" xfId="0" applyNumberFormat="1" applyFont="1" applyFill="1" applyBorder="1"/>
    <x:xf numFmtId="0" fontId="32" fillId="19" borderId="13" xfId="0" applyNumberFormat="1" applyFont="1" applyFill="1" applyBorder="1"/>
    <x:xf numFmtId="0" fontId="32" fillId="19" borderId="15" xfId="0" applyNumberFormat="1" applyFont="1" applyFill="1" applyBorder="1"/>
    <x:xf numFmtId="200" fontId="32" fillId="19" borderId="0" xfId="0" applyNumberFormat="1" applyFont="1" applyFill="1" applyBorder="1"/>
    <x:xf numFmtId="0" fontId="32" fillId="19" borderId="22" xfId="0" applyNumberFormat="1" applyFont="1" applyFill="1" applyBorder="1"/>
    <x:xf numFmtId="0" fontId="32" fillId="19" borderId="23" xfId="0" applyNumberFormat="1" applyFont="1" applyFill="1" applyBorder="1"/>
    <x:xf numFmtId="200" fontId="32" fillId="19" borderId="24" xfId="0" applyNumberFormat="1" applyFont="1" applyFill="1" applyBorder="1"/>
    <x:xf numFmtId="200" fontId="32" fillId="19" borderId="22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21" borderId="14" xfId="0" applyNumberFormat="1" applyFont="1" applyFill="1" applyBorder="1"/>
    <x:xf numFmtId="0" fontId="29" fillId="21" borderId="14" xfId="0" applyNumberFormat="1" applyFont="1" applyFill="1" applyBorder="1"/>
    <x:xf numFmtId="0" fontId="33" fillId="0" borderId="14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36" fillId="20" borderId="0" xfId="0" applyNumberFormat="1" applyFont="1" applyFill="1" applyBorder="1"/>
    <x:xf numFmtId="0" fontId="36" fillId="20" borderId="14" xfId="0" applyNumberFormat="1" applyFont="1" applyFill="1" applyBorder="1"/>
    <x:xf numFmtId="0" fontId="36" fillId="20" borderId="14" xfId="0" applyNumberFormat="1" applyFont="1" applyFill="1" applyBorder="1" applyAlignment="1">
      <x:alignment wrapText="1"/>
    </x:xf>
    <x:xf numFmtId="0" fontId="36" fillId="20" borderId="14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37" fillId="22" borderId="0" xfId="0" applyNumberFormat="1" applyFont="1" applyFill="1" applyBorder="1"/>
    <x:xf numFmtId="0" fontId="37" fillId="22" borderId="25" xfId="0" applyNumberFormat="1" applyFont="1" applyFill="1" applyBorder="1"/>
    <x:xf numFmtId="0" fontId="37" fillId="22" borderId="26" xfId="0" applyNumberFormat="1" applyFont="1" applyFill="1" applyBorder="1"/>
    <x:xf numFmtId="0" fontId="37" fillId="22" borderId="27" xfId="0" applyNumberFormat="1" applyFont="1" applyFill="1" applyBorder="1"/>
    <x:xf numFmtId="0" fontId="37" fillId="22" borderId="28" xfId="0" applyNumberFormat="1" applyFont="1" applyFill="1" applyBorder="1"/>
    <x:xf numFmtId="0" fontId="37" fillId="22" borderId="29" xfId="0" applyNumberFormat="1" applyFont="1" applyFill="1" applyBorder="1"/>
    <x:xf numFmtId="0" fontId="37" fillId="22" borderId="30" xfId="0" applyNumberFormat="1" applyFont="1" applyFill="1" applyBorder="1"/>
    <x:xf numFmtId="0" fontId="37" fillId="22" borderId="25" xfId="0" applyNumberFormat="1" applyFont="1" applyFill="1" applyBorder="1" applyAlignment="1">
      <x:alignment wrapText="1"/>
    </x:xf>
    <x:xf numFmtId="0" fontId="37" fillId="22" borderId="26" xfId="0" applyNumberFormat="1" applyFont="1" applyFill="1" applyBorder="1" applyAlignment="1">
      <x:alignment wrapText="1"/>
    </x:xf>
    <x:xf numFmtId="0" fontId="37" fillId="22" borderId="27" xfId="0" applyNumberFormat="1" applyFont="1" applyFill="1" applyBorder="1" applyAlignment="1">
      <x:alignment wrapText="1"/>
    </x:xf>
    <x:xf numFmtId="0" fontId="37" fillId="22" borderId="28" xfId="0" applyNumberFormat="1" applyFont="1" applyFill="1" applyBorder="1" applyAlignment="1">
      <x:alignment wrapText="1"/>
    </x:xf>
    <x:xf numFmtId="0" fontId="37" fillId="22" borderId="29" xfId="0" applyNumberFormat="1" applyFont="1" applyFill="1" applyBorder="1" applyAlignment="1">
      <x:alignment wrapText="1"/>
    </x:xf>
    <x:xf numFmtId="0" fontId="37" fillId="22" borderId="30" xfId="0" applyNumberFormat="1" applyFont="1" applyFill="1" applyBorder="1" applyAlignment="1">
      <x:alignment wrapText="1"/>
    </x:xf>
    <x:xf numFmtId="0" fontId="37" fillId="22" borderId="25" xfId="0" applyNumberFormat="1" applyFont="1" applyFill="1" applyBorder="1" applyAlignment="1">
      <x:alignment vertical="center" wrapText="1"/>
    </x:xf>
    <x:xf numFmtId="0" fontId="37" fillId="22" borderId="26" xfId="0" applyNumberFormat="1" applyFont="1" applyFill="1" applyBorder="1" applyAlignment="1">
      <x:alignment vertical="center" wrapText="1"/>
    </x:xf>
    <x:xf numFmtId="0" fontId="37" fillId="22" borderId="27" xfId="0" applyNumberFormat="1" applyFont="1" applyFill="1" applyBorder="1" applyAlignment="1">
      <x:alignment vertical="center" wrapText="1"/>
    </x:xf>
    <x:xf numFmtId="0" fontId="37" fillId="22" borderId="28" xfId="0" applyNumberFormat="1" applyFont="1" applyFill="1" applyBorder="1" applyAlignment="1">
      <x:alignment vertical="center" wrapText="1"/>
    </x:xf>
    <x:xf numFmtId="0" fontId="37" fillId="22" borderId="29" xfId="0" applyNumberFormat="1" applyFont="1" applyFill="1" applyBorder="1" applyAlignment="1">
      <x:alignment vertical="center" wrapText="1"/>
    </x:xf>
    <x:xf numFmtId="0" fontId="37" fillId="22" borderId="3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horizontal="center" vertical="center"/>
    </x:xf>
    <x:xf numFmtId="0" fontId="38" fillId="0" borderId="0" xfId="0" applyNumberFormat="1" applyFont="1" applyFill="1" applyBorder="1"/>
    <x:xf numFmtId="0" fontId="39" fillId="17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0" fillId="16" borderId="0" xfId="0" applyNumberFormat="1" applyFont="1" applyFill="1" applyBorder="1" applyAlignment="1">
      <x:alignment horizontal="left" vertical="center"/>
    </x:xf>
    <x:xf numFmtId="0" fontId="41" fillId="0" borderId="10" xfId="0" applyNumberFormat="1" applyFont="1" applyFill="1" applyBorder="1"/>
    <x:xf numFmtId="0" fontId="42" fillId="18" borderId="11" xfId="0" applyNumberFormat="1" applyFont="1" applyFill="1" applyBorder="1" applyAlignment="1">
      <x:alignment horizontal="right"/>
    </x:xf>
    <x:xf numFmtId="0" fontId="41" fillId="0" borderId="11" xfId="0" applyNumberFormat="1" applyFont="1" applyFill="1" applyBorder="1"/>
    <x:xf numFmtId="208" fontId="42" fillId="18" borderId="11" xfId="0" applyNumberFormat="1" applyFont="1" applyFill="1" applyBorder="1" applyAlignment="1">
      <x:alignment horizontal="right"/>
    </x:xf>
    <x:xf numFmtId="0" fontId="38" fillId="0" borderId="12" xfId="0" applyNumberFormat="1" applyFont="1" applyFill="1" applyBorder="1"/>
    <x:xf numFmtId="0" fontId="38" fillId="0" borderId="10" xfId="0" applyNumberFormat="1" applyFont="1" applyFill="1" applyBorder="1"/>
    <x:xf numFmtId="210" fontId="43" fillId="0" borderId="11" xfId="0" applyNumberFormat="1" applyFont="1" applyFill="1" applyBorder="1"/>
    <x:xf numFmtId="0" fontId="38" fillId="0" borderId="11" xfId="0" applyNumberFormat="1" applyFont="1" applyFill="1" applyBorder="1"/>
    <x:xf numFmtId="0" fontId="40" fillId="21" borderId="14" xfId="0" applyNumberFormat="1" applyFont="1" applyFill="1" applyBorder="1" applyAlignment="1">
      <x:alignment horizontal="center"/>
    </x:xf>
    <x:xf numFmtId="0" fontId="41" fillId="0" borderId="13" xfId="0" applyNumberFormat="1" applyFont="1" applyFill="1" applyBorder="1"/>
    <x:xf numFmtId="0" fontId="42" fillId="18" borderId="14" xfId="0" applyNumberFormat="1" applyFont="1" applyFill="1" applyBorder="1" applyAlignment="1">
      <x:alignment horizontal="right"/>
    </x:xf>
    <x:xf numFmtId="0" fontId="41" fillId="0" borderId="14" xfId="0" applyNumberFormat="1" applyFont="1" applyFill="1" applyBorder="1"/>
    <x:xf numFmtId="208" fontId="42" fillId="18" borderId="14" xfId="0" applyNumberFormat="1" applyFont="1" applyFill="1" applyBorder="1" applyAlignment="1">
      <x:alignment horizontal="right"/>
    </x:xf>
    <x:xf numFmtId="0" fontId="38" fillId="0" borderId="15" xfId="0" applyNumberFormat="1" applyFont="1" applyFill="1" applyBorder="1"/>
    <x:xf numFmtId="0" fontId="38" fillId="0" borderId="13" xfId="0" applyNumberFormat="1" applyFont="1" applyFill="1" applyBorder="1"/>
    <x:xf numFmtId="210" fontId="43" fillId="0" borderId="14" xfId="0" applyNumberFormat="1" applyFont="1" applyFill="1" applyBorder="1"/>
    <x:xf numFmtId="0" fontId="38" fillId="0" borderId="14" xfId="0" applyNumberFormat="1" applyFont="1" applyFill="1" applyBorder="1"/>
    <x:xf numFmtId="216" fontId="38" fillId="0" borderId="14" xfId="0" applyNumberFormat="1" applyFont="1" applyFill="1" applyBorder="1"/>
    <x:xf numFmtId="201" fontId="42" fillId="18" borderId="14" xfId="0" applyNumberFormat="1" applyFont="1" applyFill="1" applyBorder="1" applyAlignment="1">
      <x:alignment horizontal="right"/>
    </x:xf>
    <x:xf numFmtId="206" fontId="42" fillId="18" borderId="14" xfId="0" applyNumberFormat="1" applyFont="1" applyFill="1" applyBorder="1" applyAlignment="1">
      <x:alignment horizontal="right"/>
    </x:xf>
    <x:xf numFmtId="0" fontId="38" fillId="19" borderId="13" xfId="0" applyNumberFormat="1" applyFont="1" applyFill="1" applyBorder="1"/>
    <x:xf numFmtId="210" fontId="43" fillId="19" borderId="14" xfId="0" applyNumberFormat="1" applyFont="1" applyFill="1" applyBorder="1"/>
    <x:xf numFmtId="0" fontId="38" fillId="19" borderId="14" xfId="0" applyNumberFormat="1" applyFont="1" applyFill="1" applyBorder="1"/>
    <x:xf numFmtId="0" fontId="38" fillId="19" borderId="15" xfId="0" applyNumberFormat="1" applyFont="1" applyFill="1" applyBorder="1"/>
    <x:xf numFmtId="209" fontId="42" fillId="18" borderId="14" xfId="0" applyNumberFormat="1" applyFont="1" applyFill="1" applyBorder="1" applyAlignment="1">
      <x:alignment horizontal="right"/>
    </x:xf>
    <x:xf numFmtId="206" fontId="43" fillId="0" borderId="14" xfId="0" applyNumberFormat="1" applyFont="1" applyFill="1" applyBorder="1"/>
    <x:xf numFmtId="0" fontId="43" fillId="0" borderId="14" xfId="0" applyNumberFormat="1" applyFont="1" applyFill="1" applyBorder="1"/>
    <x:xf numFmtId="0" fontId="44" fillId="20" borderId="19" xfId="0" applyNumberFormat="1" applyFont="1" applyFill="1" applyBorder="1"/>
    <x:xf numFmtId="0" fontId="43" fillId="20" borderId="20" xfId="0" applyNumberFormat="1" applyFont="1" applyFill="1" applyBorder="1"/>
    <x:xf numFmtId="0" fontId="44" fillId="20" borderId="20" xfId="0" applyNumberFormat="1" applyFont="1" applyFill="1" applyBorder="1"/>
    <x:xf numFmtId="0" fontId="44" fillId="20" borderId="21" xfId="0" applyNumberFormat="1" applyFont="1" applyFill="1" applyBorder="1"/>
    <x:xf numFmtId="0" fontId="41" fillId="0" borderId="16" xfId="0" applyNumberFormat="1" applyFont="1" applyFill="1" applyBorder="1"/>
    <x:xf numFmtId="0" fontId="38" fillId="0" borderId="17" xfId="0" applyNumberFormat="1" applyFont="1" applyFill="1" applyBorder="1"/>
    <x:xf numFmtId="0" fontId="41" fillId="0" borderId="17" xfId="0" applyNumberFormat="1" applyFont="1" applyFill="1" applyBorder="1"/>
    <x:xf numFmtId="201" fontId="42" fillId="18" borderId="17" xfId="0" applyNumberFormat="1" applyFont="1" applyFill="1" applyBorder="1" applyAlignment="1">
      <x:alignment horizontal="right"/>
    </x:xf>
    <x:xf numFmtId="0" fontId="38" fillId="0" borderId="18" xfId="0" applyNumberFormat="1" applyFont="1" applyFill="1" applyBorder="1"/>
    <x:xf numFmtId="203" fontId="42" fillId="18" borderId="14" xfId="0" applyNumberFormat="1" applyFont="1" applyFill="1" applyBorder="1"/>
    <x:xf numFmtId="208" fontId="38" fillId="0" borderId="14" xfId="0" applyNumberFormat="1" applyFont="1" applyFill="1" applyBorder="1"/>
    <x:xf numFmtId="203" fontId="38" fillId="0" borderId="14" xfId="0" applyNumberFormat="1" applyFont="1" applyFill="1" applyBorder="1"/>
    <x:xf numFmtId="0" fontId="12" fillId="20" borderId="14" xfId="0" applyNumberFormat="1" applyFont="1" applyFill="1" applyBorder="1" applyAlignment="1">
      <x:alignment wrapText="1"/>
    </x:xf>
    <x:xf numFmtId="0" fontId="40" fillId="21" borderId="0" xfId="0" applyNumberFormat="1" applyFont="1" applyFill="1" applyBorder="1" applyAlignment="1">
      <x:alignment horizontal="center"/>
    </x:xf>
    <x:xf numFmtId="201" fontId="45" fillId="0" borderId="0" xfId="0" applyNumberFormat="1" applyFont="1" applyFill="1" applyBorder="1"/>
    <x:xf numFmtId="0" fontId="45" fillId="0" borderId="0" xfId="0" applyNumberFormat="1" applyFont="1" applyFill="1" applyBorder="1"/>
    <x:xf numFmtId="200" fontId="45" fillId="0" borderId="0" xfId="0" applyNumberFormat="1" applyFont="1" applyFill="1" applyBorder="1"/>
    <x:xf numFmtId="209" fontId="45" fillId="0" borderId="0" xfId="0" applyNumberFormat="1" applyFont="1" applyFill="1" applyBorder="1"/>
    <x:xf numFmtId="203" fontId="45" fillId="0" borderId="0" xfId="0" applyNumberFormat="1" applyFont="1" applyFill="1" applyBorder="1"/>
    <x:xf numFmtId="0" fontId="43" fillId="19" borderId="22" xfId="0" applyNumberFormat="1" applyFont="1" applyFill="1" applyBorder="1"/>
    <x:xf numFmtId="0" fontId="43" fillId="19" borderId="23" xfId="0" applyNumberFormat="1" applyFont="1" applyFill="1" applyBorder="1"/>
    <x:xf numFmtId="200" fontId="43" fillId="19" borderId="24" xfId="0" applyNumberFormat="1" applyFont="1" applyFill="1" applyBorder="1"/>
    <x:xf numFmtId="200" fontId="43" fillId="19" borderId="22" xfId="0" applyNumberFormat="1" applyFont="1" applyFill="1" applyBorder="1"/>
    <x:xf numFmtId="217" fontId="45" fillId="0" borderId="0" xfId="0" applyNumberFormat="1" applyFont="1" applyFill="1" applyBorder="1"/>
    <x:xf numFmtId="0" fontId="38" fillId="0" borderId="16" xfId="0" applyNumberFormat="1" applyFont="1" applyFill="1" applyBorder="1"/>
    <x:xf numFmtId="0" fontId="38" fillId="0" borderId="14" xfId="0" applyNumberFormat="1" applyFont="1" applyFill="1" applyBorder="1" applyAlignment="1">
      <x:alignment wrapText="1"/>
    </x:xf>
    <x:xf numFmtId="0" fontId="44" fillId="0" borderId="14" xfId="0" applyNumberFormat="1" applyFont="1" applyFill="1" applyBorder="1" applyAlignment="1">
      <x:alignment wrapText="1"/>
    </x:xf>
    <x:xf numFmtId="0" fontId="46" fillId="20" borderId="14" xfId="0" applyNumberFormat="1" applyFont="1" applyFill="1" applyBorder="1" applyAlignment="1">
      <x:alignment vertical="top" wrapText="1"/>
    </x:xf>
    <x:xf numFmtId="0" fontId="47" fillId="22" borderId="25" xfId="0" applyNumberFormat="1" applyFont="1" applyFill="1" applyBorder="1" applyAlignment="1">
      <x:alignment vertical="center" wrapText="1"/>
    </x:xf>
    <x:xf numFmtId="0" fontId="47" fillId="22" borderId="26" xfId="0" applyNumberFormat="1" applyFont="1" applyFill="1" applyBorder="1" applyAlignment="1">
      <x:alignment vertical="center" wrapText="1"/>
    </x:xf>
    <x:xf numFmtId="0" fontId="47" fillId="22" borderId="27" xfId="0" applyNumberFormat="1" applyFont="1" applyFill="1" applyBorder="1" applyAlignment="1">
      <x:alignment vertical="center" wrapText="1"/>
    </x:xf>
    <x:xf numFmtId="0" fontId="47" fillId="22" borderId="28" xfId="0" applyNumberFormat="1" applyFont="1" applyFill="1" applyBorder="1" applyAlignment="1">
      <x:alignment vertical="center" wrapText="1"/>
    </x:xf>
    <x:xf numFmtId="0" fontId="47" fillId="22" borderId="29" xfId="0" applyNumberFormat="1" applyFont="1" applyFill="1" applyBorder="1" applyAlignment="1">
      <x:alignment vertical="center" wrapText="1"/>
    </x:xf>
    <x:xf numFmtId="0" fontId="47" fillId="22" borderId="30" xfId="0" applyNumberFormat="1" applyFont="1" applyFill="1" applyBorder="1" applyAlignment="1">
      <x:alignment vertical="center" wrapText="1"/>
    </x:xf>
    <x:xf numFmtId="0" fontId="38" fillId="0" borderId="0" xfId="0" applyNumberFormat="1" applyFont="1" applyFill="1" applyBorder="1" applyAlignment="1">
      <x:alignment vertical="center"/>
    </x:xf>
    <x:xf numFmtId="0" fontId="41" fillId="0" borderId="10" xfId="0" applyNumberFormat="1" applyFont="1" applyFill="1" applyBorder="1" applyAlignment="1">
      <x:alignment vertical="center"/>
    </x:xf>
    <x:xf numFmtId="0" fontId="42" fillId="18" borderId="11" xfId="0" applyNumberFormat="1" applyFont="1" applyFill="1" applyBorder="1" applyAlignment="1">
      <x:alignment horizontal="right" vertical="center"/>
    </x:xf>
    <x:xf numFmtId="0" fontId="41" fillId="0" borderId="11" xfId="0" applyNumberFormat="1" applyFont="1" applyFill="1" applyBorder="1" applyAlignment="1">
      <x:alignment vertical="center"/>
    </x:xf>
    <x:xf numFmtId="208" fontId="42" fillId="18" borderId="11" xfId="0" applyNumberFormat="1" applyFont="1" applyFill="1" applyBorder="1" applyAlignment="1">
      <x:alignment horizontal="right" vertical="center"/>
    </x:xf>
    <x:xf numFmtId="0" fontId="38" fillId="0" borderId="12" xfId="0" applyNumberFormat="1" applyFont="1" applyFill="1" applyBorder="1" applyAlignment="1">
      <x:alignment vertical="center"/>
    </x:xf>
    <x:xf numFmtId="0" fontId="38" fillId="0" borderId="10" xfId="0" applyNumberFormat="1" applyFont="1" applyFill="1" applyBorder="1" applyAlignment="1">
      <x:alignment vertical="center"/>
    </x:xf>
    <x:xf numFmtId="210" fontId="43" fillId="0" borderId="11" xfId="0" applyNumberFormat="1" applyFont="1" applyFill="1" applyBorder="1" applyAlignment="1">
      <x:alignment vertical="center"/>
    </x:xf>
    <x:xf numFmtId="0" fontId="38" fillId="0" borderId="11" xfId="0" applyNumberFormat="1" applyFont="1" applyFill="1" applyBorder="1" applyAlignment="1">
      <x:alignment vertical="center"/>
    </x:xf>
    <x:xf numFmtId="0" fontId="40" fillId="21" borderId="14" xfId="0" applyNumberFormat="1" applyFont="1" applyFill="1" applyBorder="1" applyAlignment="1">
      <x:alignment horizontal="center" vertical="center"/>
    </x:xf>
    <x:xf numFmtId="0" fontId="41" fillId="0" borderId="13" xfId="0" applyNumberFormat="1" applyFont="1" applyFill="1" applyBorder="1" applyAlignment="1">
      <x:alignment vertical="center"/>
    </x:xf>
    <x:xf numFmtId="0" fontId="42" fillId="18" borderId="14" xfId="0" applyNumberFormat="1" applyFont="1" applyFill="1" applyBorder="1" applyAlignment="1">
      <x:alignment horizontal="right" vertical="center"/>
    </x:xf>
    <x:xf numFmtId="0" fontId="41" fillId="0" borderId="14" xfId="0" applyNumberFormat="1" applyFont="1" applyFill="1" applyBorder="1" applyAlignment="1">
      <x:alignment vertical="center"/>
    </x:xf>
    <x:xf numFmtId="208" fontId="42" fillId="18" borderId="14" xfId="0" applyNumberFormat="1" applyFont="1" applyFill="1" applyBorder="1" applyAlignment="1">
      <x:alignment horizontal="right" vertical="center"/>
    </x:xf>
    <x:xf numFmtId="0" fontId="38" fillId="0" borderId="15" xfId="0" applyNumberFormat="1" applyFont="1" applyFill="1" applyBorder="1" applyAlignment="1">
      <x:alignment vertical="center"/>
    </x:xf>
    <x:xf numFmtId="0" fontId="38" fillId="0" borderId="13" xfId="0" applyNumberFormat="1" applyFont="1" applyFill="1" applyBorder="1" applyAlignment="1">
      <x:alignment vertical="center"/>
    </x:xf>
    <x:xf numFmtId="210" fontId="43" fillId="0" borderId="14" xfId="0" applyNumberFormat="1" applyFont="1" applyFill="1" applyBorder="1" applyAlignment="1">
      <x:alignment vertical="center"/>
    </x:xf>
    <x:xf numFmtId="0" fontId="38" fillId="0" borderId="14" xfId="0" applyNumberFormat="1" applyFont="1" applyFill="1" applyBorder="1" applyAlignment="1">
      <x:alignment vertical="center"/>
    </x:xf>
    <x:xf numFmtId="216" fontId="38" fillId="0" borderId="14" xfId="0" applyNumberFormat="1" applyFont="1" applyFill="1" applyBorder="1" applyAlignment="1">
      <x:alignment vertical="center"/>
    </x:xf>
    <x:xf numFmtId="201" fontId="42" fillId="18" borderId="14" xfId="0" applyNumberFormat="1" applyFont="1" applyFill="1" applyBorder="1" applyAlignment="1">
      <x:alignment horizontal="right" vertical="center"/>
    </x:xf>
    <x:xf numFmtId="206" fontId="42" fillId="18" borderId="14" xfId="0" applyNumberFormat="1" applyFont="1" applyFill="1" applyBorder="1" applyAlignment="1">
      <x:alignment horizontal="right" vertical="center"/>
    </x:xf>
    <x:xf numFmtId="0" fontId="38" fillId="19" borderId="13" xfId="0" applyNumberFormat="1" applyFont="1" applyFill="1" applyBorder="1" applyAlignment="1">
      <x:alignment vertical="center"/>
    </x:xf>
    <x:xf numFmtId="210" fontId="43" fillId="19" borderId="14" xfId="0" applyNumberFormat="1" applyFont="1" applyFill="1" applyBorder="1" applyAlignment="1">
      <x:alignment vertical="center"/>
    </x:xf>
    <x:xf numFmtId="0" fontId="38" fillId="19" borderId="14" xfId="0" applyNumberFormat="1" applyFont="1" applyFill="1" applyBorder="1" applyAlignment="1">
      <x:alignment vertical="center"/>
    </x:xf>
    <x:xf numFmtId="0" fontId="38" fillId="19" borderId="15" xfId="0" applyNumberFormat="1" applyFont="1" applyFill="1" applyBorder="1" applyAlignment="1">
      <x:alignment vertical="center"/>
    </x:xf>
    <x:xf numFmtId="209" fontId="42" fillId="18" borderId="14" xfId="0" applyNumberFormat="1" applyFont="1" applyFill="1" applyBorder="1" applyAlignment="1">
      <x:alignment horizontal="right" vertical="center"/>
    </x:xf>
    <x:xf numFmtId="206" fontId="43" fillId="0" borderId="14" xfId="0" applyNumberFormat="1" applyFont="1" applyFill="1" applyBorder="1" applyAlignment="1">
      <x:alignment vertical="center"/>
    </x:xf>
    <x:xf numFmtId="0" fontId="43" fillId="0" borderId="14" xfId="0" applyNumberFormat="1" applyFont="1" applyFill="1" applyBorder="1" applyAlignment="1">
      <x:alignment vertical="center"/>
    </x:xf>
    <x:xf numFmtId="0" fontId="44" fillId="20" borderId="19" xfId="0" applyNumberFormat="1" applyFont="1" applyFill="1" applyBorder="1" applyAlignment="1">
      <x:alignment vertical="center"/>
    </x:xf>
    <x:xf numFmtId="0" fontId="43" fillId="20" borderId="20" xfId="0" applyNumberFormat="1" applyFont="1" applyFill="1" applyBorder="1" applyAlignment="1">
      <x:alignment vertical="center"/>
    </x:xf>
    <x:xf numFmtId="0" fontId="44" fillId="20" borderId="20" xfId="0" applyNumberFormat="1" applyFont="1" applyFill="1" applyBorder="1" applyAlignment="1">
      <x:alignment vertical="center"/>
    </x:xf>
    <x:xf numFmtId="0" fontId="44" fillId="20" borderId="21" xfId="0" applyNumberFormat="1" applyFont="1" applyFill="1" applyBorder="1" applyAlignment="1">
      <x:alignment vertical="center"/>
    </x:xf>
    <x:xf numFmtId="0" fontId="41" fillId="0" borderId="16" xfId="0" applyNumberFormat="1" applyFont="1" applyFill="1" applyBorder="1" applyAlignment="1">
      <x:alignment vertical="center"/>
    </x:xf>
    <x:xf numFmtId="0" fontId="38" fillId="0" borderId="17" xfId="0" applyNumberFormat="1" applyFont="1" applyFill="1" applyBorder="1" applyAlignment="1">
      <x:alignment vertical="center"/>
    </x:xf>
    <x:xf numFmtId="0" fontId="41" fillId="0" borderId="17" xfId="0" applyNumberFormat="1" applyFont="1" applyFill="1" applyBorder="1" applyAlignment="1">
      <x:alignment vertical="center"/>
    </x:xf>
    <x:xf numFmtId="201" fontId="42" fillId="18" borderId="17" xfId="0" applyNumberFormat="1" applyFont="1" applyFill="1" applyBorder="1" applyAlignment="1">
      <x:alignment horizontal="right" vertical="center"/>
    </x:xf>
    <x:xf numFmtId="0" fontId="38" fillId="0" borderId="18" xfId="0" applyNumberFormat="1" applyFont="1" applyFill="1" applyBorder="1" applyAlignment="1">
      <x:alignment vertical="center"/>
    </x:xf>
    <x:xf numFmtId="203" fontId="42" fillId="18" borderId="14" xfId="0" applyNumberFormat="1" applyFont="1" applyFill="1" applyBorder="1" applyAlignment="1">
      <x:alignment vertical="center"/>
    </x:xf>
    <x:xf numFmtId="208" fontId="38" fillId="0" borderId="14" xfId="0" applyNumberFormat="1" applyFont="1" applyFill="1" applyBorder="1" applyAlignment="1">
      <x:alignment vertical="center"/>
    </x:xf>
    <x:xf numFmtId="203" fontId="38" fillId="0" borderId="14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vertical="center" wrapText="1"/>
    </x:xf>
    <x:xf numFmtId="0" fontId="40" fillId="21" borderId="0" xfId="0" applyNumberFormat="1" applyFont="1" applyFill="1" applyBorder="1" applyAlignment="1">
      <x:alignment horizontal="center" vertical="center"/>
    </x:xf>
    <x:xf numFmtId="201" fontId="45" fillId="0" borderId="0" xfId="0" applyNumberFormat="1" applyFont="1" applyFill="1" applyBorder="1" applyAlignment="1">
      <x:alignment vertical="center"/>
    </x:xf>
    <x:xf numFmtId="0" fontId="45" fillId="0" borderId="0" xfId="0" applyNumberFormat="1" applyFont="1" applyFill="1" applyBorder="1" applyAlignment="1">
      <x:alignment vertical="center"/>
    </x:xf>
    <x:xf numFmtId="200" fontId="45" fillId="0" borderId="0" xfId="0" applyNumberFormat="1" applyFont="1" applyFill="1" applyBorder="1" applyAlignment="1">
      <x:alignment vertical="center"/>
    </x:xf>
    <x:xf numFmtId="209" fontId="45" fillId="0" borderId="0" xfId="0" applyNumberFormat="1" applyFont="1" applyFill="1" applyBorder="1" applyAlignment="1">
      <x:alignment vertical="center"/>
    </x:xf>
    <x:xf numFmtId="203" fontId="45" fillId="0" borderId="0" xfId="0" applyNumberFormat="1" applyFont="1" applyFill="1" applyBorder="1" applyAlignment="1">
      <x:alignment vertical="center"/>
    </x:xf>
    <x:xf numFmtId="0" fontId="43" fillId="19" borderId="22" xfId="0" applyNumberFormat="1" applyFont="1" applyFill="1" applyBorder="1" applyAlignment="1">
      <x:alignment vertical="center"/>
    </x:xf>
    <x:xf numFmtId="0" fontId="43" fillId="19" borderId="23" xfId="0" applyNumberFormat="1" applyFont="1" applyFill="1" applyBorder="1" applyAlignment="1">
      <x:alignment vertical="center"/>
    </x:xf>
    <x:xf numFmtId="200" fontId="43" fillId="19" borderId="24" xfId="0" applyNumberFormat="1" applyFont="1" applyFill="1" applyBorder="1" applyAlignment="1">
      <x:alignment vertical="center"/>
    </x:xf>
    <x:xf numFmtId="200" fontId="43" fillId="19" borderId="22" xfId="0" applyNumberFormat="1" applyFont="1" applyFill="1" applyBorder="1" applyAlignment="1">
      <x:alignment vertical="center"/>
    </x:xf>
    <x:xf numFmtId="217" fontId="45" fillId="0" borderId="0" xfId="0" applyNumberFormat="1" applyFont="1" applyFill="1" applyBorder="1" applyAlignment="1">
      <x:alignment vertical="center"/>
    </x:xf>
    <x:xf numFmtId="0" fontId="38" fillId="0" borderId="16" xfId="0" applyNumberFormat="1" applyFont="1" applyFill="1" applyBorder="1" applyAlignment="1">
      <x:alignment vertical="center"/>
    </x:xf>
    <x:xf numFmtId="0" fontId="38" fillId="0" borderId="14" xfId="0" applyNumberFormat="1" applyFont="1" applyFill="1" applyBorder="1" applyAlignment="1">
      <x:alignment vertical="center" wrapText="1"/>
    </x:xf>
    <x:xf numFmtId="0" fontId="44" fillId="0" borderId="14" xfId="0" applyNumberFormat="1" applyFont="1" applyFill="1" applyBorder="1" applyAlignment="1">
      <x:alignment vertical="center" wrapText="1"/>
    </x:xf>
    <x:xf numFmtId="0" fontId="46" fillId="20" borderId="14" xfId="0" applyNumberFormat="1" applyFont="1" applyFill="1" applyBorder="1" applyAlignment="1">
      <x:alignment vertical="center" wrapText="1"/>
    </x:xf>
    <x:xf numFmtId="0" fontId="41" fillId="0" borderId="10" xfId="0" applyNumberFormat="1" applyFont="1" applyFill="1" applyBorder="1" applyAlignment="1">
      <x:alignment vertical="center" wrapText="1"/>
    </x:xf>
    <x:xf numFmtId="0" fontId="42" fillId="18" borderId="11" xfId="0" applyNumberFormat="1" applyFont="1" applyFill="1" applyBorder="1" applyAlignment="1">
      <x:alignment horizontal="right" vertical="center" wrapText="1"/>
    </x:xf>
    <x:xf numFmtId="0" fontId="41" fillId="0" borderId="11" xfId="0" applyNumberFormat="1" applyFont="1" applyFill="1" applyBorder="1" applyAlignment="1">
      <x:alignment vertical="center" wrapText="1"/>
    </x:xf>
    <x:xf numFmtId="208" fontId="42" fillId="18" borderId="11" xfId="0" applyNumberFormat="1" applyFont="1" applyFill="1" applyBorder="1" applyAlignment="1">
      <x:alignment horizontal="right" vertical="center" wrapText="1"/>
    </x:xf>
    <x:xf numFmtId="0" fontId="38" fillId="0" borderId="12" xfId="0" applyNumberFormat="1" applyFont="1" applyFill="1" applyBorder="1" applyAlignment="1">
      <x:alignment vertical="center" wrapText="1"/>
    </x:xf>
    <x:xf numFmtId="0" fontId="41" fillId="0" borderId="13" xfId="0" applyNumberFormat="1" applyFont="1" applyFill="1" applyBorder="1" applyAlignment="1">
      <x:alignment vertical="center" wrapText="1"/>
    </x:xf>
    <x:xf numFmtId="0" fontId="42" fillId="18" borderId="14" xfId="0" applyNumberFormat="1" applyFont="1" applyFill="1" applyBorder="1" applyAlignment="1">
      <x:alignment horizontal="right" vertical="center" wrapText="1"/>
    </x:xf>
    <x:xf numFmtId="0" fontId="41" fillId="0" borderId="14" xfId="0" applyNumberFormat="1" applyFont="1" applyFill="1" applyBorder="1" applyAlignment="1">
      <x:alignment vertical="center" wrapText="1"/>
    </x:xf>
    <x:xf numFmtId="208" fontId="42" fillId="18" borderId="14" xfId="0" applyNumberFormat="1" applyFont="1" applyFill="1" applyBorder="1" applyAlignment="1">
      <x:alignment horizontal="right" vertical="center" wrapText="1"/>
    </x:xf>
    <x:xf numFmtId="0" fontId="38" fillId="0" borderId="15" xfId="0" applyNumberFormat="1" applyFont="1" applyFill="1" applyBorder="1" applyAlignment="1">
      <x:alignment vertical="center" wrapText="1"/>
    </x:xf>
    <x:xf numFmtId="201" fontId="42" fillId="18" borderId="14" xfId="0" applyNumberFormat="1" applyFont="1" applyFill="1" applyBorder="1" applyAlignment="1">
      <x:alignment horizontal="right" vertical="center" wrapText="1"/>
    </x:xf>
    <x:xf numFmtId="206" fontId="42" fillId="18" borderId="14" xfId="0" applyNumberFormat="1" applyFont="1" applyFill="1" applyBorder="1" applyAlignment="1">
      <x:alignment horizontal="right" vertical="center" wrapText="1"/>
    </x:xf>
    <x:xf numFmtId="209" fontId="42" fillId="18" borderId="14" xfId="0" applyNumberFormat="1" applyFont="1" applyFill="1" applyBorder="1" applyAlignment="1">
      <x:alignment horizontal="right" vertical="center" wrapText="1"/>
    </x:xf>
    <x:xf numFmtId="0" fontId="41" fillId="0" borderId="16" xfId="0" applyNumberFormat="1" applyFont="1" applyFill="1" applyBorder="1" applyAlignment="1">
      <x:alignment vertical="center" wrapText="1"/>
    </x:xf>
    <x:xf numFmtId="0" fontId="38" fillId="0" borderId="17" xfId="0" applyNumberFormat="1" applyFont="1" applyFill="1" applyBorder="1" applyAlignment="1">
      <x:alignment vertical="center" wrapText="1"/>
    </x:xf>
    <x:xf numFmtId="0" fontId="41" fillId="0" borderId="17" xfId="0" applyNumberFormat="1" applyFont="1" applyFill="1" applyBorder="1" applyAlignment="1">
      <x:alignment vertical="center" wrapText="1"/>
    </x:xf>
    <x:xf numFmtId="201" fontId="42" fillId="18" borderId="17" xfId="0" applyNumberFormat="1" applyFont="1" applyFill="1" applyBorder="1" applyAlignment="1">
      <x:alignment horizontal="right" vertical="center" wrapText="1"/>
    </x:xf>
    <x:xf numFmtId="0" fontId="38" fillId="0" borderId="18" xfId="0" applyNumberFormat="1" applyFont="1" applyFill="1" applyBorder="1" applyAlignment="1">
      <x:alignment vertical="center" wrapText="1"/>
    </x:xf>
    <x:xf numFmtId="0" fontId="38" fillId="0" borderId="10" xfId="0" applyNumberFormat="1" applyFont="1" applyFill="1" applyBorder="1" applyAlignment="1">
      <x:alignment vertical="center" wrapText="1"/>
    </x:xf>
    <x:xf numFmtId="210" fontId="43" fillId="0" borderId="11" xfId="0" applyNumberFormat="1" applyFont="1" applyFill="1" applyBorder="1" applyAlignment="1">
      <x:alignment vertical="center" wrapText="1"/>
    </x:xf>
    <x:xf numFmtId="0" fontId="38" fillId="0" borderId="11" xfId="0" applyNumberFormat="1" applyFont="1" applyFill="1" applyBorder="1" applyAlignment="1">
      <x:alignment vertical="center" wrapText="1"/>
    </x:xf>
    <x:xf numFmtId="0" fontId="38" fillId="0" borderId="13" xfId="0" applyNumberFormat="1" applyFont="1" applyFill="1" applyBorder="1" applyAlignment="1">
      <x:alignment vertical="center" wrapText="1"/>
    </x:xf>
    <x:xf numFmtId="210" fontId="43" fillId="0" borderId="14" xfId="0" applyNumberFormat="1" applyFont="1" applyFill="1" applyBorder="1" applyAlignment="1">
      <x:alignment vertical="center" wrapText="1"/>
    </x:xf>
    <x:xf numFmtId="0" fontId="38" fillId="19" borderId="13" xfId="0" applyNumberFormat="1" applyFont="1" applyFill="1" applyBorder="1" applyAlignment="1">
      <x:alignment vertical="center" wrapText="1"/>
    </x:xf>
    <x:xf numFmtId="210" fontId="43" fillId="19" borderId="14" xfId="0" applyNumberFormat="1" applyFont="1" applyFill="1" applyBorder="1" applyAlignment="1">
      <x:alignment vertical="center" wrapText="1"/>
    </x:xf>
    <x:xf numFmtId="0" fontId="38" fillId="19" borderId="14" xfId="0" applyNumberFormat="1" applyFont="1" applyFill="1" applyBorder="1" applyAlignment="1">
      <x:alignment vertical="center" wrapText="1"/>
    </x:xf>
    <x:xf numFmtId="0" fontId="38" fillId="19" borderId="15" xfId="0" applyNumberFormat="1" applyFont="1" applyFill="1" applyBorder="1" applyAlignment="1">
      <x:alignment vertical="center" wrapText="1"/>
    </x:xf>
    <x:xf numFmtId="206" fontId="43" fillId="0" borderId="14" xfId="0" applyNumberFormat="1" applyFont="1" applyFill="1" applyBorder="1" applyAlignment="1">
      <x:alignment vertical="center" wrapText="1"/>
    </x:xf>
    <x:xf numFmtId="0" fontId="43" fillId="0" borderId="14" xfId="0" applyNumberFormat="1" applyFont="1" applyFill="1" applyBorder="1" applyAlignment="1">
      <x:alignment vertical="center" wrapText="1"/>
    </x:xf>
    <x:xf numFmtId="0" fontId="44" fillId="20" borderId="19" xfId="0" applyNumberFormat="1" applyFont="1" applyFill="1" applyBorder="1" applyAlignment="1">
      <x:alignment vertical="center" wrapText="1"/>
    </x:xf>
    <x:xf numFmtId="0" fontId="43" fillId="20" borderId="20" xfId="0" applyNumberFormat="1" applyFont="1" applyFill="1" applyBorder="1" applyAlignment="1">
      <x:alignment vertical="center" wrapText="1"/>
    </x:xf>
    <x:xf numFmtId="0" fontId="44" fillId="20" borderId="20" xfId="0" applyNumberFormat="1" applyFont="1" applyFill="1" applyBorder="1" applyAlignment="1">
      <x:alignment vertical="center" wrapText="1"/>
    </x:xf>
    <x:xf numFmtId="0" fontId="44" fillId="20" borderId="21" xfId="0" applyNumberFormat="1" applyFont="1" applyFill="1" applyBorder="1" applyAlignment="1">
      <x:alignment vertical="center" wrapText="1"/>
    </x:xf>
    <x:xf numFmtId="0" fontId="46" fillId="7" borderId="14" xfId="0" applyNumberFormat="1" applyFont="1" applyFill="1" applyBorder="1" applyAlignment="1">
      <x:alignment vertical="center" wrapText="1"/>
    </x:xf>
    <x:xf numFmtId="0" fontId="47" fillId="7" borderId="14" xfId="0" applyNumberFormat="1" applyFont="1" applyFill="1" applyBorder="1" applyAlignment="1">
      <x:alignment vertical="center" wrapText="1"/>
    </x:xf>
    <x:xf numFmtId="0" fontId="47" fillId="23" borderId="14" xfId="0" applyNumberFormat="1" applyFont="1" applyFill="1" applyBorder="1" applyAlignment="1">
      <x:alignment vertical="center" wrapText="1"/>
    </x:xf>
    <x:xf numFmtId="0" fontId="47" fillId="23" borderId="31" xfId="0" applyNumberFormat="1" applyFont="1" applyFill="1" applyBorder="1" applyAlignment="1">
      <x:alignment vertical="center" wrapText="1"/>
    </x:xf>
    <x:xf numFmtId="0" fontId="47" fillId="23" borderId="32" xfId="0" applyNumberFormat="1" applyFont="1" applyFill="1" applyBorder="1" applyAlignment="1">
      <x:alignment vertical="center" wrapText="1"/>
    </x:xf>
    <x:xf numFmtId="0" fontId="47" fillId="23" borderId="3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b/>
        <x:color rgb="FF0000FF"/>
      </x:font>
      <x:fill>
        <x:patternFill>
          <x:bgColor rgb="FFEDF6E9"/>
        </x:patternFill>
      </x:fill>
    </x:dxf>
    <x:dxf>
      <x:font>
        <x:b/>
        <x:color rgb="FF0000FF"/>
      </x:font>
      <x:fill>
        <x:patternFill>
          <x:bgColor rgb="FFFCEFE8"/>
        </x:patternFill>
      </x:fill>
    </x:dxf>
    <x:dxf>
      <x:font>
        <x:b/>
        <x:color rgb="FF0000FF"/>
      </x:font>
      <x:fill>
        <x:patternFill>
          <x:bgColor rgb="FFEDF6E9"/>
        </x:patternFill>
      </x:fill>
    </x:dxf>
    <x:dxf>
      <x:font>
        <x:b/>
        <x:color rgb="FF0000FF"/>
      </x:font>
      <x:fill>
        <x:patternFill>
          <x:bgColor rgb="FFFCEFE8"/>
        </x:patternFill>
      </x:fill>
    </x:dxf>
    <x:dxf>
      <x:font>
        <x:b/>
        <x:color rgb="FF0000FF"/>
      </x:font>
      <x:fill>
        <x:patternFill>
          <x:bgColor rgb="FFEDF6E9"/>
        </x:patternFill>
      </x:fill>
    </x:dxf>
    <x:dxf>
      <x:font>
        <x:b/>
        <x:color rgb="FF0000FF"/>
      </x:font>
      <x:fill>
        <x:patternFill>
          <x:bgColor rgb="FFFCEFE8"/>
        </x:patternFill>
      </x:fill>
    </x:dxf>
    <x:dxf>
      <x:font>
        <x:b/>
        <x:color rgb="FF0000FF"/>
      </x:font>
      <x:fill>
        <x:patternFill>
          <x:bgColor rgb="FFEDF6E9"/>
        </x:patternFill>
      </x:fill>
    </x:dxf>
    <x:dxf>
      <x:font>
        <x:b/>
        <x:color rgb="FF0000FF"/>
      </x:font>
      <x:fill>
        <x:patternFill>
          <x:bgColor rgb="FFFCEFE8"/>
        </x:patternFill>
      </x:fill>
    </x:dxf>
    <x:dxf>
      <x:font>
        <x:b/>
        <x:color rgb="FF0000FF"/>
      </x:font>
      <x:fill>
        <x:patternFill>
          <x:bgColor rgb="FFFCEFE8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1929b9387449d" /><Relationship Type="http://schemas.openxmlformats.org/officeDocument/2006/relationships/theme" Target="/xl/theme/theme1.xml" Id="R529ff83befec4d3a" /><Relationship Type="http://schemas.openxmlformats.org/officeDocument/2006/relationships/sharedStrings" Target="/xl/sharedStrings.xml" Id="R76f49d7660504a95" /><Relationship Type="http://schemas.openxmlformats.org/officeDocument/2006/relationships/worksheet" Target="/xl/worksheets/sheet1.xml" Id="Rbe68256e8c1a4a89" /><Relationship Type="http://schemas.microsoft.com/office/2017/10/relationships/person" Target="/xl/persons/person.xml" Id="Ra7cd61316f044564" /></Relationships>
</file>

<file path=xl/persons/person.xml><?xml version="1.0" encoding="utf-8"?>
<xltc:personList xmlns:xltc="http://schemas.microsoft.com/office/spreadsheetml/2018/threadedcomments">
  <xltc:person displayName="Hoang" id="{1210E3F5-DF00-4297-BE71-B51DF6493946}"/>
  <xltc:person displayName="Hoang" id="{A7C94DE6-BFEF-4531-80F3-2D14DAFDEC4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6" dT="2026-07-31T03:20:58.409" personId="{1210E3F5-DF00-4297-BE71-B51DF6493946}" id="{811031E2-5294-BDB1-2B29-BB52A829B804}">
    <xltc:text>IRR mục tiêu dùng để giải FC. Theo Điều 3 Thông tư 12/2025/TT-BCT, IRR không được vượt 12%.</xltc:text>
  </xltc:threadedComment>
  <xltc:threadedComment ref="B13" dT="2026-07-31T03:20:58.409" personId="{1210E3F5-DF00-4297-BE71-B51DF6493946}" id="{3793F5DB-CA71-3647-4360-58EB3A70623C}">
    <xltc:text>Đối với điện gió, hai bên thỏa thuận sản lượng kỳ vọng P50 tại điểm giao nhận theo Điều 5 Thông tư 12/2025/TT-BCT và nội dung sửa đổi liên quan.</xltc:text>
  </xltc:threadedComment>
  <xltc:threadedComment ref="E7" dT="2026-07-31T03:20:58.409" personId="{1210E3F5-DF00-4297-BE71-B51DF6493946}" id="{442CD9AA-A7F7-CAD3-3EA2-30C12999768A}">
    <xltc:text>Cơ sở tính FOMC của dự án mới là chi phí xây dựng + chi phí thiết bị theo Điều 6 Thông tư 12/2025/TT-BCT.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4352bae30a4706" /><Relationship Type="http://schemas.openxmlformats.org/officeDocument/2006/relationships/vmlDrawing" Target="/xl/drawings/vmldrawing.vml" Id="Rae42509c323f4a4b" /><Relationship Type="http://schemas.microsoft.com/office/2017/10/relationships/threadedComment" Target="/xl/threadedcomments/threadedcomment.xml" Id="R5044a91b33ea48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2" hidden="0" customWidth="1"/>
    <x:col min="4" max="4" width="23" hidden="0" customWidth="1"/>
    <x:col min="5" max="5" width="14" hidden="0" customWidth="1"/>
    <x:col min="6" max="6" width="11" hidden="0" customWidth="1"/>
    <x:col min="7" max="7" width="12" hidden="0" customWidth="1"/>
    <x:col min="8" max="8" width="30" hidden="0" customWidth="1"/>
    <x:col min="9" max="9" width="15" hidden="0" customWidth="1"/>
    <x:col min="10" max="10" width="22" hidden="0" customWidth="1"/>
    <x:col min="11" max="11" width="12" hidden="0" customWidth="1"/>
    <x:col min="12" max="12" width="12" hidden="0" customWidth="1"/>
    <x:col min="13" max="13" width="12" hidden="0" customWidth="1"/>
    <x:col min="14" max="14" width="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1" ht="28" customHeight="1">
      <x:c r="A1" s="401" t="str">
        <x:v>TÍNH TOÁN GIÁ BÁN ĐIỆN THEO HỢP ĐỒNG MUA BÁN ĐIỆN (PPA)</x:v>
      </x:c>
      <x:c r="B1" s="401"/>
      <x:c r="C1" s="401"/>
      <x:c r="D1" s="401"/>
      <x:c r="E1" s="401"/>
      <x:c r="F1" s="401"/>
      <x:c r="G1" s="401"/>
      <x:c r="H1" s="401"/>
      <x:c r="I1" s="401"/>
      <x:c r="J1" s="401"/>
      <x:c r="K1" s="401"/>
      <x:c r="L1" s="467"/>
      <x:c r="M1" s="467"/>
      <x:c r="N1" s="467"/>
      <x:c r="O1" s="467"/>
      <x:c r="P1" s="467"/>
      <x:c r="Q1" s="467"/>
      <x:c r="R1" s="467"/>
      <x:c r="S1" s="467"/>
      <x:c r="T1" s="467"/>
      <x:c r="U1" s="467"/>
      <x:c r="V1" s="467"/>
      <x:c r="W1" s="467"/>
      <x:c r="X1" s="467"/>
      <x:c r="Y1" s="467"/>
      <x:c r="Z1" s="467"/>
      <x:c r="AA1" s="467"/>
    </x:row>
    <x:row r="2" ht="22" customHeight="1">
      <x:c r="A2" s="403" t="str">
        <x:v>Mô hình độc lập tính giá PPA – sử dụng bộ thông số riêng, không liên kết với workbook phân tích tài chính.</x:v>
      </x:c>
      <x:c r="B2" s="403"/>
      <x:c r="C2" s="403"/>
      <x:c r="D2" s="403"/>
      <x:c r="E2" s="403"/>
      <x:c r="F2" s="403"/>
      <x:c r="G2" s="403"/>
      <x:c r="H2" s="403"/>
      <x:c r="I2" s="403"/>
      <x:c r="J2" s="403"/>
      <x:c r="K2" s="403"/>
      <x:c r="L2" s="467"/>
      <x:c r="M2" s="467"/>
      <x:c r="N2" s="467"/>
      <x:c r="O2" s="467"/>
      <x:c r="P2" s="467"/>
      <x:c r="Q2" s="467"/>
      <x:c r="R2" s="467"/>
      <x:c r="S2" s="467"/>
      <x:c r="T2" s="467"/>
      <x:c r="U2" s="467"/>
      <x:c r="V2" s="467"/>
      <x:c r="W2" s="467"/>
      <x:c r="X2" s="467"/>
      <x:c r="Y2" s="467"/>
      <x:c r="Z2" s="467"/>
      <x:c r="AA2" s="467"/>
    </x:row>
    <x:row r="3" ht="22" customHeight="1">
      <x:c r="A3" s="404" t="str">
        <x:v>Căn cứ: Thông tư 12/2025/TT-BCT đã được sửa đổi bởi Thông tư 54/2025/TT-BCT; giá hợp đồng năm cơ sở không vượt khung giá tương ứng.</x:v>
      </x:c>
      <x:c r="B3" s="404"/>
      <x:c r="C3" s="404"/>
      <x:c r="D3" s="404"/>
      <x:c r="E3" s="404"/>
      <x:c r="F3" s="404"/>
      <x:c r="G3" s="404"/>
      <x:c r="H3" s="404"/>
      <x:c r="I3" s="404"/>
      <x:c r="J3" s="404"/>
      <x:c r="K3" s="404"/>
      <x:c r="L3" s="467"/>
      <x:c r="M3" s="467"/>
      <x:c r="N3" s="467"/>
      <x:c r="O3" s="467"/>
      <x:c r="P3" s="467"/>
      <x:c r="Q3" s="467"/>
      <x:c r="R3" s="467"/>
      <x:c r="S3" s="467"/>
      <x:c r="T3" s="467"/>
      <x:c r="U3" s="467"/>
      <x:c r="V3" s="467"/>
      <x:c r="W3" s="467"/>
      <x:c r="X3" s="467"/>
      <x:c r="Y3" s="467"/>
      <x:c r="Z3" s="467"/>
      <x:c r="AA3" s="467"/>
    </x:row>
    <x:row r="4">
      <x:c r="A4" s="467"/>
      <x:c r="B4" s="467"/>
      <x:c r="C4" s="467"/>
      <x:c r="D4" s="467"/>
      <x:c r="E4" s="467"/>
      <x:c r="F4" s="467"/>
      <x:c r="G4" s="467"/>
      <x:c r="H4" s="467"/>
      <x:c r="I4" s="467"/>
      <x:c r="J4" s="467"/>
      <x:c r="K4" s="467"/>
      <x:c r="L4" s="467"/>
      <x:c r="M4" s="467"/>
      <x:c r="N4" s="467"/>
      <x:c r="O4" s="467"/>
      <x:c r="P4" s="467"/>
      <x:c r="Q4" s="467"/>
      <x:c r="R4" s="467"/>
      <x:c r="S4" s="467"/>
      <x:c r="T4" s="467"/>
      <x:c r="U4" s="467"/>
      <x:c r="V4" s="467"/>
      <x:c r="W4" s="467"/>
      <x:c r="X4" s="467"/>
      <x:c r="Y4" s="467"/>
      <x:c r="Z4" s="467"/>
      <x:c r="AA4" s="467"/>
    </x:row>
    <x:row r="5">
      <x:c r="A5" s="405" t="str">
        <x:v>1. THÔNG SỐ ĐỘC LẬP PHỤC VỤ TÍNH GIÁ</x:v>
      </x:c>
      <x:c r="B5" s="405"/>
      <x:c r="C5" s="405"/>
      <x:c r="D5" s="405"/>
      <x:c r="E5" s="405"/>
      <x:c r="F5" s="405"/>
      <x:c r="G5" s="467"/>
      <x:c r="H5" s="405" t="str">
        <x:v>2. KẾT QUẢ GIÁ PPA NĂM CƠ SỞ</x:v>
      </x:c>
      <x:c r="I5" s="405"/>
      <x:c r="J5" s="405"/>
      <x:c r="K5" s="405"/>
      <x:c r="L5" s="467"/>
      <x:c r="M5" s="467"/>
      <x:c r="N5" s="405" t="str">
        <x:v>BẢNG LẶP TỰ ĐỘNG XÁC ĐỊNH FC</x:v>
      </x:c>
      <x:c r="O5" s="405"/>
      <x:c r="P5" s="405"/>
      <x:c r="Q5" s="405"/>
      <x:c r="R5" s="405"/>
      <x:c r="S5" s="467"/>
      <x:c r="T5" s="467"/>
      <x:c r="U5" s="467"/>
      <x:c r="V5" s="467"/>
      <x:c r="W5" s="467"/>
      <x:c r="X5" s="467"/>
      <x:c r="Y5" s="467"/>
      <x:c r="Z5" s="467"/>
      <x:c r="AA5" s="467"/>
    </x:row>
    <x:row r="6">
      <x:c r="A6" s="523" t="str">
        <x:v>Nhóm dự án</x:v>
      </x:c>
      <x:c r="B6" s="524" t="str">
        <x:v>Dự án mới</x:v>
      </x:c>
      <x:c r="C6" s="525" t="str">
        <x:v>Phạm vi áp dụng</x:v>
      </x:c>
      <x:c r="D6" s="525" t="str">
        <x:v>Tổng mức đầu tư đến điểm đấu nối</x:v>
      </x:c>
      <x:c r="E6" s="526" t="n">
        <x:v>5580</x:v>
      </x:c>
      <x:c r="F6" s="527" t="str">
        <x:v>Tỷ VND</x:v>
      </x:c>
      <x:c r="G6" s="467"/>
      <x:c r="H6" s="541" t="str">
        <x:v>Giá cố định bình quân</x:v>
      </x:c>
      <x:c r="I6" s="542" t="n">
        <x:f>R29</x:f>
        <x:v>1705.8056592941284</x:v>
      </x:c>
      <x:c r="J6" s="543" t="str">
        <x:v>FC</x:v>
      </x:c>
      <x:c r="K6" s="527" t="str">
        <x:v>VND/kWh</x:v>
      </x:c>
      <x:c r="L6" s="467"/>
      <x:c r="M6" s="467"/>
      <x:c r="N6" s="476" t="str">
        <x:v>Bước</x:v>
      </x:c>
      <x:c r="O6" s="476" t="str">
        <x:v>Cận dưới</x:v>
      </x:c>
      <x:c r="P6" s="476" t="str">
        <x:v>Cận trên</x:v>
      </x:c>
      <x:c r="Q6" s="476" t="str">
        <x:v>NPV tại FC thử</x:v>
      </x:c>
      <x:c r="R6" s="476" t="str">
        <x:v>FC thử</x:v>
      </x:c>
      <x:c r="S6" s="467"/>
      <x:c r="T6" s="467"/>
      <x:c r="U6" s="467"/>
      <x:c r="V6" s="467"/>
      <x:c r="W6" s="467"/>
      <x:c r="X6" s="467"/>
      <x:c r="Y6" s="467"/>
      <x:c r="Z6" s="467"/>
      <x:c r="AA6" s="467"/>
    </x:row>
    <x:row r="7">
      <x:c r="A7" s="528" t="str">
        <x:v>Loại hình</x:v>
      </x:c>
      <x:c r="B7" s="529" t="str">
        <x:v>Điện gió trên đất liền</x:v>
      </x:c>
      <x:c r="C7" s="530" t="str">
        <x:v>Cơ sở O&amp;M</x:v>
      </x:c>
      <x:c r="D7" s="530" t="str">
        <x:v>Chi phí xây dựng + thiết bị</x:v>
      </x:c>
      <x:c r="E7" s="531" t="n">
        <x:v>5580</x:v>
      </x:c>
      <x:c r="F7" s="532" t="str">
        <x:v>Tỷ VND</x:v>
      </x:c>
      <x:c r="G7" s="467"/>
      <x:c r="H7" s="544" t="str">
        <x:v>O&amp;M sửa chữa lớn và chi phí khác</x:v>
      </x:c>
      <x:c r="I7" s="545" t="n">
        <x:f>IF($B$6="Dự án mới",($E$7*$E$9+$E$8)*1000000/$B$13,0)</x:f>
        <x:v>176.9406392694064</x:v>
      </x:c>
      <x:c r="J7" s="520" t="str">
        <x:v>FOMC_scl</x:v>
      </x:c>
      <x:c r="K7" s="532" t="str">
        <x:v>VND/kWh</x:v>
      </x:c>
      <x:c r="L7" s="467"/>
      <x:c r="M7" s="467"/>
      <x:c r="N7" s="484" t="n">
        <x:v>1</x:v>
      </x:c>
      <x:c r="O7" s="485" t="n">
        <x:v>0</x:v>
      </x:c>
      <x:c r="P7" s="485" t="n">
        <x:v>5000</x:v>
      </x:c>
      <x:c r="Q7" s="485" t="n">
        <x:f>(C$38+R7*C$39/1000000-MAX(R7*C$39/1000000-C$41,0)*C$43+C$46)/(1+$B$16)^C$35+(D$38+R7*D$39/1000000-MAX(R7*D$39/1000000-D$41,0)*D$43+D$46)/(1+$B$16)^D$35+(E$38+R7*E$39/1000000-MAX(R7*E$39/1000000-E$41,0)*E$43+E$46)/(1+$B$16)^E$35+(F$38+R7*F$39/1000000-MAX(R7*F$39/1000000-F$41,0)*F$43+F$46)/(1+$B$16)^F$35+(G$38+R7*G$39/1000000-MAX(R7*G$39/1000000-G$41,0)*G$43+G$46)/(1+$B$16)^G$35+(H$38+R7*H$39/1000000-MAX(R7*H$39/1000000-H$41,0)*H$43+H$46)/(1+$B$16)^H$35+(I$38+R7*I$39/1000000-MAX(R7*I$39/1000000-I$41,0)*I$43+I$46)/(1+$B$16)^I$35+(J$38+R7*J$39/1000000-MAX(R7*J$39/1000000-J$41,0)*J$43+J$46)/(1+$B$16)^J$35+(K$38+R7*K$39/1000000-MAX(R7*K$39/1000000-K$41,0)*K$43+K$46)/(1+$B$16)^K$35+(L$38+R7*L$39/1000000-MAX(R7*L$39/1000000-L$41,0)*L$43+L$46)/(1+$B$16)^L$35+(M$38+R7*M$39/1000000-MAX(R7*M$39/1000000-M$41,0)*M$43+M$46)/(1+$B$16)^M$35+(N$38+R7*N$39/1000000-MAX(R7*N$39/1000000-N$41,0)*N$43+N$46)/(1+$B$16)^N$35+(O$38+R7*O$39/1000000-MAX(R7*O$39/1000000-O$41,0)*O$43+O$46)/(1+$B$16)^O$35+(P$38+R7*P$39/1000000-MAX(R7*P$39/1000000-P$41,0)*P$43+P$46)/(1+$B$16)^P$35+(Q$38+R7*Q$39/1000000-MAX(R7*Q$39/1000000-Q$41,0)*Q$43+Q$46)/(1+$B$16)^Q$35+(R$38+R7*R$39/1000000-MAX(R7*R$39/1000000-R$41,0)*R$43+R$46)/(1+$B$16)^R$35+(S$38+R7*S$39/1000000-MAX(R7*S$39/1000000-S$41,0)*S$43+S$46)/(1+$B$16)^S$35+(T$38+R7*T$39/1000000-MAX(R7*T$39/1000000-T$41,0)*T$43+T$46)/(1+$B$16)^T$35+(U$38+R7*U$39/1000000-MAX(R7*U$39/1000000-U$41,0)*U$43+U$46)/(1+$B$16)^U$35+(V$38+R7*V$39/1000000-MAX(R7*V$39/1000000-V$41,0)*V$43+V$46)/(1+$B$16)^V$35+(W$38+R7*W$39/1000000-MAX(R7*W$39/1000000-W$41,0)*W$43+W$46)/(1+$B$16)^W$35+(X$38+R7*X$39/1000000-MAX(R7*X$39/1000000-X$41,0)*X$43+X$46)/(1+$B$16)^X$35+(Y$38+R7*Y$39/1000000-MAX(R7*Y$39/1000000-Y$41,0)*Y$43+Y$46)/(1+$B$16)^Y$35+(Z$38+R7*Z$39/1000000-MAX(R7*Z$39/1000000-Z$41,0)*Z$43+Z$46)/(1+$B$16)^Z$35+(AA$38+R7*AA$39/1000000-MAX(R7*AA$39/1000000-AA$41,0)*AA$43+AA$46)/(1+$B$16)^AA$35</x:f>
        <x:v>2391.5350486661514</x:v>
      </x:c>
      <x:c r="R7" s="485" t="n">
        <x:f>(O7+P7)/2</x:f>
        <x:v>2500</x:v>
      </x:c>
      <x:c r="S7" s="467"/>
      <x:c r="T7" s="467"/>
      <x:c r="U7" s="467"/>
      <x:c r="V7" s="467"/>
      <x:c r="W7" s="467"/>
      <x:c r="X7" s="467"/>
      <x:c r="Y7" s="467"/>
      <x:c r="Z7" s="467"/>
      <x:c r="AA7" s="467"/>
    </x:row>
    <x:row r="8">
      <x:c r="A8" s="528" t="str">
        <x:v>Khu vực</x:v>
      </x:c>
      <x:c r="B8" s="529" t="str">
        <x:v>Miền Trung</x:v>
      </x:c>
      <x:c r="C8" s="530" t="str">
        <x:v>Chi phí khác Ccdk</x:v>
      </x:c>
      <x:c r="D8" s="530" t="str">
        <x:v>Cảng, nạo vét, hạ tầng liên quan</x:v>
      </x:c>
      <x:c r="E8" s="531" t="n">
        <x:v>0</x:v>
      </x:c>
      <x:c r="F8" s="532" t="str">
        <x:v>Tỷ VND/năm</x:v>
      </x:c>
      <x:c r="G8" s="467"/>
      <x:c r="H8" s="544" t="str">
        <x:v>O&amp;M nhân công</x:v>
      </x:c>
      <x:c r="I8" s="545" t="n">
        <x:f>IF($B$6="Dự án mới",IF($E$10&gt;0,$E$10,$E$7*$E$11)*1000000/$B$13,0)</x:f>
        <x:v>58.98021308980214</x:v>
      </x:c>
      <x:c r="J8" s="520" t="str">
        <x:v>FOMC_nc</x:v>
      </x:c>
      <x:c r="K8" s="532" t="str">
        <x:v>VND/kWh</x:v>
      </x:c>
      <x:c r="L8" s="467"/>
      <x:c r="M8" s="467"/>
      <x:c r="N8" s="484" t="n">
        <x:v>2</x:v>
      </x:c>
      <x:c r="O8" s="485" t="n">
        <x:f>IF(Q7&lt;0,R7,O7)</x:f>
        <x:v>0</x:v>
      </x:c>
      <x:c r="P8" s="485" t="n">
        <x:f>IF(Q7&gt;=0,R7,P7)</x:f>
        <x:v>2500</x:v>
      </x:c>
      <x:c r="Q8" s="485" t="n">
        <x:f>(C$38+R8*C$39/1000000-MAX(R8*C$39/1000000-C$41,0)*C$43+C$46)/(1+$B$16)^C$35+(D$38+R8*D$39/1000000-MAX(R8*D$39/1000000-D$41,0)*D$43+D$46)/(1+$B$16)^D$35+(E$38+R8*E$39/1000000-MAX(R8*E$39/1000000-E$41,0)*E$43+E$46)/(1+$B$16)^E$35+(F$38+R8*F$39/1000000-MAX(R8*F$39/1000000-F$41,0)*F$43+F$46)/(1+$B$16)^F$35+(G$38+R8*G$39/1000000-MAX(R8*G$39/1000000-G$41,0)*G$43+G$46)/(1+$B$16)^G$35+(H$38+R8*H$39/1000000-MAX(R8*H$39/1000000-H$41,0)*H$43+H$46)/(1+$B$16)^H$35+(I$38+R8*I$39/1000000-MAX(R8*I$39/1000000-I$41,0)*I$43+I$46)/(1+$B$16)^I$35+(J$38+R8*J$39/1000000-MAX(R8*J$39/1000000-J$41,0)*J$43+J$46)/(1+$B$16)^J$35+(K$38+R8*K$39/1000000-MAX(R8*K$39/1000000-K$41,0)*K$43+K$46)/(1+$B$16)^K$35+(L$38+R8*L$39/1000000-MAX(R8*L$39/1000000-L$41,0)*L$43+L$46)/(1+$B$16)^L$35+(M$38+R8*M$39/1000000-MAX(R8*M$39/1000000-M$41,0)*M$43+M$46)/(1+$B$16)^M$35+(N$38+R8*N$39/1000000-MAX(R8*N$39/1000000-N$41,0)*N$43+N$46)/(1+$B$16)^N$35+(O$38+R8*O$39/1000000-MAX(R8*O$39/1000000-O$41,0)*O$43+O$46)/(1+$B$16)^O$35+(P$38+R8*P$39/1000000-MAX(R8*P$39/1000000-P$41,0)*P$43+P$46)/(1+$B$16)^P$35+(Q$38+R8*Q$39/1000000-MAX(R8*Q$39/1000000-Q$41,0)*Q$43+Q$46)/(1+$B$16)^Q$35+(R$38+R8*R$39/1000000-MAX(R8*R$39/1000000-R$41,0)*R$43+R$46)/(1+$B$16)^R$35+(S$38+R8*S$39/1000000-MAX(R8*S$39/1000000-S$41,0)*S$43+S$46)/(1+$B$16)^S$35+(T$38+R8*T$39/1000000-MAX(R8*T$39/1000000-T$41,0)*T$43+T$46)/(1+$B$16)^T$35+(U$38+R8*U$39/1000000-MAX(R8*U$39/1000000-U$41,0)*U$43+U$46)/(1+$B$16)^U$35+(V$38+R8*V$39/1000000-MAX(R8*V$39/1000000-V$41,0)*V$43+V$46)/(1+$B$16)^V$35+(W$38+R8*W$39/1000000-MAX(R8*W$39/1000000-W$41,0)*W$43+W$46)/(1+$B$16)^W$35+(X$38+R8*X$39/1000000-MAX(R8*X$39/1000000-X$41,0)*X$43+X$46)/(1+$B$16)^X$35+(Y$38+R8*Y$39/1000000-MAX(R8*Y$39/1000000-Y$41,0)*Y$43+Y$46)/(1+$B$16)^Y$35+(Z$38+R8*Z$39/1000000-MAX(R8*Z$39/1000000-Z$41,0)*Z$43+Z$46)/(1+$B$16)^Z$35+(AA$38+R8*AA$39/1000000-MAX(R8*AA$39/1000000-AA$41,0)*AA$43+AA$46)/(1+$B$16)^AA$35</x:f>
        <x:v>-1372.5573367389952</x:v>
      </x:c>
      <x:c r="R8" s="485" t="n">
        <x:f>(O8+P8)/2</x:f>
        <x:v>1250</x:v>
      </x:c>
      <x:c r="S8" s="467"/>
      <x:c r="T8" s="467"/>
      <x:c r="U8" s="467"/>
      <x:c r="V8" s="467"/>
      <x:c r="W8" s="467"/>
      <x:c r="X8" s="467"/>
      <x:c r="Y8" s="467"/>
      <x:c r="Z8" s="467"/>
      <x:c r="AA8" s="467"/>
    </x:row>
    <x:row r="9">
      <x:c r="A9" s="528" t="str">
        <x:v>Năm cơ sở của giá</x:v>
      </x:c>
      <x:c r="B9" s="533" t="n">
        <x:v>2025</x:v>
      </x:c>
      <x:c r="C9" s="530" t="str">
        <x:v>Tỷ lệ sửa chữa lớn, chi phí khác</x:v>
      </x:c>
      <x:c r="D9" s="530" t="str">
        <x:v>kscl</x:v>
      </x:c>
      <x:c r="E9" s="534" t="n">
        <x:v>0.015</x:v>
      </x:c>
      <x:c r="F9" s="532" t="str">
        <x:v>%</x:v>
      </x:c>
      <x:c r="G9" s="467"/>
      <x:c r="H9" s="544" t="str">
        <x:v>O&amp;M cố định năm cơ sở</x:v>
      </x:c>
      <x:c r="I9" s="545" t="n">
        <x:f>IF($B$6="Dự án chuyển tiếp",$E$6*$E$12*1000000/$B$13,SUM(I7:I8))</x:f>
        <x:v>235.92085235920854</x:v>
      </x:c>
      <x:c r="J9" s="520" t="str">
        <x:v>FOMC_b</x:v>
      </x:c>
      <x:c r="K9" s="532" t="str">
        <x:v>VND/kWh</x:v>
      </x:c>
      <x:c r="L9" s="467"/>
      <x:c r="M9" s="467"/>
      <x:c r="N9" s="484" t="n">
        <x:v>3</x:v>
      </x:c>
      <x:c r="O9" s="485" t="n">
        <x:f>IF(Q8&lt;0,R8,O8)</x:f>
        <x:v>1250</x:v>
      </x:c>
      <x:c r="P9" s="485" t="n">
        <x:f>IF(Q8&gt;=0,R8,P8)</x:f>
        <x:v>2500</x:v>
      </x:c>
      <x:c r="Q9" s="485" t="n">
        <x:f>(C$38+R9*C$39/1000000-MAX(R9*C$39/1000000-C$41,0)*C$43+C$46)/(1+$B$16)^C$35+(D$38+R9*D$39/1000000-MAX(R9*D$39/1000000-D$41,0)*D$43+D$46)/(1+$B$16)^D$35+(E$38+R9*E$39/1000000-MAX(R9*E$39/1000000-E$41,0)*E$43+E$46)/(1+$B$16)^E$35+(F$38+R9*F$39/1000000-MAX(R9*F$39/1000000-F$41,0)*F$43+F$46)/(1+$B$16)^F$35+(G$38+R9*G$39/1000000-MAX(R9*G$39/1000000-G$41,0)*G$43+G$46)/(1+$B$16)^G$35+(H$38+R9*H$39/1000000-MAX(R9*H$39/1000000-H$41,0)*H$43+H$46)/(1+$B$16)^H$35+(I$38+R9*I$39/1000000-MAX(R9*I$39/1000000-I$41,0)*I$43+I$46)/(1+$B$16)^I$35+(J$38+R9*J$39/1000000-MAX(R9*J$39/1000000-J$41,0)*J$43+J$46)/(1+$B$16)^J$35+(K$38+R9*K$39/1000000-MAX(R9*K$39/1000000-K$41,0)*K$43+K$46)/(1+$B$16)^K$35+(L$38+R9*L$39/1000000-MAX(R9*L$39/1000000-L$41,0)*L$43+L$46)/(1+$B$16)^L$35+(M$38+R9*M$39/1000000-MAX(R9*M$39/1000000-M$41,0)*M$43+M$46)/(1+$B$16)^M$35+(N$38+R9*N$39/1000000-MAX(R9*N$39/1000000-N$41,0)*N$43+N$46)/(1+$B$16)^N$35+(O$38+R9*O$39/1000000-MAX(R9*O$39/1000000-O$41,0)*O$43+O$46)/(1+$B$16)^O$35+(P$38+R9*P$39/1000000-MAX(R9*P$39/1000000-P$41,0)*P$43+P$46)/(1+$B$16)^P$35+(Q$38+R9*Q$39/1000000-MAX(R9*Q$39/1000000-Q$41,0)*Q$43+Q$46)/(1+$B$16)^Q$35+(R$38+R9*R$39/1000000-MAX(R9*R$39/1000000-R$41,0)*R$43+R$46)/(1+$B$16)^R$35+(S$38+R9*S$39/1000000-MAX(R9*S$39/1000000-S$41,0)*S$43+S$46)/(1+$B$16)^S$35+(T$38+R9*T$39/1000000-MAX(R9*T$39/1000000-T$41,0)*T$43+T$46)/(1+$B$16)^T$35+(U$38+R9*U$39/1000000-MAX(R9*U$39/1000000-U$41,0)*U$43+U$46)/(1+$B$16)^U$35+(V$38+R9*V$39/1000000-MAX(R9*V$39/1000000-V$41,0)*V$43+V$46)/(1+$B$16)^V$35+(W$38+R9*W$39/1000000-MAX(R9*W$39/1000000-W$41,0)*W$43+W$46)/(1+$B$16)^W$35+(X$38+R9*X$39/1000000-MAX(R9*X$39/1000000-X$41,0)*X$43+X$46)/(1+$B$16)^X$35+(Y$38+R9*Y$39/1000000-MAX(R9*Y$39/1000000-Y$41,0)*Y$43+Y$46)/(1+$B$16)^Y$35+(Z$38+R9*Z$39/1000000-MAX(R9*Z$39/1000000-Z$41,0)*Z$43+Z$46)/(1+$B$16)^Z$35+(AA$38+R9*AA$39/1000000-MAX(R9*AA$39/1000000-AA$41,0)*AA$43+AA$46)/(1+$B$16)^AA$35</x:f>
        <x:v>509.4888559635789</x:v>
      </x:c>
      <x:c r="R9" s="485" t="n">
        <x:f>(O9+P9)/2</x:f>
        <x:v>1875</x:v>
      </x:c>
      <x:c r="S9" s="467"/>
      <x:c r="T9" s="467"/>
      <x:c r="U9" s="467"/>
      <x:c r="V9" s="467"/>
      <x:c r="W9" s="467"/>
      <x:c r="X9" s="467"/>
      <x:c r="Y9" s="467"/>
      <x:c r="Z9" s="467"/>
      <x:c r="AA9" s="467"/>
    </x:row>
    <x:row r="10">
      <x:c r="A10" s="528" t="str">
        <x:v>Năm bắt đầu xây dựng</x:v>
      </x:c>
      <x:c r="B10" s="533" t="n">
        <x:v>2025</x:v>
      </x:c>
      <x:c r="C10" s="530" t="str">
        <x:v>Chi phí nhân công thực tế</x:v>
      </x:c>
      <x:c r="D10" s="530" t="str">
        <x:v>Nhập 0 nếu dùng tỷ lệ knc</x:v>
      </x:c>
      <x:c r="E10" s="531" t="n">
        <x:v>0</x:v>
      </x:c>
      <x:c r="F10" s="532" t="str">
        <x:v>Tỷ VND/năm</x:v>
      </x:c>
      <x:c r="G10" s="467"/>
      <x:c r="H10" s="546" t="str">
        <x:v>Giá PPA tính theo dự án</x:v>
      </x:c>
      <x:c r="I10" s="547" t="n">
        <x:f>SUM(I6,I9)</x:f>
        <x:v>1941.726511653337</x:v>
      </x:c>
      <x:c r="J10" s="548" t="str">
        <x:v>PC = FC + FOMC_b</x:v>
      </x:c>
      <x:c r="K10" s="549" t="str">
        <x:v>VND/kWh</x:v>
      </x:c>
      <x:c r="L10" s="467"/>
      <x:c r="M10" s="467"/>
      <x:c r="N10" s="484" t="n">
        <x:v>4</x:v>
      </x:c>
      <x:c r="O10" s="485" t="n">
        <x:f>IF(Q9&lt;0,R9,O9)</x:f>
        <x:v>1250</x:v>
      </x:c>
      <x:c r="P10" s="485" t="n">
        <x:f>IF(Q9&gt;=0,R9,P9)</x:f>
        <x:v>1875</x:v>
      </x:c>
      <x:c r="Q10" s="485" t="n">
        <x:f>(C$38+R10*C$39/1000000-MAX(R10*C$39/1000000-C$41,0)*C$43+C$46)/(1+$B$16)^C$35+(D$38+R10*D$39/1000000-MAX(R10*D$39/1000000-D$41,0)*D$43+D$46)/(1+$B$16)^D$35+(E$38+R10*E$39/1000000-MAX(R10*E$39/1000000-E$41,0)*E$43+E$46)/(1+$B$16)^E$35+(F$38+R10*F$39/1000000-MAX(R10*F$39/1000000-F$41,0)*F$43+F$46)/(1+$B$16)^F$35+(G$38+R10*G$39/1000000-MAX(R10*G$39/1000000-G$41,0)*G$43+G$46)/(1+$B$16)^G$35+(H$38+R10*H$39/1000000-MAX(R10*H$39/1000000-H$41,0)*H$43+H$46)/(1+$B$16)^H$35+(I$38+R10*I$39/1000000-MAX(R10*I$39/1000000-I$41,0)*I$43+I$46)/(1+$B$16)^I$35+(J$38+R10*J$39/1000000-MAX(R10*J$39/1000000-J$41,0)*J$43+J$46)/(1+$B$16)^J$35+(K$38+R10*K$39/1000000-MAX(R10*K$39/1000000-K$41,0)*K$43+K$46)/(1+$B$16)^K$35+(L$38+R10*L$39/1000000-MAX(R10*L$39/1000000-L$41,0)*L$43+L$46)/(1+$B$16)^L$35+(M$38+R10*M$39/1000000-MAX(R10*M$39/1000000-M$41,0)*M$43+M$46)/(1+$B$16)^M$35+(N$38+R10*N$39/1000000-MAX(R10*N$39/1000000-N$41,0)*N$43+N$46)/(1+$B$16)^N$35+(O$38+R10*O$39/1000000-MAX(R10*O$39/1000000-O$41,0)*O$43+O$46)/(1+$B$16)^O$35+(P$38+R10*P$39/1000000-MAX(R10*P$39/1000000-P$41,0)*P$43+P$46)/(1+$B$16)^P$35+(Q$38+R10*Q$39/1000000-MAX(R10*Q$39/1000000-Q$41,0)*Q$43+Q$46)/(1+$B$16)^Q$35+(R$38+R10*R$39/1000000-MAX(R10*R$39/1000000-R$41,0)*R$43+R$46)/(1+$B$16)^R$35+(S$38+R10*S$39/1000000-MAX(R10*S$39/1000000-S$41,0)*S$43+S$46)/(1+$B$16)^S$35+(T$38+R10*T$39/1000000-MAX(R10*T$39/1000000-T$41,0)*T$43+T$46)/(1+$B$16)^T$35+(U$38+R10*U$39/1000000-MAX(R10*U$39/1000000-U$41,0)*U$43+U$46)/(1+$B$16)^U$35+(V$38+R10*V$39/1000000-MAX(R10*V$39/1000000-V$41,0)*V$43+V$46)/(1+$B$16)^V$35+(W$38+R10*W$39/1000000-MAX(R10*W$39/1000000-W$41,0)*W$43+W$46)/(1+$B$16)^W$35+(X$38+R10*X$39/1000000-MAX(R10*X$39/1000000-X$41,0)*X$43+X$46)/(1+$B$16)^X$35+(Y$38+R10*Y$39/1000000-MAX(R10*Y$39/1000000-Y$41,0)*Y$43+Y$46)/(1+$B$16)^Y$35+(Z$38+R10*Z$39/1000000-MAX(R10*Z$39/1000000-Z$41,0)*Z$43+Z$46)/(1+$B$16)^Z$35+(AA$38+R10*AA$39/1000000-MAX(R10*AA$39/1000000-AA$41,0)*AA$43+AA$46)/(1+$B$16)^AA$35</x:f>
        <x:v>-431.5342403877074</x:v>
      </x:c>
      <x:c r="R10" s="485" t="n">
        <x:f>(O10+P10)/2</x:f>
        <x:v>1562.5</x:v>
      </x:c>
      <x:c r="S10" s="467"/>
      <x:c r="T10" s="467"/>
      <x:c r="U10" s="467"/>
      <x:c r="V10" s="467"/>
      <x:c r="W10" s="467"/>
      <x:c r="X10" s="467"/>
      <x:c r="Y10" s="467"/>
      <x:c r="Z10" s="467"/>
      <x:c r="AA10" s="467"/>
    </x:row>
    <x:row r="11">
      <x:c r="A11" s="528" t="str">
        <x:v>Công suất lắp đặt</x:v>
      </x:c>
      <x:c r="B11" s="535" t="n">
        <x:v>180</x:v>
      </x:c>
      <x:c r="C11" s="530" t="str">
        <x:v>Tỷ lệ chi phí nhân công</x:v>
      </x:c>
      <x:c r="D11" s="530" t="str">
        <x:v>knc</x:v>
      </x:c>
      <x:c r="E11" s="534" t="n">
        <x:v>0.005</x:v>
      </x:c>
      <x:c r="F11" s="532" t="str">
        <x:v>%</x:v>
      </x:c>
      <x:c r="G11" s="467"/>
      <x:c r="H11" s="546" t="str">
        <x:v>Khung giá năm cơ sở</x:v>
      </x:c>
      <x:c r="I11" s="547" t="n">
        <x:f>$B$15</x:f>
        <x:v>1807.4</x:v>
      </x:c>
      <x:c r="J11" s="548" t="str">
        <x:v>P_trần</x:v>
      </x:c>
      <x:c r="K11" s="549" t="str">
        <x:v>VND/kWh</x:v>
      </x:c>
      <x:c r="L11" s="467"/>
      <x:c r="M11" s="467"/>
      <x:c r="N11" s="484" t="n">
        <x:v>5</x:v>
      </x:c>
      <x:c r="O11" s="485" t="n">
        <x:f>IF(Q10&lt;0,R10,O10)</x:f>
        <x:v>1562.5</x:v>
      </x:c>
      <x:c r="P11" s="485" t="n">
        <x:f>IF(Q10&gt;=0,R10,P10)</x:f>
        <x:v>1875</x:v>
      </x:c>
      <x:c r="Q11" s="485" t="n">
        <x:f>(C$38+R11*C$39/1000000-MAX(R11*C$39/1000000-C$41,0)*C$43+C$46)/(1+$B$16)^C$35+(D$38+R11*D$39/1000000-MAX(R11*D$39/1000000-D$41,0)*D$43+D$46)/(1+$B$16)^D$35+(E$38+R11*E$39/1000000-MAX(R11*E$39/1000000-E$41,0)*E$43+E$46)/(1+$B$16)^E$35+(F$38+R11*F$39/1000000-MAX(R11*F$39/1000000-F$41,0)*F$43+F$46)/(1+$B$16)^F$35+(G$38+R11*G$39/1000000-MAX(R11*G$39/1000000-G$41,0)*G$43+G$46)/(1+$B$16)^G$35+(H$38+R11*H$39/1000000-MAX(R11*H$39/1000000-H$41,0)*H$43+H$46)/(1+$B$16)^H$35+(I$38+R11*I$39/1000000-MAX(R11*I$39/1000000-I$41,0)*I$43+I$46)/(1+$B$16)^I$35+(J$38+R11*J$39/1000000-MAX(R11*J$39/1000000-J$41,0)*J$43+J$46)/(1+$B$16)^J$35+(K$38+R11*K$39/1000000-MAX(R11*K$39/1000000-K$41,0)*K$43+K$46)/(1+$B$16)^K$35+(L$38+R11*L$39/1000000-MAX(R11*L$39/1000000-L$41,0)*L$43+L$46)/(1+$B$16)^L$35+(M$38+R11*M$39/1000000-MAX(R11*M$39/1000000-M$41,0)*M$43+M$46)/(1+$B$16)^M$35+(N$38+R11*N$39/1000000-MAX(R11*N$39/1000000-N$41,0)*N$43+N$46)/(1+$B$16)^N$35+(O$38+R11*O$39/1000000-MAX(R11*O$39/1000000-O$41,0)*O$43+O$46)/(1+$B$16)^O$35+(P$38+R11*P$39/1000000-MAX(R11*P$39/1000000-P$41,0)*P$43+P$46)/(1+$B$16)^P$35+(Q$38+R11*Q$39/1000000-MAX(R11*Q$39/1000000-Q$41,0)*Q$43+Q$46)/(1+$B$16)^Q$35+(R$38+R11*R$39/1000000-MAX(R11*R$39/1000000-R$41,0)*R$43+R$46)/(1+$B$16)^R$35+(S$38+R11*S$39/1000000-MAX(R11*S$39/1000000-S$41,0)*S$43+S$46)/(1+$B$16)^S$35+(T$38+R11*T$39/1000000-MAX(R11*T$39/1000000-T$41,0)*T$43+T$46)/(1+$B$16)^T$35+(U$38+R11*U$39/1000000-MAX(R11*U$39/1000000-U$41,0)*U$43+U$46)/(1+$B$16)^U$35+(V$38+R11*V$39/1000000-MAX(R11*V$39/1000000-V$41,0)*V$43+V$46)/(1+$B$16)^V$35+(W$38+R11*W$39/1000000-MAX(R11*W$39/1000000-W$41,0)*W$43+W$46)/(1+$B$16)^W$35+(X$38+R11*X$39/1000000-MAX(R11*X$39/1000000-X$41,0)*X$43+X$46)/(1+$B$16)^X$35+(Y$38+R11*Y$39/1000000-MAX(R11*Y$39/1000000-Y$41,0)*Y$43+Y$46)/(1+$B$16)^Y$35+(Z$38+R11*Z$39/1000000-MAX(R11*Z$39/1000000-Z$41,0)*Z$43+Z$46)/(1+$B$16)^Z$35+(AA$38+R11*AA$39/1000000-MAX(R11*AA$39/1000000-AA$41,0)*AA$43+AA$46)/(1+$B$16)^AA$35</x:f>
        <x:v>38.97730778793556</x:v>
      </x:c>
      <x:c r="R11" s="485" t="n">
        <x:f>(O11+P11)/2</x:f>
        <x:v>1718.75</x:v>
      </x:c>
      <x:c r="S11" s="467"/>
      <x:c r="T11" s="467"/>
      <x:c r="U11" s="467"/>
      <x:c r="V11" s="467"/>
      <x:c r="W11" s="467"/>
      <x:c r="X11" s="467"/>
      <x:c r="Y11" s="467"/>
      <x:c r="Z11" s="467"/>
      <x:c r="AA11" s="467"/>
    </x:row>
    <x:row r="12">
      <x:c r="A12" s="528" t="str">
        <x:v>Đời sống kinh tế</x:v>
      </x:c>
      <x:c r="B12" s="535" t="n">
        <x:v>20</x:v>
      </x:c>
      <x:c r="C12" s="530" t="str">
        <x:v>Tỷ lệ O&amp;M dự án chuyển tiếp</x:v>
      </x:c>
      <x:c r="D12" s="530" t="str">
        <x:v>k</x:v>
      </x:c>
      <x:c r="E12" s="534" t="n">
        <x:v>0.02</x:v>
      </x:c>
      <x:c r="F12" s="532" t="str">
        <x:v>%</x:v>
      </x:c>
      <x:c r="G12" s="467"/>
      <x:c r="H12" s="546" t="str">
        <x:v>Giá dùng trong mô hình</x:v>
      </x:c>
      <x:c r="I12" s="547" t="n">
        <x:f>MIN(I10,I11)</x:f>
        <x:v>1807.4</x:v>
      </x:c>
      <x:c r="J12" s="548" t="str">
        <x:v>MIN(PC; P_trần)</x:v>
      </x:c>
      <x:c r="K12" s="549" t="str">
        <x:v>VND/kWh</x:v>
      </x:c>
      <x:c r="L12" s="467"/>
      <x:c r="M12" s="467"/>
      <x:c r="N12" s="484" t="n">
        <x:v>6</x:v>
      </x:c>
      <x:c r="O12" s="485" t="n">
        <x:f>IF(Q11&lt;0,R11,O11)</x:f>
        <x:v>1562.5</x:v>
      </x:c>
      <x:c r="P12" s="485" t="n">
        <x:f>IF(Q11&gt;=0,R11,P11)</x:f>
        <x:v>1718.75</x:v>
      </x:c>
      <x:c r="Q12" s="485" t="n">
        <x:f>(C$38+R12*C$39/1000000-MAX(R12*C$39/1000000-C$41,0)*C$43+C$46)/(1+$B$16)^C$35+(D$38+R12*D$39/1000000-MAX(R12*D$39/1000000-D$41,0)*D$43+D$46)/(1+$B$16)^D$35+(E$38+R12*E$39/1000000-MAX(R12*E$39/1000000-E$41,0)*E$43+E$46)/(1+$B$16)^E$35+(F$38+R12*F$39/1000000-MAX(R12*F$39/1000000-F$41,0)*F$43+F$46)/(1+$B$16)^F$35+(G$38+R12*G$39/1000000-MAX(R12*G$39/1000000-G$41,0)*G$43+G$46)/(1+$B$16)^G$35+(H$38+R12*H$39/1000000-MAX(R12*H$39/1000000-H$41,0)*H$43+H$46)/(1+$B$16)^H$35+(I$38+R12*I$39/1000000-MAX(R12*I$39/1000000-I$41,0)*I$43+I$46)/(1+$B$16)^I$35+(J$38+R12*J$39/1000000-MAX(R12*J$39/1000000-J$41,0)*J$43+J$46)/(1+$B$16)^J$35+(K$38+R12*K$39/1000000-MAX(R12*K$39/1000000-K$41,0)*K$43+K$46)/(1+$B$16)^K$35+(L$38+R12*L$39/1000000-MAX(R12*L$39/1000000-L$41,0)*L$43+L$46)/(1+$B$16)^L$35+(M$38+R12*M$39/1000000-MAX(R12*M$39/1000000-M$41,0)*M$43+M$46)/(1+$B$16)^M$35+(N$38+R12*N$39/1000000-MAX(R12*N$39/1000000-N$41,0)*N$43+N$46)/(1+$B$16)^N$35+(O$38+R12*O$39/1000000-MAX(R12*O$39/1000000-O$41,0)*O$43+O$46)/(1+$B$16)^O$35+(P$38+R12*P$39/1000000-MAX(R12*P$39/1000000-P$41,0)*P$43+P$46)/(1+$B$16)^P$35+(Q$38+R12*Q$39/1000000-MAX(R12*Q$39/1000000-Q$41,0)*Q$43+Q$46)/(1+$B$16)^Q$35+(R$38+R12*R$39/1000000-MAX(R12*R$39/1000000-R$41,0)*R$43+R$46)/(1+$B$16)^R$35+(S$38+R12*S$39/1000000-MAX(R12*S$39/1000000-S$41,0)*S$43+S$46)/(1+$B$16)^S$35+(T$38+R12*T$39/1000000-MAX(R12*T$39/1000000-T$41,0)*T$43+T$46)/(1+$B$16)^T$35+(U$38+R12*U$39/1000000-MAX(R12*U$39/1000000-U$41,0)*U$43+U$46)/(1+$B$16)^U$35+(V$38+R12*V$39/1000000-MAX(R12*V$39/1000000-V$41,0)*V$43+V$46)/(1+$B$16)^V$35+(W$38+R12*W$39/1000000-MAX(R12*W$39/1000000-W$41,0)*W$43+W$46)/(1+$B$16)^W$35+(X$38+R12*X$39/1000000-MAX(R12*X$39/1000000-X$41,0)*X$43+X$46)/(1+$B$16)^X$35+(Y$38+R12*Y$39/1000000-MAX(R12*Y$39/1000000-Y$41,0)*Y$43+Y$46)/(1+$B$16)^Y$35+(Z$38+R12*Z$39/1000000-MAX(R12*Z$39/1000000-Z$41,0)*Z$43+Z$46)/(1+$B$16)^Z$35+(AA$38+R12*AA$39/1000000-MAX(R12*AA$39/1000000-AA$41,0)*AA$43+AA$46)/(1+$B$16)^AA$35</x:f>
        <x:v>-196.27846629988647</x:v>
      </x:c>
      <x:c r="R12" s="485" t="n">
        <x:f>(O12+P12)/2</x:f>
        <x:v>1640.625</x:v>
      </x:c>
      <x:c r="S12" s="467"/>
      <x:c r="T12" s="467"/>
      <x:c r="U12" s="467"/>
      <x:c r="V12" s="467"/>
      <x:c r="W12" s="467"/>
      <x:c r="X12" s="467"/>
      <x:c r="Y12" s="467"/>
      <x:c r="Z12" s="467"/>
      <x:c r="AA12" s="467"/>
    </x:row>
    <x:row r="13">
      <x:c r="A13" s="528" t="str">
        <x:v>AEP P50 tại điểm giao nhận</x:v>
      </x:c>
      <x:c r="B13" s="535" t="n">
        <x:v>473040</x:v>
      </x:c>
      <x:c r="C13" s="530" t="str">
        <x:v>Thuế TNDN thông thường</x:v>
      </x:c>
      <x:c r="D13" s="530" t="str">
        <x:v>CIT standard</x:v>
      </x:c>
      <x:c r="E13" s="534" t="n">
        <x:v>0.2</x:v>
      </x:c>
      <x:c r="F13" s="532" t="str">
        <x:v>%</x:v>
      </x:c>
      <x:c r="G13" s="467"/>
      <x:c r="H13" s="546" t="str">
        <x:v>Phần vượt khung giá</x:v>
      </x:c>
      <x:c r="I13" s="547" t="n">
        <x:f>MAX(I10-I11,0)</x:f>
        <x:v>134.32651165333687</x:v>
      </x:c>
      <x:c r="J13" s="548" t="str">
        <x:v>PC - P_trần</x:v>
      </x:c>
      <x:c r="K13" s="549" t="str">
        <x:v>VND/kWh</x:v>
      </x:c>
      <x:c r="L13" s="467"/>
      <x:c r="M13" s="467"/>
      <x:c r="N13" s="484" t="n">
        <x:v>7</x:v>
      </x:c>
      <x:c r="O13" s="485" t="n">
        <x:f>IF(Q12&lt;0,R12,O12)</x:f>
        <x:v>1640.625</x:v>
      </x:c>
      <x:c r="P13" s="485" t="n">
        <x:f>IF(Q12&gt;=0,R12,P12)</x:f>
        <x:v>1718.75</x:v>
      </x:c>
      <x:c r="Q13" s="485" t="n">
        <x:f>(C$38+R13*C$39/1000000-MAX(R13*C$39/1000000-C$41,0)*C$43+C$46)/(1+$B$16)^C$35+(D$38+R13*D$39/1000000-MAX(R13*D$39/1000000-D$41,0)*D$43+D$46)/(1+$B$16)^D$35+(E$38+R13*E$39/1000000-MAX(R13*E$39/1000000-E$41,0)*E$43+E$46)/(1+$B$16)^E$35+(F$38+R13*F$39/1000000-MAX(R13*F$39/1000000-F$41,0)*F$43+F$46)/(1+$B$16)^F$35+(G$38+R13*G$39/1000000-MAX(R13*G$39/1000000-G$41,0)*G$43+G$46)/(1+$B$16)^G$35+(H$38+R13*H$39/1000000-MAX(R13*H$39/1000000-H$41,0)*H$43+H$46)/(1+$B$16)^H$35+(I$38+R13*I$39/1000000-MAX(R13*I$39/1000000-I$41,0)*I$43+I$46)/(1+$B$16)^I$35+(J$38+R13*J$39/1000000-MAX(R13*J$39/1000000-J$41,0)*J$43+J$46)/(1+$B$16)^J$35+(K$38+R13*K$39/1000000-MAX(R13*K$39/1000000-K$41,0)*K$43+K$46)/(1+$B$16)^K$35+(L$38+R13*L$39/1000000-MAX(R13*L$39/1000000-L$41,0)*L$43+L$46)/(1+$B$16)^L$35+(M$38+R13*M$39/1000000-MAX(R13*M$39/1000000-M$41,0)*M$43+M$46)/(1+$B$16)^M$35+(N$38+R13*N$39/1000000-MAX(R13*N$39/1000000-N$41,0)*N$43+N$46)/(1+$B$16)^N$35+(O$38+R13*O$39/1000000-MAX(R13*O$39/1000000-O$41,0)*O$43+O$46)/(1+$B$16)^O$35+(P$38+R13*P$39/1000000-MAX(R13*P$39/1000000-P$41,0)*P$43+P$46)/(1+$B$16)^P$35+(Q$38+R13*Q$39/1000000-MAX(R13*Q$39/1000000-Q$41,0)*Q$43+Q$46)/(1+$B$16)^Q$35+(R$38+R13*R$39/1000000-MAX(R13*R$39/1000000-R$41,0)*R$43+R$46)/(1+$B$16)^R$35+(S$38+R13*S$39/1000000-MAX(R13*S$39/1000000-S$41,0)*S$43+S$46)/(1+$B$16)^S$35+(T$38+R13*T$39/1000000-MAX(R13*T$39/1000000-T$41,0)*T$43+T$46)/(1+$B$16)^T$35+(U$38+R13*U$39/1000000-MAX(R13*U$39/1000000-U$41,0)*U$43+U$46)/(1+$B$16)^U$35+(V$38+R13*V$39/1000000-MAX(R13*V$39/1000000-V$41,0)*V$43+V$46)/(1+$B$16)^V$35+(W$38+R13*W$39/1000000-MAX(R13*W$39/1000000-W$41,0)*W$43+W$46)/(1+$B$16)^W$35+(X$38+R13*X$39/1000000-MAX(R13*X$39/1000000-X$41,0)*X$43+X$46)/(1+$B$16)^X$35+(Y$38+R13*Y$39/1000000-MAX(R13*Y$39/1000000-Y$41,0)*Y$43+Y$46)/(1+$B$16)^Y$35+(Z$38+R13*Z$39/1000000-MAX(R13*Z$39/1000000-Z$41,0)*Z$43+Z$46)/(1+$B$16)^Z$35+(AA$38+R13*AA$39/1000000-MAX(R13*AA$39/1000000-AA$41,0)*AA$43+AA$46)/(1+$B$16)^AA$35</x:f>
        <x:v>-78.65057925597505</x:v>
      </x:c>
      <x:c r="R13" s="485" t="n">
        <x:f>(O13+P13)/2</x:f>
        <x:v>1679.6875</x:v>
      </x:c>
      <x:c r="S13" s="467"/>
      <x:c r="T13" s="467"/>
      <x:c r="U13" s="467"/>
      <x:c r="V13" s="467"/>
      <x:c r="W13" s="467"/>
      <x:c r="X13" s="467"/>
      <x:c r="Y13" s="467"/>
      <x:c r="Z13" s="467"/>
      <x:c r="AA13" s="467"/>
    </x:row>
    <x:row r="14">
      <x:c r="A14" s="528" t="str">
        <x:v>Suy giảm AEP hằng năm</x:v>
      </x:c>
      <x:c r="B14" s="534" t="n">
        <x:v>0</x:v>
      </x:c>
      <x:c r="C14" s="530" t="str">
        <x:v>Thuế TNDN ưu đãi</x:v>
      </x:c>
      <x:c r="D14" s="530" t="str">
        <x:v>CIT incentive</x:v>
      </x:c>
      <x:c r="E14" s="534" t="n">
        <x:v>0.1</x:v>
      </x:c>
      <x:c r="F14" s="532" t="str">
        <x:v>%</x:v>
      </x:c>
      <x:c r="G14" s="467"/>
      <x:c r="H14" s="544" t="str">
        <x:v>Project IRR kiểm tra</x:v>
      </x:c>
      <x:c r="I14" s="550" t="n">
        <x:f>IRR(C47:AA47)</x:f>
        <x:v>0.11999995145992345</x:v>
      </x:c>
      <x:c r="J14" s="520" t="str">
        <x:v>IRR</x:v>
      </x:c>
      <x:c r="K14" s="532" t="str">
        <x:v>%</x:v>
      </x:c>
      <x:c r="L14" s="467"/>
      <x:c r="M14" s="467"/>
      <x:c r="N14" s="484" t="n">
        <x:v>8</x:v>
      </x:c>
      <x:c r="O14" s="485" t="n">
        <x:f>IF(Q13&lt;0,R13,O13)</x:f>
        <x:v>1679.6875</x:v>
      </x:c>
      <x:c r="P14" s="485" t="n">
        <x:f>IF(Q13&gt;=0,R13,P13)</x:f>
        <x:v>1718.75</x:v>
      </x:c>
      <x:c r="Q14" s="485" t="n">
        <x:f>(C$38+R14*C$39/1000000-MAX(R14*C$39/1000000-C$41,0)*C$43+C$46)/(1+$B$16)^C$35+(D$38+R14*D$39/1000000-MAX(R14*D$39/1000000-D$41,0)*D$43+D$46)/(1+$B$16)^D$35+(E$38+R14*E$39/1000000-MAX(R14*E$39/1000000-E$41,0)*E$43+E$46)/(1+$B$16)^E$35+(F$38+R14*F$39/1000000-MAX(R14*F$39/1000000-F$41,0)*F$43+F$46)/(1+$B$16)^F$35+(G$38+R14*G$39/1000000-MAX(R14*G$39/1000000-G$41,0)*G$43+G$46)/(1+$B$16)^G$35+(H$38+R14*H$39/1000000-MAX(R14*H$39/1000000-H$41,0)*H$43+H$46)/(1+$B$16)^H$35+(I$38+R14*I$39/1000000-MAX(R14*I$39/1000000-I$41,0)*I$43+I$46)/(1+$B$16)^I$35+(J$38+R14*J$39/1000000-MAX(R14*J$39/1000000-J$41,0)*J$43+J$46)/(1+$B$16)^J$35+(K$38+R14*K$39/1000000-MAX(R14*K$39/1000000-K$41,0)*K$43+K$46)/(1+$B$16)^K$35+(L$38+R14*L$39/1000000-MAX(R14*L$39/1000000-L$41,0)*L$43+L$46)/(1+$B$16)^L$35+(M$38+R14*M$39/1000000-MAX(R14*M$39/1000000-M$41,0)*M$43+M$46)/(1+$B$16)^M$35+(N$38+R14*N$39/1000000-MAX(R14*N$39/1000000-N$41,0)*N$43+N$46)/(1+$B$16)^N$35+(O$38+R14*O$39/1000000-MAX(R14*O$39/1000000-O$41,0)*O$43+O$46)/(1+$B$16)^O$35+(P$38+R14*P$39/1000000-MAX(R14*P$39/1000000-P$41,0)*P$43+P$46)/(1+$B$16)^P$35+(Q$38+R14*Q$39/1000000-MAX(R14*Q$39/1000000-Q$41,0)*Q$43+Q$46)/(1+$B$16)^Q$35+(R$38+R14*R$39/1000000-MAX(R14*R$39/1000000-R$41,0)*R$43+R$46)/(1+$B$16)^R$35+(S$38+R14*S$39/1000000-MAX(R14*S$39/1000000-S$41,0)*S$43+S$46)/(1+$B$16)^S$35+(T$38+R14*T$39/1000000-MAX(R14*T$39/1000000-T$41,0)*T$43+T$46)/(1+$B$16)^T$35+(U$38+R14*U$39/1000000-MAX(R14*U$39/1000000-U$41,0)*U$43+U$46)/(1+$B$16)^U$35+(V$38+R14*V$39/1000000-MAX(R14*V$39/1000000-V$41,0)*V$43+V$46)/(1+$B$16)^V$35+(W$38+R14*W$39/1000000-MAX(R14*W$39/1000000-W$41,0)*W$43+W$46)/(1+$B$16)^W$35+(X$38+R14*X$39/1000000-MAX(R14*X$39/1000000-X$41,0)*X$43+X$46)/(1+$B$16)^X$35+(Y$38+R14*Y$39/1000000-MAX(R14*Y$39/1000000-Y$41,0)*Y$43+Y$46)/(1+$B$16)^Y$35+(Z$38+R14*Z$39/1000000-MAX(R14*Z$39/1000000-Z$41,0)*Z$43+Z$46)/(1+$B$16)^Z$35+(AA$38+R14*AA$39/1000000-MAX(R14*AA$39/1000000-AA$41,0)*AA$43+AA$46)/(1+$B$16)^AA$35</x:f>
        <x:v>-19.83663573402042</x:v>
      </x:c>
      <x:c r="R14" s="485" t="n">
        <x:f>(O14+P14)/2</x:f>
        <x:v>1699.21875</x:v>
      </x:c>
      <x:c r="S14" s="467"/>
      <x:c r="T14" s="467"/>
      <x:c r="U14" s="467"/>
      <x:c r="V14" s="467"/>
      <x:c r="W14" s="467"/>
      <x:c r="X14" s="467"/>
      <x:c r="Y14" s="467"/>
      <x:c r="Z14" s="467"/>
      <x:c r="AA14" s="467"/>
    </x:row>
    <x:row r="15">
      <x:c r="A15" s="528" t="str">
        <x:v>Khung giá năm cơ sở</x:v>
      </x:c>
      <x:c r="B15" s="531" t="n">
        <x:v>1807.4</x:v>
      </x:c>
      <x:c r="C15" s="530" t="str">
        <x:v>Thời gian thuế suất ưu đãi</x:v>
      </x:c>
      <x:c r="D15" s="530" t="str">
        <x:v>Incentive period</x:v>
      </x:c>
      <x:c r="E15" s="533" t="n">
        <x:v>15</x:v>
      </x:c>
      <x:c r="F15" s="532" t="str">
        <x:v>Năm</x:v>
      </x:c>
      <x:c r="G15" s="467"/>
      <x:c r="H15" s="544" t="str">
        <x:v>IRR tối đa pháp lý</x:v>
      </x:c>
      <x:c r="I15" s="550" t="n">
        <x:f>$B$17</x:f>
        <x:v>0.12</x:v>
      </x:c>
      <x:c r="J15" s="520" t="str">
        <x:v>IRR_max</x:v>
      </x:c>
      <x:c r="K15" s="532" t="str">
        <x:v>%</x:v>
      </x:c>
      <x:c r="L15" s="467"/>
      <x:c r="M15" s="467"/>
      <x:c r="N15" s="484" t="n">
        <x:v>9</x:v>
      </x:c>
      <x:c r="O15" s="485" t="n">
        <x:f>IF(Q14&lt;0,R14,O14)</x:f>
        <x:v>1699.21875</x:v>
      </x:c>
      <x:c r="P15" s="485" t="n">
        <x:f>IF(Q14&gt;=0,R14,P14)</x:f>
        <x:v>1718.75</x:v>
      </x:c>
      <x:c r="Q15" s="485" t="n">
        <x:f>(C$38+R15*C$39/1000000-MAX(R15*C$39/1000000-C$41,0)*C$43+C$46)/(1+$B$16)^C$35+(D$38+R15*D$39/1000000-MAX(R15*D$39/1000000-D$41,0)*D$43+D$46)/(1+$B$16)^D$35+(E$38+R15*E$39/1000000-MAX(R15*E$39/1000000-E$41,0)*E$43+E$46)/(1+$B$16)^E$35+(F$38+R15*F$39/1000000-MAX(R15*F$39/1000000-F$41,0)*F$43+F$46)/(1+$B$16)^F$35+(G$38+R15*G$39/1000000-MAX(R15*G$39/1000000-G$41,0)*G$43+G$46)/(1+$B$16)^G$35+(H$38+R15*H$39/1000000-MAX(R15*H$39/1000000-H$41,0)*H$43+H$46)/(1+$B$16)^H$35+(I$38+R15*I$39/1000000-MAX(R15*I$39/1000000-I$41,0)*I$43+I$46)/(1+$B$16)^I$35+(J$38+R15*J$39/1000000-MAX(R15*J$39/1000000-J$41,0)*J$43+J$46)/(1+$B$16)^J$35+(K$38+R15*K$39/1000000-MAX(R15*K$39/1000000-K$41,0)*K$43+K$46)/(1+$B$16)^K$35+(L$38+R15*L$39/1000000-MAX(R15*L$39/1000000-L$41,0)*L$43+L$46)/(1+$B$16)^L$35+(M$38+R15*M$39/1000000-MAX(R15*M$39/1000000-M$41,0)*M$43+M$46)/(1+$B$16)^M$35+(N$38+R15*N$39/1000000-MAX(R15*N$39/1000000-N$41,0)*N$43+N$46)/(1+$B$16)^N$35+(O$38+R15*O$39/1000000-MAX(R15*O$39/1000000-O$41,0)*O$43+O$46)/(1+$B$16)^O$35+(P$38+R15*P$39/1000000-MAX(R15*P$39/1000000-P$41,0)*P$43+P$46)/(1+$B$16)^P$35+(Q$38+R15*Q$39/1000000-MAX(R15*Q$39/1000000-Q$41,0)*Q$43+Q$46)/(1+$B$16)^Q$35+(R$38+R15*R$39/1000000-MAX(R15*R$39/1000000-R$41,0)*R$43+R$46)/(1+$B$16)^R$35+(S$38+R15*S$39/1000000-MAX(R15*S$39/1000000-S$41,0)*S$43+S$46)/(1+$B$16)^S$35+(T$38+R15*T$39/1000000-MAX(R15*T$39/1000000-T$41,0)*T$43+T$46)/(1+$B$16)^T$35+(U$38+R15*U$39/1000000-MAX(R15*U$39/1000000-U$41,0)*U$43+U$46)/(1+$B$16)^U$35+(V$38+R15*V$39/1000000-MAX(R15*V$39/1000000-V$41,0)*V$43+V$46)/(1+$B$16)^V$35+(W$38+R15*W$39/1000000-MAX(R15*W$39/1000000-W$41,0)*W$43+W$46)/(1+$B$16)^W$35+(X$38+R15*X$39/1000000-MAX(R15*X$39/1000000-X$41,0)*X$43+X$46)/(1+$B$16)^X$35+(Y$38+R15*Y$39/1000000-MAX(R15*Y$39/1000000-Y$41,0)*Y$43+Y$46)/(1+$B$16)^Y$35+(Z$38+R15*Z$39/1000000-MAX(R15*Z$39/1000000-Z$41,0)*Z$43+Z$46)/(1+$B$16)^Z$35+(AA$38+R15*AA$39/1000000-MAX(R15*AA$39/1000000-AA$41,0)*AA$43+AA$46)/(1+$B$16)^AA$35</x:f>
        <x:v>9.570336026957392</x:v>
      </x:c>
      <x:c r="R15" s="485" t="n">
        <x:f>(O15+P15)/2</x:f>
        <x:v>1708.984375</x:v>
      </x:c>
      <x:c r="S15" s="467"/>
      <x:c r="T15" s="467"/>
      <x:c r="U15" s="467"/>
      <x:c r="V15" s="467"/>
      <x:c r="W15" s="467"/>
      <x:c r="X15" s="467"/>
      <x:c r="Y15" s="467"/>
      <x:c r="Z15" s="467"/>
      <x:c r="AA15" s="467"/>
    </x:row>
    <x:row r="16">
      <x:c r="A16" s="528" t="str">
        <x:v>IRR mục tiêu dùng tính FC</x:v>
      </x:c>
      <x:c r="B16" s="534" t="n">
        <x:v>0.12</x:v>
      </x:c>
      <x:c r="C16" s="530" t="str">
        <x:v>Thời gian miễn thuế</x:v>
      </x:c>
      <x:c r="D16" s="530" t="str">
        <x:v>Tax holiday</x:v>
      </x:c>
      <x:c r="E16" s="533" t="n">
        <x:v>4</x:v>
      </x:c>
      <x:c r="F16" s="532" t="str">
        <x:v>Năm</x:v>
      </x:c>
      <x:c r="G16" s="467"/>
      <x:c r="H16" s="544" t="str">
        <x:v>Kiểm tra IRR</x:v>
      </x:c>
      <x:c r="I16" s="551" t="str">
        <x:f>IF(I14&lt;=I15+0.000001,"OK","VƯỢT 12%")</x:f>
        <x:v>OK</x:v>
      </x:c>
      <x:c r="J16" s="520" t="str">
        <x:v>≤ 12%</x:v>
      </x:c>
      <x:c r="K16" s="532" t="str">
        <x:v>-</x:v>
      </x:c>
      <x:c r="L16" s="467"/>
      <x:c r="M16" s="467"/>
      <x:c r="N16" s="484" t="n">
        <x:v>10</x:v>
      </x:c>
      <x:c r="O16" s="485" t="n">
        <x:f>IF(Q15&lt;0,R15,O15)</x:f>
        <x:v>1699.21875</x:v>
      </x:c>
      <x:c r="P16" s="485" t="n">
        <x:f>IF(Q15&gt;=0,R15,P15)</x:f>
        <x:v>1708.984375</x:v>
      </x:c>
      <x:c r="Q16" s="485" t="n">
        <x:f>(C$38+R16*C$39/1000000-MAX(R16*C$39/1000000-C$41,0)*C$43+C$46)/(1+$B$16)^C$35+(D$38+R16*D$39/1000000-MAX(R16*D$39/1000000-D$41,0)*D$43+D$46)/(1+$B$16)^D$35+(E$38+R16*E$39/1000000-MAX(R16*E$39/1000000-E$41,0)*E$43+E$46)/(1+$B$16)^E$35+(F$38+R16*F$39/1000000-MAX(R16*F$39/1000000-F$41,0)*F$43+F$46)/(1+$B$16)^F$35+(G$38+R16*G$39/1000000-MAX(R16*G$39/1000000-G$41,0)*G$43+G$46)/(1+$B$16)^G$35+(H$38+R16*H$39/1000000-MAX(R16*H$39/1000000-H$41,0)*H$43+H$46)/(1+$B$16)^H$35+(I$38+R16*I$39/1000000-MAX(R16*I$39/1000000-I$41,0)*I$43+I$46)/(1+$B$16)^I$35+(J$38+R16*J$39/1000000-MAX(R16*J$39/1000000-J$41,0)*J$43+J$46)/(1+$B$16)^J$35+(K$38+R16*K$39/1000000-MAX(R16*K$39/1000000-K$41,0)*K$43+K$46)/(1+$B$16)^K$35+(L$38+R16*L$39/1000000-MAX(R16*L$39/1000000-L$41,0)*L$43+L$46)/(1+$B$16)^L$35+(M$38+R16*M$39/1000000-MAX(R16*M$39/1000000-M$41,0)*M$43+M$46)/(1+$B$16)^M$35+(N$38+R16*N$39/1000000-MAX(R16*N$39/1000000-N$41,0)*N$43+N$46)/(1+$B$16)^N$35+(O$38+R16*O$39/1000000-MAX(R16*O$39/1000000-O$41,0)*O$43+O$46)/(1+$B$16)^O$35+(P$38+R16*P$39/1000000-MAX(R16*P$39/1000000-P$41,0)*P$43+P$46)/(1+$B$16)^P$35+(Q$38+R16*Q$39/1000000-MAX(R16*Q$39/1000000-Q$41,0)*Q$43+Q$46)/(1+$B$16)^Q$35+(R$38+R16*R$39/1000000-MAX(R16*R$39/1000000-R$41,0)*R$43+R$46)/(1+$B$16)^R$35+(S$38+R16*S$39/1000000-MAX(R16*S$39/1000000-S$41,0)*S$43+S$46)/(1+$B$16)^S$35+(T$38+R16*T$39/1000000-MAX(R16*T$39/1000000-T$41,0)*T$43+T$46)/(1+$B$16)^T$35+(U$38+R16*U$39/1000000-MAX(R16*U$39/1000000-U$41,0)*U$43+U$46)/(1+$B$16)^U$35+(V$38+R16*V$39/1000000-MAX(R16*V$39/1000000-V$41,0)*V$43+V$46)/(1+$B$16)^V$35+(W$38+R16*W$39/1000000-MAX(R16*W$39/1000000-W$41,0)*W$43+W$46)/(1+$B$16)^W$35+(X$38+R16*X$39/1000000-MAX(R16*X$39/1000000-X$41,0)*X$43+X$46)/(1+$B$16)^X$35+(Y$38+R16*Y$39/1000000-MAX(R16*Y$39/1000000-Y$41,0)*Y$43+Y$46)/(1+$B$16)^Y$35+(Z$38+R16*Z$39/1000000-MAX(R16*Z$39/1000000-Z$41,0)*Z$43+Z$46)/(1+$B$16)^Z$35+(AA$38+R16*AA$39/1000000-MAX(R16*AA$39/1000000-AA$41,0)*AA$43+AA$46)/(1+$B$16)^AA$35</x:f>
        <x:v>-5.1331498535319895</x:v>
      </x:c>
      <x:c r="R16" s="485" t="n">
        <x:f>(O16+P16)/2</x:f>
        <x:v>1704.1015625</x:v>
      </x:c>
      <x:c r="S16" s="467"/>
      <x:c r="T16" s="467"/>
      <x:c r="U16" s="467"/>
      <x:c r="V16" s="467"/>
      <x:c r="W16" s="467"/>
      <x:c r="X16" s="467"/>
      <x:c r="Y16" s="467"/>
      <x:c r="Z16" s="467"/>
      <x:c r="AA16" s="467"/>
    </x:row>
    <x:row r="17">
      <x:c r="A17" s="528" t="str">
        <x:v>IRR tối đa theo quy định</x:v>
      </x:c>
      <x:c r="B17" s="534" t="n">
        <x:v>0.12</x:v>
      </x:c>
      <x:c r="C17" s="530" t="str">
        <x:v>Thời gian giảm 50% thuế</x:v>
      </x:c>
      <x:c r="D17" s="530" t="str">
        <x:v>Tax reduction</x:v>
      </x:c>
      <x:c r="E17" s="533" t="n">
        <x:v>9</x:v>
      </x:c>
      <x:c r="F17" s="532" t="str">
        <x:v>Năm</x:v>
      </x:c>
      <x:c r="G17" s="467"/>
      <x:c r="H17" s="544" t="str">
        <x:v>Kiểm tra khung giá</x:v>
      </x:c>
      <x:c r="I17" s="551" t="str">
        <x:f>IF(I10&lt;=I11+0.01,"OK","VƯỢT KHUNG")</x:f>
        <x:v>VƯỢT KHUNG</x:v>
      </x:c>
      <x:c r="J17" s="520" t="str">
        <x:v>PC ≤ P_trần</x:v>
      </x:c>
      <x:c r="K17" s="532" t="str">
        <x:v>-</x:v>
      </x:c>
      <x:c r="L17" s="467"/>
      <x:c r="M17" s="467"/>
      <x:c r="N17" s="484" t="n">
        <x:v>11</x:v>
      </x:c>
      <x:c r="O17" s="485" t="n">
        <x:f>IF(Q16&lt;0,R16,O16)</x:f>
        <x:v>1704.1015625</x:v>
      </x:c>
      <x:c r="P17" s="485" t="n">
        <x:f>IF(Q16&gt;=0,R16,P16)</x:f>
        <x:v>1708.984375</x:v>
      </x:c>
      <x:c r="Q17" s="485" t="n">
        <x:f>(C$38+R17*C$39/1000000-MAX(R17*C$39/1000000-C$41,0)*C$43+C$46)/(1+$B$16)^C$35+(D$38+R17*D$39/1000000-MAX(R17*D$39/1000000-D$41,0)*D$43+D$46)/(1+$B$16)^D$35+(E$38+R17*E$39/1000000-MAX(R17*E$39/1000000-E$41,0)*E$43+E$46)/(1+$B$16)^E$35+(F$38+R17*F$39/1000000-MAX(R17*F$39/1000000-F$41,0)*F$43+F$46)/(1+$B$16)^F$35+(G$38+R17*G$39/1000000-MAX(R17*G$39/1000000-G$41,0)*G$43+G$46)/(1+$B$16)^G$35+(H$38+R17*H$39/1000000-MAX(R17*H$39/1000000-H$41,0)*H$43+H$46)/(1+$B$16)^H$35+(I$38+R17*I$39/1000000-MAX(R17*I$39/1000000-I$41,0)*I$43+I$46)/(1+$B$16)^I$35+(J$38+R17*J$39/1000000-MAX(R17*J$39/1000000-J$41,0)*J$43+J$46)/(1+$B$16)^J$35+(K$38+R17*K$39/1000000-MAX(R17*K$39/1000000-K$41,0)*K$43+K$46)/(1+$B$16)^K$35+(L$38+R17*L$39/1000000-MAX(R17*L$39/1000000-L$41,0)*L$43+L$46)/(1+$B$16)^L$35+(M$38+R17*M$39/1000000-MAX(R17*M$39/1000000-M$41,0)*M$43+M$46)/(1+$B$16)^M$35+(N$38+R17*N$39/1000000-MAX(R17*N$39/1000000-N$41,0)*N$43+N$46)/(1+$B$16)^N$35+(O$38+R17*O$39/1000000-MAX(R17*O$39/1000000-O$41,0)*O$43+O$46)/(1+$B$16)^O$35+(P$38+R17*P$39/1000000-MAX(R17*P$39/1000000-P$41,0)*P$43+P$46)/(1+$B$16)^P$35+(Q$38+R17*Q$39/1000000-MAX(R17*Q$39/1000000-Q$41,0)*Q$43+Q$46)/(1+$B$16)^Q$35+(R$38+R17*R$39/1000000-MAX(R17*R$39/1000000-R$41,0)*R$43+R$46)/(1+$B$16)^R$35+(S$38+R17*S$39/1000000-MAX(R17*S$39/1000000-S$41,0)*S$43+S$46)/(1+$B$16)^S$35+(T$38+R17*T$39/1000000-MAX(R17*T$39/1000000-T$41,0)*T$43+T$46)/(1+$B$16)^T$35+(U$38+R17*U$39/1000000-MAX(R17*U$39/1000000-U$41,0)*U$43+U$46)/(1+$B$16)^U$35+(V$38+R17*V$39/1000000-MAX(R17*V$39/1000000-V$41,0)*V$43+V$46)/(1+$B$16)^V$35+(W$38+R17*W$39/1000000-MAX(R17*W$39/1000000-W$41,0)*W$43+W$46)/(1+$B$16)^W$35+(X$38+R17*X$39/1000000-MAX(R17*X$39/1000000-X$41,0)*X$43+X$46)/(1+$B$16)^X$35+(Y$38+R17*Y$39/1000000-MAX(R17*Y$39/1000000-Y$41,0)*Y$43+Y$46)/(1+$B$16)^Y$35+(Z$38+R17*Z$39/1000000-MAX(R17*Z$39/1000000-Z$41,0)*Z$43+Z$46)/(1+$B$16)^Z$35+(AA$38+R17*AA$39/1000000-MAX(R17*AA$39/1000000-AA$41,0)*AA$43+AA$46)/(1+$B$16)^AA$35</x:f>
        <x:v>2.2185930867137813</x:v>
      </x:c>
      <x:c r="R17" s="485" t="n">
        <x:f>(O17+P17)/2</x:f>
        <x:v>1706.54296875</x:v>
      </x:c>
      <x:c r="S17" s="467"/>
      <x:c r="T17" s="467"/>
      <x:c r="U17" s="467"/>
      <x:c r="V17" s="467"/>
      <x:c r="W17" s="467"/>
      <x:c r="X17" s="467"/>
      <x:c r="Y17" s="467"/>
      <x:c r="Z17" s="467"/>
      <x:c r="AA17" s="467"/>
    </x:row>
    <x:row r="18">
      <x:c r="A18" s="528" t="str">
        <x:v>Giá trị thu hồi cuối dự án</x:v>
      </x:c>
      <x:c r="B18" s="531" t="n">
        <x:v>0</x:v>
      </x:c>
      <x:c r="C18" s="530" t="str">
        <x:v>Thời gian khấu hao</x:v>
      </x:c>
      <x:c r="D18" s="530" t="str">
        <x:v>Depreciation life</x:v>
      </x:c>
      <x:c r="E18" s="533" t="n">
        <x:v>20</x:v>
      </x:c>
      <x:c r="F18" s="532" t="str">
        <x:v>Năm</x:v>
      </x:c>
      <x:c r="G18" s="467"/>
      <x:c r="H18" s="552" t="str">
        <x:v>Kết luận</x:v>
      </x:c>
      <x:c r="I18" s="553" t="str">
        <x:f>IF(AND(I16="OK",I17="OK"),"ĐỦ ĐIỀU KIỆN SƠ BỘ","CẦN ĐÀM PHÁN/HIỆU CHỈNH")</x:f>
        <x:v>CẦN ĐÀM PHÁN/HIỆU CHỈNH</x:v>
      </x:c>
      <x:c r="J18" s="554" t="str">
        <x:v>Trạng thái</x:v>
      </x:c>
      <x:c r="K18" s="555" t="str">
        <x:v>-</x:v>
      </x:c>
      <x:c r="L18" s="467"/>
      <x:c r="M18" s="467"/>
      <x:c r="N18" s="484" t="n">
        <x:v>12</x:v>
      </x:c>
      <x:c r="O18" s="485" t="n">
        <x:f>IF(Q17&lt;0,R17,O17)</x:f>
        <x:v>1704.1015625</x:v>
      </x:c>
      <x:c r="P18" s="485" t="n">
        <x:f>IF(Q17&gt;=0,R17,P17)</x:f>
        <x:v>1706.54296875</x:v>
      </x:c>
      <x:c r="Q18" s="485" t="n">
        <x:f>(C$38+R18*C$39/1000000-MAX(R18*C$39/1000000-C$41,0)*C$43+C$46)/(1+$B$16)^C$35+(D$38+R18*D$39/1000000-MAX(R18*D$39/1000000-D$41,0)*D$43+D$46)/(1+$B$16)^D$35+(E$38+R18*E$39/1000000-MAX(R18*E$39/1000000-E$41,0)*E$43+E$46)/(1+$B$16)^E$35+(F$38+R18*F$39/1000000-MAX(R18*F$39/1000000-F$41,0)*F$43+F$46)/(1+$B$16)^F$35+(G$38+R18*G$39/1000000-MAX(R18*G$39/1000000-G$41,0)*G$43+G$46)/(1+$B$16)^G$35+(H$38+R18*H$39/1000000-MAX(R18*H$39/1000000-H$41,0)*H$43+H$46)/(1+$B$16)^H$35+(I$38+R18*I$39/1000000-MAX(R18*I$39/1000000-I$41,0)*I$43+I$46)/(1+$B$16)^I$35+(J$38+R18*J$39/1000000-MAX(R18*J$39/1000000-J$41,0)*J$43+J$46)/(1+$B$16)^J$35+(K$38+R18*K$39/1000000-MAX(R18*K$39/1000000-K$41,0)*K$43+K$46)/(1+$B$16)^K$35+(L$38+R18*L$39/1000000-MAX(R18*L$39/1000000-L$41,0)*L$43+L$46)/(1+$B$16)^L$35+(M$38+R18*M$39/1000000-MAX(R18*M$39/1000000-M$41,0)*M$43+M$46)/(1+$B$16)^M$35+(N$38+R18*N$39/1000000-MAX(R18*N$39/1000000-N$41,0)*N$43+N$46)/(1+$B$16)^N$35+(O$38+R18*O$39/1000000-MAX(R18*O$39/1000000-O$41,0)*O$43+O$46)/(1+$B$16)^O$35+(P$38+R18*P$39/1000000-MAX(R18*P$39/1000000-P$41,0)*P$43+P$46)/(1+$B$16)^P$35+(Q$38+R18*Q$39/1000000-MAX(R18*Q$39/1000000-Q$41,0)*Q$43+Q$46)/(1+$B$16)^Q$35+(R$38+R18*R$39/1000000-MAX(R18*R$39/1000000-R$41,0)*R$43+R$46)/(1+$B$16)^R$35+(S$38+R18*S$39/1000000-MAX(R18*S$39/1000000-S$41,0)*S$43+S$46)/(1+$B$16)^S$35+(T$38+R18*T$39/1000000-MAX(R18*T$39/1000000-T$41,0)*T$43+T$46)/(1+$B$16)^T$35+(U$38+R18*U$39/1000000-MAX(R18*U$39/1000000-U$41,0)*U$43+U$46)/(1+$B$16)^U$35+(V$38+R18*V$39/1000000-MAX(R18*V$39/1000000-V$41,0)*V$43+V$46)/(1+$B$16)^V$35+(W$38+R18*W$39/1000000-MAX(R18*W$39/1000000-W$41,0)*W$43+W$46)/(1+$B$16)^W$35+(X$38+R18*X$39/1000000-MAX(R18*X$39/1000000-X$41,0)*X$43+X$46)/(1+$B$16)^X$35+(Y$38+R18*Y$39/1000000-MAX(R18*Y$39/1000000-Y$41,0)*Y$43+Y$46)/(1+$B$16)^Y$35+(Z$38+R18*Z$39/1000000-MAX(R18*Z$39/1000000-Z$41,0)*Z$43+Z$46)/(1+$B$16)^Z$35+(AA$38+R18*AA$39/1000000-MAX(R18*AA$39/1000000-AA$41,0)*AA$43+AA$46)/(1+$B$16)^AA$35</x:f>
        <x:v>-1.457278383409573</x:v>
      </x:c>
      <x:c r="R18" s="485" t="n">
        <x:f>(O18+P18)/2</x:f>
        <x:v>1705.322265625</x:v>
      </x:c>
      <x:c r="S18" s="467"/>
      <x:c r="T18" s="467"/>
      <x:c r="U18" s="467"/>
      <x:c r="V18" s="467"/>
      <x:c r="W18" s="467"/>
      <x:c r="X18" s="467"/>
      <x:c r="Y18" s="467"/>
      <x:c r="Z18" s="467"/>
      <x:c r="AA18" s="467"/>
    </x:row>
    <x:row r="19">
      <x:c r="A19" s="536" t="str"/>
      <x:c r="B19" s="537" t="str"/>
      <x:c r="C19" s="538" t="str">
        <x:v>Thời gian xây dựng</x:v>
      </x:c>
      <x:c r="D19" s="538" t="str">
        <x:v>Construction period</x:v>
      </x:c>
      <x:c r="E19" s="539" t="n">
        <x:v>2</x:v>
      </x:c>
      <x:c r="F19" s="540" t="str">
        <x:v>Năm</x:v>
      </x:c>
      <x:c r="G19" s="467"/>
      <x:c r="H19" s="467"/>
      <x:c r="I19" s="467"/>
      <x:c r="J19" s="467"/>
      <x:c r="K19" s="467"/>
      <x:c r="L19" s="467"/>
      <x:c r="M19" s="467"/>
      <x:c r="N19" s="484" t="n">
        <x:v>13</x:v>
      </x:c>
      <x:c r="O19" s="485" t="n">
        <x:f>IF(Q18&lt;0,R18,O18)</x:f>
        <x:v>1705.322265625</x:v>
      </x:c>
      <x:c r="P19" s="485" t="n">
        <x:f>IF(Q18&gt;=0,R18,P18)</x:f>
        <x:v>1706.54296875</x:v>
      </x:c>
      <x:c r="Q19" s="485" t="n">
        <x:f>(C$38+R19*C$39/1000000-MAX(R19*C$39/1000000-C$41,0)*C$43+C$46)/(1+$B$16)^C$35+(D$38+R19*D$39/1000000-MAX(R19*D$39/1000000-D$41,0)*D$43+D$46)/(1+$B$16)^D$35+(E$38+R19*E$39/1000000-MAX(R19*E$39/1000000-E$41,0)*E$43+E$46)/(1+$B$16)^E$35+(F$38+R19*F$39/1000000-MAX(R19*F$39/1000000-F$41,0)*F$43+F$46)/(1+$B$16)^F$35+(G$38+R19*G$39/1000000-MAX(R19*G$39/1000000-G$41,0)*G$43+G$46)/(1+$B$16)^G$35+(H$38+R19*H$39/1000000-MAX(R19*H$39/1000000-H$41,0)*H$43+H$46)/(1+$B$16)^H$35+(I$38+R19*I$39/1000000-MAX(R19*I$39/1000000-I$41,0)*I$43+I$46)/(1+$B$16)^I$35+(J$38+R19*J$39/1000000-MAX(R19*J$39/1000000-J$41,0)*J$43+J$46)/(1+$B$16)^J$35+(K$38+R19*K$39/1000000-MAX(R19*K$39/1000000-K$41,0)*K$43+K$46)/(1+$B$16)^K$35+(L$38+R19*L$39/1000000-MAX(R19*L$39/1000000-L$41,0)*L$43+L$46)/(1+$B$16)^L$35+(M$38+R19*M$39/1000000-MAX(R19*M$39/1000000-M$41,0)*M$43+M$46)/(1+$B$16)^M$35+(N$38+R19*N$39/1000000-MAX(R19*N$39/1000000-N$41,0)*N$43+N$46)/(1+$B$16)^N$35+(O$38+R19*O$39/1000000-MAX(R19*O$39/1000000-O$41,0)*O$43+O$46)/(1+$B$16)^O$35+(P$38+R19*P$39/1000000-MAX(R19*P$39/1000000-P$41,0)*P$43+P$46)/(1+$B$16)^P$35+(Q$38+R19*Q$39/1000000-MAX(R19*Q$39/1000000-Q$41,0)*Q$43+Q$46)/(1+$B$16)^Q$35+(R$38+R19*R$39/1000000-MAX(R19*R$39/1000000-R$41,0)*R$43+R$46)/(1+$B$16)^R$35+(S$38+R19*S$39/1000000-MAX(R19*S$39/1000000-S$41,0)*S$43+S$46)/(1+$B$16)^S$35+(T$38+R19*T$39/1000000-MAX(R19*T$39/1000000-T$41,0)*T$43+T$46)/(1+$B$16)^T$35+(U$38+R19*U$39/1000000-MAX(R19*U$39/1000000-U$41,0)*U$43+U$46)/(1+$B$16)^U$35+(V$38+R19*V$39/1000000-MAX(R19*V$39/1000000-V$41,0)*V$43+V$46)/(1+$B$16)^V$35+(W$38+R19*W$39/1000000-MAX(R19*W$39/1000000-W$41,0)*W$43+W$46)/(1+$B$16)^W$35+(X$38+R19*X$39/1000000-MAX(R19*X$39/1000000-X$41,0)*X$43+X$46)/(1+$B$16)^X$35+(Y$38+R19*Y$39/1000000-MAX(R19*Y$39/1000000-Y$41,0)*Y$43+Y$46)/(1+$B$16)^Y$35+(Z$38+R19*Z$39/1000000-MAX(R19*Z$39/1000000-Z$41,0)*Z$43+Z$46)/(1+$B$16)^Z$35+(AA$38+R19*AA$39/1000000-MAX(R19*AA$39/1000000-AA$41,0)*AA$43+AA$46)/(1+$B$16)^AA$35</x:f>
        <x:v>0.38065735165289993</x:v>
      </x:c>
      <x:c r="R19" s="485" t="n">
        <x:f>(O19+P19)/2</x:f>
        <x:v>1705.9326171875</x:v>
      </x:c>
      <x:c r="S19" s="467"/>
      <x:c r="T19" s="467"/>
      <x:c r="U19" s="467"/>
      <x:c r="V19" s="467"/>
      <x:c r="W19" s="467"/>
      <x:c r="X19" s="467"/>
      <x:c r="Y19" s="467"/>
      <x:c r="Z19" s="467"/>
      <x:c r="AA19" s="467"/>
    </x:row>
    <x:row r="20">
      <x:c r="A20" s="467"/>
      <x:c r="B20" s="467"/>
      <x:c r="C20" s="467"/>
      <x:c r="D20" s="467"/>
      <x:c r="E20" s="467"/>
      <x:c r="F20" s="467"/>
      <x:c r="G20" s="467"/>
      <x:c r="H20" s="467"/>
      <x:c r="I20" s="467"/>
      <x:c r="J20" s="467"/>
      <x:c r="K20" s="467"/>
      <x:c r="L20" s="467"/>
      <x:c r="M20" s="467"/>
      <x:c r="N20" s="484" t="n">
        <x:v>14</x:v>
      </x:c>
      <x:c r="O20" s="485" t="n">
        <x:f>IF(Q19&lt;0,R19,O19)</x:f>
        <x:v>1705.322265625</x:v>
      </x:c>
      <x:c r="P20" s="485" t="n">
        <x:f>IF(Q19&gt;=0,R19,P19)</x:f>
        <x:v>1705.9326171875</x:v>
      </x:c>
      <x:c r="Q20" s="485" t="n">
        <x:f>(C$38+R20*C$39/1000000-MAX(R20*C$39/1000000-C$41,0)*C$43+C$46)/(1+$B$16)^C$35+(D$38+R20*D$39/1000000-MAX(R20*D$39/1000000-D$41,0)*D$43+D$46)/(1+$B$16)^D$35+(E$38+R20*E$39/1000000-MAX(R20*E$39/1000000-E$41,0)*E$43+E$46)/(1+$B$16)^E$35+(F$38+R20*F$39/1000000-MAX(R20*F$39/1000000-F$41,0)*F$43+F$46)/(1+$B$16)^F$35+(G$38+R20*G$39/1000000-MAX(R20*G$39/1000000-G$41,0)*G$43+G$46)/(1+$B$16)^G$35+(H$38+R20*H$39/1000000-MAX(R20*H$39/1000000-H$41,0)*H$43+H$46)/(1+$B$16)^H$35+(I$38+R20*I$39/1000000-MAX(R20*I$39/1000000-I$41,0)*I$43+I$46)/(1+$B$16)^I$35+(J$38+R20*J$39/1000000-MAX(R20*J$39/1000000-J$41,0)*J$43+J$46)/(1+$B$16)^J$35+(K$38+R20*K$39/1000000-MAX(R20*K$39/1000000-K$41,0)*K$43+K$46)/(1+$B$16)^K$35+(L$38+R20*L$39/1000000-MAX(R20*L$39/1000000-L$41,0)*L$43+L$46)/(1+$B$16)^L$35+(M$38+R20*M$39/1000000-MAX(R20*M$39/1000000-M$41,0)*M$43+M$46)/(1+$B$16)^M$35+(N$38+R20*N$39/1000000-MAX(R20*N$39/1000000-N$41,0)*N$43+N$46)/(1+$B$16)^N$35+(O$38+R20*O$39/1000000-MAX(R20*O$39/1000000-O$41,0)*O$43+O$46)/(1+$B$16)^O$35+(P$38+R20*P$39/1000000-MAX(R20*P$39/1000000-P$41,0)*P$43+P$46)/(1+$B$16)^P$35+(Q$38+R20*Q$39/1000000-MAX(R20*Q$39/1000000-Q$41,0)*Q$43+Q$46)/(1+$B$16)^Q$35+(R$38+R20*R$39/1000000-MAX(R20*R$39/1000000-R$41,0)*R$43+R$46)/(1+$B$16)^R$35+(S$38+R20*S$39/1000000-MAX(R20*S$39/1000000-S$41,0)*S$43+S$46)/(1+$B$16)^S$35+(T$38+R20*T$39/1000000-MAX(R20*T$39/1000000-T$41,0)*T$43+T$46)/(1+$B$16)^T$35+(U$38+R20*U$39/1000000-MAX(R20*U$39/1000000-U$41,0)*U$43+U$46)/(1+$B$16)^U$35+(V$38+R20*V$39/1000000-MAX(R20*V$39/1000000-V$41,0)*V$43+V$46)/(1+$B$16)^V$35+(W$38+R20*W$39/1000000-MAX(R20*W$39/1000000-W$41,0)*W$43+W$46)/(1+$B$16)^W$35+(X$38+R20*X$39/1000000-MAX(R20*X$39/1000000-X$41,0)*X$43+X$46)/(1+$B$16)^X$35+(Y$38+R20*Y$39/1000000-MAX(R20*Y$39/1000000-Y$41,0)*Y$43+Y$46)/(1+$B$16)^Y$35+(Z$38+R20*Z$39/1000000-MAX(R20*Z$39/1000000-Z$41,0)*Z$43+Z$46)/(1+$B$16)^Z$35+(AA$38+R20*AA$39/1000000-MAX(R20*AA$39/1000000-AA$41,0)*AA$43+AA$46)/(1+$B$16)^AA$35</x:f>
        <x:v>-0.5383105158778676</x:v>
      </x:c>
      <x:c r="R20" s="485" t="n">
        <x:f>(O20+P20)/2</x:f>
        <x:v>1705.62744140625</x:v>
      </x:c>
      <x:c r="S20" s="467"/>
      <x:c r="T20" s="467"/>
      <x:c r="U20" s="467"/>
      <x:c r="V20" s="467"/>
      <x:c r="W20" s="467"/>
      <x:c r="X20" s="467"/>
      <x:c r="Y20" s="467"/>
      <x:c r="Z20" s="467"/>
      <x:c r="AA20" s="467"/>
    </x:row>
    <x:row r="21">
      <x:c r="A21" s="405" t="str">
        <x:v>3. TIẾN ĐỘ GIẢI NGÂN VỐN ĐẦU TƯ</x:v>
      </x:c>
      <x:c r="B21" s="405"/>
      <x:c r="C21" s="405"/>
      <x:c r="D21" s="405"/>
      <x:c r="E21" s="405"/>
      <x:c r="F21" s="405"/>
      <x:c r="G21" s="467"/>
      <x:c r="H21" s="405" t="str">
        <x:v>KHUNG GIÁ ĐIỆN GIÓ NĂM 2025 – THAM CHIẾU</x:v>
      </x:c>
      <x:c r="I21" s="405"/>
      <x:c r="J21" s="405"/>
      <x:c r="K21" s="405"/>
      <x:c r="L21" s="467"/>
      <x:c r="M21" s="467"/>
      <x:c r="N21" s="484" t="n">
        <x:v>15</x:v>
      </x:c>
      <x:c r="O21" s="485" t="n">
        <x:f>IF(Q20&lt;0,R20,O20)</x:f>
        <x:v>1705.62744140625</x:v>
      </x:c>
      <x:c r="P21" s="485" t="n">
        <x:f>IF(Q20&gt;=0,R20,P20)</x:f>
        <x:v>1705.9326171875</x:v>
      </x:c>
      <x:c r="Q21" s="485" t="n">
        <x:f>(C$38+R21*C$39/1000000-MAX(R21*C$39/1000000-C$41,0)*C$43+C$46)/(1+$B$16)^C$35+(D$38+R21*D$39/1000000-MAX(R21*D$39/1000000-D$41,0)*D$43+D$46)/(1+$B$16)^D$35+(E$38+R21*E$39/1000000-MAX(R21*E$39/1000000-E$41,0)*E$43+E$46)/(1+$B$16)^E$35+(F$38+R21*F$39/1000000-MAX(R21*F$39/1000000-F$41,0)*F$43+F$46)/(1+$B$16)^F$35+(G$38+R21*G$39/1000000-MAX(R21*G$39/1000000-G$41,0)*G$43+G$46)/(1+$B$16)^G$35+(H$38+R21*H$39/1000000-MAX(R21*H$39/1000000-H$41,0)*H$43+H$46)/(1+$B$16)^H$35+(I$38+R21*I$39/1000000-MAX(R21*I$39/1000000-I$41,0)*I$43+I$46)/(1+$B$16)^I$35+(J$38+R21*J$39/1000000-MAX(R21*J$39/1000000-J$41,0)*J$43+J$46)/(1+$B$16)^J$35+(K$38+R21*K$39/1000000-MAX(R21*K$39/1000000-K$41,0)*K$43+K$46)/(1+$B$16)^K$35+(L$38+R21*L$39/1000000-MAX(R21*L$39/1000000-L$41,0)*L$43+L$46)/(1+$B$16)^L$35+(M$38+R21*M$39/1000000-MAX(R21*M$39/1000000-M$41,0)*M$43+M$46)/(1+$B$16)^M$35+(N$38+R21*N$39/1000000-MAX(R21*N$39/1000000-N$41,0)*N$43+N$46)/(1+$B$16)^N$35+(O$38+R21*O$39/1000000-MAX(R21*O$39/1000000-O$41,0)*O$43+O$46)/(1+$B$16)^O$35+(P$38+R21*P$39/1000000-MAX(R21*P$39/1000000-P$41,0)*P$43+P$46)/(1+$B$16)^P$35+(Q$38+R21*Q$39/1000000-MAX(R21*Q$39/1000000-Q$41,0)*Q$43+Q$46)/(1+$B$16)^Q$35+(R$38+R21*R$39/1000000-MAX(R21*R$39/1000000-R$41,0)*R$43+R$46)/(1+$B$16)^R$35+(S$38+R21*S$39/1000000-MAX(R21*S$39/1000000-S$41,0)*S$43+S$46)/(1+$B$16)^S$35+(T$38+R21*T$39/1000000-MAX(R21*T$39/1000000-T$41,0)*T$43+T$46)/(1+$B$16)^T$35+(U$38+R21*U$39/1000000-MAX(R21*U$39/1000000-U$41,0)*U$43+U$46)/(1+$B$16)^U$35+(V$38+R21*V$39/1000000-MAX(R21*V$39/1000000-V$41,0)*V$43+V$46)/(1+$B$16)^V$35+(W$38+R21*W$39/1000000-MAX(R21*W$39/1000000-W$41,0)*W$43+W$46)/(1+$B$16)^W$35+(X$38+R21*X$39/1000000-MAX(R21*X$39/1000000-X$41,0)*X$43+X$46)/(1+$B$16)^X$35+(Y$38+R21*Y$39/1000000-MAX(R21*Y$39/1000000-Y$41,0)*Y$43+Y$46)/(1+$B$16)^Y$35+(Z$38+R21*Z$39/1000000-MAX(R21*Z$39/1000000-Z$41,0)*Z$43+Z$46)/(1+$B$16)^Z$35+(AA$38+R21*AA$39/1000000-MAX(R21*AA$39/1000000-AA$41,0)*AA$43+AA$46)/(1+$B$16)^AA$35</x:f>
        <x:v>-0.07882658211336491</x:v>
      </x:c>
      <x:c r="R21" s="485" t="n">
        <x:f>(O21+P21)/2</x:f>
        <x:v>1705.780029296875</x:v>
      </x:c>
      <x:c r="S21" s="467"/>
      <x:c r="T21" s="467"/>
      <x:c r="U21" s="467"/>
      <x:c r="V21" s="467"/>
      <x:c r="W21" s="467"/>
      <x:c r="X21" s="467"/>
      <x:c r="Y21" s="467"/>
      <x:c r="Z21" s="467"/>
      <x:c r="AA21" s="467"/>
    </x:row>
    <x:row r="22">
      <x:c r="A22" s="476" t="str">
        <x:v>Tỷ lệ giải ngân</x:v>
      </x:c>
      <x:c r="B22" s="476" t="str">
        <x:v>Năm XD 1</x:v>
      </x:c>
      <x:c r="C22" s="476" t="str">
        <x:v>Năm XD 2</x:v>
      </x:c>
      <x:c r="D22" s="476" t="str">
        <x:v>Năm XD 3</x:v>
      </x:c>
      <x:c r="E22" s="476" t="str">
        <x:v>Năm XD 4</x:v>
      </x:c>
      <x:c r="F22" s="476" t="str">
        <x:v>Năm XD 5</x:v>
      </x:c>
      <x:c r="G22" s="467"/>
      <x:c r="H22" s="476" t="str">
        <x:v>Loại hình</x:v>
      </x:c>
      <x:c r="I22" s="476" t="str">
        <x:v>Miền Bắc</x:v>
      </x:c>
      <x:c r="J22" s="476" t="str">
        <x:v>Miền Trung</x:v>
      </x:c>
      <x:c r="K22" s="476" t="str">
        <x:v>Miền Nam</x:v>
      </x:c>
      <x:c r="L22" s="467"/>
      <x:c r="M22" s="467"/>
      <x:c r="N22" s="484" t="n">
        <x:v>16</x:v>
      </x:c>
      <x:c r="O22" s="485" t="n">
        <x:f>IF(Q21&lt;0,R21,O21)</x:f>
        <x:v>1705.780029296875</x:v>
      </x:c>
      <x:c r="P22" s="485" t="n">
        <x:f>IF(Q21&gt;=0,R21,P21)</x:f>
        <x:v>1705.9326171875</x:v>
      </x:c>
      <x:c r="Q22" s="485" t="n">
        <x:f>(C$38+R22*C$39/1000000-MAX(R22*C$39/1000000-C$41,0)*C$43+C$46)/(1+$B$16)^C$35+(D$38+R22*D$39/1000000-MAX(R22*D$39/1000000-D$41,0)*D$43+D$46)/(1+$B$16)^D$35+(E$38+R22*E$39/1000000-MAX(R22*E$39/1000000-E$41,0)*E$43+E$46)/(1+$B$16)^E$35+(F$38+R22*F$39/1000000-MAX(R22*F$39/1000000-F$41,0)*F$43+F$46)/(1+$B$16)^F$35+(G$38+R22*G$39/1000000-MAX(R22*G$39/1000000-G$41,0)*G$43+G$46)/(1+$B$16)^G$35+(H$38+R22*H$39/1000000-MAX(R22*H$39/1000000-H$41,0)*H$43+H$46)/(1+$B$16)^H$35+(I$38+R22*I$39/1000000-MAX(R22*I$39/1000000-I$41,0)*I$43+I$46)/(1+$B$16)^I$35+(J$38+R22*J$39/1000000-MAX(R22*J$39/1000000-J$41,0)*J$43+J$46)/(1+$B$16)^J$35+(K$38+R22*K$39/1000000-MAX(R22*K$39/1000000-K$41,0)*K$43+K$46)/(1+$B$16)^K$35+(L$38+R22*L$39/1000000-MAX(R22*L$39/1000000-L$41,0)*L$43+L$46)/(1+$B$16)^L$35+(M$38+R22*M$39/1000000-MAX(R22*M$39/1000000-M$41,0)*M$43+M$46)/(1+$B$16)^M$35+(N$38+R22*N$39/1000000-MAX(R22*N$39/1000000-N$41,0)*N$43+N$46)/(1+$B$16)^N$35+(O$38+R22*O$39/1000000-MAX(R22*O$39/1000000-O$41,0)*O$43+O$46)/(1+$B$16)^O$35+(P$38+R22*P$39/1000000-MAX(R22*P$39/1000000-P$41,0)*P$43+P$46)/(1+$B$16)^P$35+(Q$38+R22*Q$39/1000000-MAX(R22*Q$39/1000000-Q$41,0)*Q$43+Q$46)/(1+$B$16)^Q$35+(R$38+R22*R$39/1000000-MAX(R22*R$39/1000000-R$41,0)*R$43+R$46)/(1+$B$16)^R$35+(S$38+R22*S$39/1000000-MAX(R22*S$39/1000000-S$41,0)*S$43+S$46)/(1+$B$16)^S$35+(T$38+R22*T$39/1000000-MAX(R22*T$39/1000000-T$41,0)*T$43+T$46)/(1+$B$16)^T$35+(U$38+R22*U$39/1000000-MAX(R22*U$39/1000000-U$41,0)*U$43+U$46)/(1+$B$16)^U$35+(V$38+R22*V$39/1000000-MAX(R22*V$39/1000000-V$41,0)*V$43+V$46)/(1+$B$16)^V$35+(W$38+R22*W$39/1000000-MAX(R22*W$39/1000000-W$41,0)*W$43+W$46)/(1+$B$16)^W$35+(X$38+R22*X$39/1000000-MAX(R22*X$39/1000000-X$41,0)*X$43+X$46)/(1+$B$16)^X$35+(Y$38+R22*Y$39/1000000-MAX(R22*Y$39/1000000-Y$41,0)*Y$43+Y$46)/(1+$B$16)^Y$35+(Z$38+R22*Z$39/1000000-MAX(R22*Z$39/1000000-Z$41,0)*Z$43+Z$46)/(1+$B$16)^Z$35+(AA$38+R22*AA$39/1000000-MAX(R22*AA$39/1000000-AA$41,0)*AA$43+AA$46)/(1+$B$16)^AA$35</x:f>
        <x:v>0.15091538476968935</x:v>
      </x:c>
      <x:c r="R22" s="485" t="n">
        <x:f>(O22+P22)/2</x:f>
        <x:v>1705.8563232421875</x:v>
      </x:c>
      <x:c r="S22" s="467"/>
      <x:c r="T22" s="467"/>
      <x:c r="U22" s="467"/>
      <x:c r="V22" s="467"/>
      <x:c r="W22" s="467"/>
      <x:c r="X22" s="467"/>
      <x:c r="Y22" s="467"/>
      <x:c r="Z22" s="467"/>
      <x:c r="AA22" s="467"/>
    </x:row>
    <x:row r="23">
      <x:c r="A23" s="484" t="str">
        <x:v>Nhập tỷ lệ</x:v>
      </x:c>
      <x:c r="B23" s="504" t="n">
        <x:v>0.4</x:v>
      </x:c>
      <x:c r="C23" s="504" t="n">
        <x:v>0.6</x:v>
      </x:c>
      <x:c r="D23" s="504" t="n">
        <x:v>0</x:v>
      </x:c>
      <x:c r="E23" s="504" t="n">
        <x:v>0</x:v>
      </x:c>
      <x:c r="F23" s="504" t="n">
        <x:v>0</x:v>
      </x:c>
      <x:c r="G23" s="467"/>
      <x:c r="H23" s="484" t="str">
        <x:v>Điện gió trên đất liền</x:v>
      </x:c>
      <x:c r="I23" s="505" t="n">
        <x:v>1959.4</x:v>
      </x:c>
      <x:c r="J23" s="505" t="n">
        <x:v>1807.4</x:v>
      </x:c>
      <x:c r="K23" s="505" t="n">
        <x:v>1840.3</x:v>
      </x:c>
      <x:c r="L23" s="467"/>
      <x:c r="M23" s="467"/>
      <x:c r="N23" s="484" t="n">
        <x:v>17</x:v>
      </x:c>
      <x:c r="O23" s="485" t="n">
        <x:f>IF(Q22&lt;0,R22,O22)</x:f>
        <x:v>1705.780029296875</x:v>
      </x:c>
      <x:c r="P23" s="485" t="n">
        <x:f>IF(Q22&gt;=0,R22,P22)</x:f>
        <x:v>1705.8563232421875</x:v>
      </x:c>
      <x:c r="Q23" s="485" t="n">
        <x:f>(C$38+R23*C$39/1000000-MAX(R23*C$39/1000000-C$41,0)*C$43+C$46)/(1+$B$16)^C$35+(D$38+R23*D$39/1000000-MAX(R23*D$39/1000000-D$41,0)*D$43+D$46)/(1+$B$16)^D$35+(E$38+R23*E$39/1000000-MAX(R23*E$39/1000000-E$41,0)*E$43+E$46)/(1+$B$16)^E$35+(F$38+R23*F$39/1000000-MAX(R23*F$39/1000000-F$41,0)*F$43+F$46)/(1+$B$16)^F$35+(G$38+R23*G$39/1000000-MAX(R23*G$39/1000000-G$41,0)*G$43+G$46)/(1+$B$16)^G$35+(H$38+R23*H$39/1000000-MAX(R23*H$39/1000000-H$41,0)*H$43+H$46)/(1+$B$16)^H$35+(I$38+R23*I$39/1000000-MAX(R23*I$39/1000000-I$41,0)*I$43+I$46)/(1+$B$16)^I$35+(J$38+R23*J$39/1000000-MAX(R23*J$39/1000000-J$41,0)*J$43+J$46)/(1+$B$16)^J$35+(K$38+R23*K$39/1000000-MAX(R23*K$39/1000000-K$41,0)*K$43+K$46)/(1+$B$16)^K$35+(L$38+R23*L$39/1000000-MAX(R23*L$39/1000000-L$41,0)*L$43+L$46)/(1+$B$16)^L$35+(M$38+R23*M$39/1000000-MAX(R23*M$39/1000000-M$41,0)*M$43+M$46)/(1+$B$16)^M$35+(N$38+R23*N$39/1000000-MAX(R23*N$39/1000000-N$41,0)*N$43+N$46)/(1+$B$16)^N$35+(O$38+R23*O$39/1000000-MAX(R23*O$39/1000000-O$41,0)*O$43+O$46)/(1+$B$16)^O$35+(P$38+R23*P$39/1000000-MAX(R23*P$39/1000000-P$41,0)*P$43+P$46)/(1+$B$16)^P$35+(Q$38+R23*Q$39/1000000-MAX(R23*Q$39/1000000-Q$41,0)*Q$43+Q$46)/(1+$B$16)^Q$35+(R$38+R23*R$39/1000000-MAX(R23*R$39/1000000-R$41,0)*R$43+R$46)/(1+$B$16)^R$35+(S$38+R23*S$39/1000000-MAX(R23*S$39/1000000-S$41,0)*S$43+S$46)/(1+$B$16)^S$35+(T$38+R23*T$39/1000000-MAX(R23*T$39/1000000-T$41,0)*T$43+T$46)/(1+$B$16)^T$35+(U$38+R23*U$39/1000000-MAX(R23*U$39/1000000-U$41,0)*U$43+U$46)/(1+$B$16)^U$35+(V$38+R23*V$39/1000000-MAX(R23*V$39/1000000-V$41,0)*V$43+V$46)/(1+$B$16)^V$35+(W$38+R23*W$39/1000000-MAX(R23*W$39/1000000-W$41,0)*W$43+W$46)/(1+$B$16)^W$35+(X$38+R23*X$39/1000000-MAX(R23*X$39/1000000-X$41,0)*X$43+X$46)/(1+$B$16)^X$35+(Y$38+R23*Y$39/1000000-MAX(R23*Y$39/1000000-Y$41,0)*Y$43+Y$46)/(1+$B$16)^Y$35+(Z$38+R23*Z$39/1000000-MAX(R23*Z$39/1000000-Z$41,0)*Z$43+Z$46)/(1+$B$16)^Z$35+(AA$38+R23*AA$39/1000000-MAX(R23*AA$39/1000000-AA$41,0)*AA$43+AA$46)/(1+$B$16)^AA$35</x:f>
        <x:v>0.03604440132822617</x:v>
      </x:c>
      <x:c r="R23" s="485" t="n">
        <x:f>(O23+P23)/2</x:f>
        <x:v>1705.8181762695312</x:v>
      </x:c>
      <x:c r="S23" s="467"/>
      <x:c r="T23" s="467"/>
      <x:c r="U23" s="467"/>
      <x:c r="V23" s="467"/>
      <x:c r="W23" s="467"/>
      <x:c r="X23" s="467"/>
      <x:c r="Y23" s="467"/>
      <x:c r="Z23" s="467"/>
      <x:c r="AA23" s="467"/>
    </x:row>
    <x:row r="24">
      <x:c r="A24" s="484" t="str">
        <x:v>Tổng tỷ lệ</x:v>
      </x:c>
      <x:c r="B24" s="506" t="n">
        <x:f>SUM(B23:F23)</x:f>
        <x:v>1</x:v>
      </x:c>
      <x:c r="C24" s="484" t="str">
        <x:f>IF(ABS(B24-1)&lt;0.000001,"OK","PHẢI BẰNG 100%")</x:f>
        <x:v>OK</x:v>
      </x:c>
      <x:c r="D24" s="484"/>
      <x:c r="E24" s="484"/>
      <x:c r="F24" s="484"/>
      <x:c r="G24" s="467"/>
      <x:c r="H24" s="484" t="str">
        <x:v>Điện gió gần bờ</x:v>
      </x:c>
      <x:c r="I24" s="505" t="n">
        <x:v>1987.4</x:v>
      </x:c>
      <x:c r="J24" s="505" t="n">
        <x:v>1987.4</x:v>
      </x:c>
      <x:c r="K24" s="505" t="n">
        <x:v>1987.4</x:v>
      </x:c>
      <x:c r="L24" s="467"/>
      <x:c r="M24" s="467"/>
      <x:c r="N24" s="484" t="n">
        <x:v>18</x:v>
      </x:c>
      <x:c r="O24" s="485" t="n">
        <x:f>IF(Q23&lt;0,R23,O23)</x:f>
        <x:v>1705.780029296875</x:v>
      </x:c>
      <x:c r="P24" s="485" t="n">
        <x:f>IF(Q23&gt;=0,R23,P23)</x:f>
        <x:v>1705.8181762695312</x:v>
      </x:c>
      <x:c r="Q24" s="485" t="n">
        <x:f>(C$38+R24*C$39/1000000-MAX(R24*C$39/1000000-C$41,0)*C$43+C$46)/(1+$B$16)^C$35+(D$38+R24*D$39/1000000-MAX(R24*D$39/1000000-D$41,0)*D$43+D$46)/(1+$B$16)^D$35+(E$38+R24*E$39/1000000-MAX(R24*E$39/1000000-E$41,0)*E$43+E$46)/(1+$B$16)^E$35+(F$38+R24*F$39/1000000-MAX(R24*F$39/1000000-F$41,0)*F$43+F$46)/(1+$B$16)^F$35+(G$38+R24*G$39/1000000-MAX(R24*G$39/1000000-G$41,0)*G$43+G$46)/(1+$B$16)^G$35+(H$38+R24*H$39/1000000-MAX(R24*H$39/1000000-H$41,0)*H$43+H$46)/(1+$B$16)^H$35+(I$38+R24*I$39/1000000-MAX(R24*I$39/1000000-I$41,0)*I$43+I$46)/(1+$B$16)^I$35+(J$38+R24*J$39/1000000-MAX(R24*J$39/1000000-J$41,0)*J$43+J$46)/(1+$B$16)^J$35+(K$38+R24*K$39/1000000-MAX(R24*K$39/1000000-K$41,0)*K$43+K$46)/(1+$B$16)^K$35+(L$38+R24*L$39/1000000-MAX(R24*L$39/1000000-L$41,0)*L$43+L$46)/(1+$B$16)^L$35+(M$38+R24*M$39/1000000-MAX(R24*M$39/1000000-M$41,0)*M$43+M$46)/(1+$B$16)^M$35+(N$38+R24*N$39/1000000-MAX(R24*N$39/1000000-N$41,0)*N$43+N$46)/(1+$B$16)^N$35+(O$38+R24*O$39/1000000-MAX(R24*O$39/1000000-O$41,0)*O$43+O$46)/(1+$B$16)^O$35+(P$38+R24*P$39/1000000-MAX(R24*P$39/1000000-P$41,0)*P$43+P$46)/(1+$B$16)^P$35+(Q$38+R24*Q$39/1000000-MAX(R24*Q$39/1000000-Q$41,0)*Q$43+Q$46)/(1+$B$16)^Q$35+(R$38+R24*R$39/1000000-MAX(R24*R$39/1000000-R$41,0)*R$43+R$46)/(1+$B$16)^R$35+(S$38+R24*S$39/1000000-MAX(R24*S$39/1000000-S$41,0)*S$43+S$46)/(1+$B$16)^S$35+(T$38+R24*T$39/1000000-MAX(R24*T$39/1000000-T$41,0)*T$43+T$46)/(1+$B$16)^T$35+(U$38+R24*U$39/1000000-MAX(R24*U$39/1000000-U$41,0)*U$43+U$46)/(1+$B$16)^U$35+(V$38+R24*V$39/1000000-MAX(R24*V$39/1000000-V$41,0)*V$43+V$46)/(1+$B$16)^V$35+(W$38+R24*W$39/1000000-MAX(R24*W$39/1000000-W$41,0)*W$43+W$46)/(1+$B$16)^W$35+(X$38+R24*X$39/1000000-MAX(R24*X$39/1000000-X$41,0)*X$43+X$46)/(1+$B$16)^X$35+(Y$38+R24*Y$39/1000000-MAX(R24*Y$39/1000000-Y$41,0)*Y$43+Y$46)/(1+$B$16)^Y$35+(Z$38+R24*Z$39/1000000-MAX(R24*Z$39/1000000-Z$41,0)*Z$43+Z$46)/(1+$B$16)^Z$35+(AA$38+R24*AA$39/1000000-MAX(R24*AA$39/1000000-AA$41,0)*AA$43+AA$46)/(1+$B$16)^AA$35</x:f>
        <x:v>-0.02139109039312359</x:v>
      </x:c>
      <x:c r="R24" s="485" t="n">
        <x:f>(O24+P24)/2</x:f>
        <x:v>1705.7991027832031</x:v>
      </x:c>
      <x:c r="S24" s="467"/>
      <x:c r="T24" s="467"/>
      <x:c r="U24" s="467"/>
      <x:c r="V24" s="467"/>
      <x:c r="W24" s="467"/>
      <x:c r="X24" s="467"/>
      <x:c r="Y24" s="467"/>
      <x:c r="Z24" s="467"/>
      <x:c r="AA24" s="467"/>
    </x:row>
    <x:row r="25">
      <x:c r="A25" s="467"/>
      <x:c r="B25" s="467"/>
      <x:c r="C25" s="467"/>
      <x:c r="D25" s="467"/>
      <x:c r="E25" s="467"/>
      <x:c r="F25" s="467"/>
      <x:c r="G25" s="467"/>
      <x:c r="H25" s="484" t="str">
        <x:v>Đơn vị</x:v>
      </x:c>
      <x:c r="I25" s="484" t="str">
        <x:v>VND/kWh</x:v>
      </x:c>
      <x:c r="J25" s="484" t="str">
        <x:v>VND/kWh</x:v>
      </x:c>
      <x:c r="K25" s="484" t="str">
        <x:v>VND/kWh</x:v>
      </x:c>
      <x:c r="L25" s="467"/>
      <x:c r="M25" s="467"/>
      <x:c r="N25" s="484" t="n">
        <x:v>19</x:v>
      </x:c>
      <x:c r="O25" s="485" t="n">
        <x:f>IF(Q24&lt;0,R24,O24)</x:f>
        <x:v>1705.7991027832031</x:v>
      </x:c>
      <x:c r="P25" s="485" t="n">
        <x:f>IF(Q24&gt;=0,R24,P24)</x:f>
        <x:v>1705.8181762695312</x:v>
      </x:c>
      <x:c r="Q25" s="485" t="n">
        <x:f>(C$38+R25*C$39/1000000-MAX(R25*C$39/1000000-C$41,0)*C$43+C$46)/(1+$B$16)^C$35+(D$38+R25*D$39/1000000-MAX(R25*D$39/1000000-D$41,0)*D$43+D$46)/(1+$B$16)^D$35+(E$38+R25*E$39/1000000-MAX(R25*E$39/1000000-E$41,0)*E$43+E$46)/(1+$B$16)^E$35+(F$38+R25*F$39/1000000-MAX(R25*F$39/1000000-F$41,0)*F$43+F$46)/(1+$B$16)^F$35+(G$38+R25*G$39/1000000-MAX(R25*G$39/1000000-G$41,0)*G$43+G$46)/(1+$B$16)^G$35+(H$38+R25*H$39/1000000-MAX(R25*H$39/1000000-H$41,0)*H$43+H$46)/(1+$B$16)^H$35+(I$38+R25*I$39/1000000-MAX(R25*I$39/1000000-I$41,0)*I$43+I$46)/(1+$B$16)^I$35+(J$38+R25*J$39/1000000-MAX(R25*J$39/1000000-J$41,0)*J$43+J$46)/(1+$B$16)^J$35+(K$38+R25*K$39/1000000-MAX(R25*K$39/1000000-K$41,0)*K$43+K$46)/(1+$B$16)^K$35+(L$38+R25*L$39/1000000-MAX(R25*L$39/1000000-L$41,0)*L$43+L$46)/(1+$B$16)^L$35+(M$38+R25*M$39/1000000-MAX(R25*M$39/1000000-M$41,0)*M$43+M$46)/(1+$B$16)^M$35+(N$38+R25*N$39/1000000-MAX(R25*N$39/1000000-N$41,0)*N$43+N$46)/(1+$B$16)^N$35+(O$38+R25*O$39/1000000-MAX(R25*O$39/1000000-O$41,0)*O$43+O$46)/(1+$B$16)^O$35+(P$38+R25*P$39/1000000-MAX(R25*P$39/1000000-P$41,0)*P$43+P$46)/(1+$B$16)^P$35+(Q$38+R25*Q$39/1000000-MAX(R25*Q$39/1000000-Q$41,0)*Q$43+Q$46)/(1+$B$16)^Q$35+(R$38+R25*R$39/1000000-MAX(R25*R$39/1000000-R$41,0)*R$43+R$46)/(1+$B$16)^R$35+(S$38+R25*S$39/1000000-MAX(R25*S$39/1000000-S$41,0)*S$43+S$46)/(1+$B$16)^S$35+(T$38+R25*T$39/1000000-MAX(R25*T$39/1000000-T$41,0)*T$43+T$46)/(1+$B$16)^T$35+(U$38+R25*U$39/1000000-MAX(R25*U$39/1000000-U$41,0)*U$43+U$46)/(1+$B$16)^U$35+(V$38+R25*V$39/1000000-MAX(R25*V$39/1000000-V$41,0)*V$43+V$46)/(1+$B$16)^V$35+(W$38+R25*W$39/1000000-MAX(R25*W$39/1000000-W$41,0)*W$43+W$46)/(1+$B$16)^W$35+(X$38+R25*X$39/1000000-MAX(R25*X$39/1000000-X$41,0)*X$43+X$46)/(1+$B$16)^X$35+(Y$38+R25*Y$39/1000000-MAX(R25*Y$39/1000000-Y$41,0)*Y$43+Y$46)/(1+$B$16)^Y$35+(Z$38+R25*Z$39/1000000-MAX(R25*Z$39/1000000-Z$41,0)*Z$43+Z$46)/(1+$B$16)^Z$35+(AA$38+R25*AA$39/1000000-MAX(R25*AA$39/1000000-AA$41,0)*AA$43+AA$46)/(1+$B$16)^AA$35</x:f>
        <x:v>0.007326655467551291</x:v>
      </x:c>
      <x:c r="R25" s="485" t="n">
        <x:f>(O25+P25)/2</x:f>
        <x:v>1705.8086395263672</x:v>
      </x:c>
      <x:c r="S25" s="467"/>
      <x:c r="T25" s="467"/>
      <x:c r="U25" s="467"/>
      <x:c r="V25" s="467"/>
      <x:c r="W25" s="467"/>
      <x:c r="X25" s="467"/>
      <x:c r="Y25" s="467"/>
      <x:c r="Z25" s="467"/>
      <x:c r="AA25" s="467"/>
    </x:row>
    <x:row r="26">
      <x:c r="A26" s="467"/>
      <x:c r="B26" s="467"/>
      <x:c r="C26" s="467"/>
      <x:c r="D26" s="467"/>
      <x:c r="E26" s="467"/>
      <x:c r="F26" s="467"/>
      <x:c r="G26" s="467"/>
      <x:c r="H26" s="507" t="str">
        <x:v>Lưu ý</x:v>
      </x:c>
      <x:c r="I26" s="507" t="str">
        <x:v>Nhập lại B15 theo quyết định của năm cơ sở.</x:v>
      </x:c>
      <x:c r="J26" s="507" t="str"/>
      <x:c r="K26" s="507" t="str"/>
      <x:c r="L26" s="467"/>
      <x:c r="M26" s="467"/>
      <x:c r="N26" s="484" t="n">
        <x:v>20</x:v>
      </x:c>
      <x:c r="O26" s="485" t="n">
        <x:f>IF(Q25&lt;0,R25,O25)</x:f>
        <x:v>1705.7991027832031</x:v>
      </x:c>
      <x:c r="P26" s="485" t="n">
        <x:f>IF(Q25&gt;=0,R25,P25)</x:f>
        <x:v>1705.8086395263672</x:v>
      </x:c>
      <x:c r="Q26" s="485" t="n">
        <x:f>(C$38+R26*C$39/1000000-MAX(R26*C$39/1000000-C$41,0)*C$43+C$46)/(1+$B$16)^C$35+(D$38+R26*D$39/1000000-MAX(R26*D$39/1000000-D$41,0)*D$43+D$46)/(1+$B$16)^D$35+(E$38+R26*E$39/1000000-MAX(R26*E$39/1000000-E$41,0)*E$43+E$46)/(1+$B$16)^E$35+(F$38+R26*F$39/1000000-MAX(R26*F$39/1000000-F$41,0)*F$43+F$46)/(1+$B$16)^F$35+(G$38+R26*G$39/1000000-MAX(R26*G$39/1000000-G$41,0)*G$43+G$46)/(1+$B$16)^G$35+(H$38+R26*H$39/1000000-MAX(R26*H$39/1000000-H$41,0)*H$43+H$46)/(1+$B$16)^H$35+(I$38+R26*I$39/1000000-MAX(R26*I$39/1000000-I$41,0)*I$43+I$46)/(1+$B$16)^I$35+(J$38+R26*J$39/1000000-MAX(R26*J$39/1000000-J$41,0)*J$43+J$46)/(1+$B$16)^J$35+(K$38+R26*K$39/1000000-MAX(R26*K$39/1000000-K$41,0)*K$43+K$46)/(1+$B$16)^K$35+(L$38+R26*L$39/1000000-MAX(R26*L$39/1000000-L$41,0)*L$43+L$46)/(1+$B$16)^L$35+(M$38+R26*M$39/1000000-MAX(R26*M$39/1000000-M$41,0)*M$43+M$46)/(1+$B$16)^M$35+(N$38+R26*N$39/1000000-MAX(R26*N$39/1000000-N$41,0)*N$43+N$46)/(1+$B$16)^N$35+(O$38+R26*O$39/1000000-MAX(R26*O$39/1000000-O$41,0)*O$43+O$46)/(1+$B$16)^O$35+(P$38+R26*P$39/1000000-MAX(R26*P$39/1000000-P$41,0)*P$43+P$46)/(1+$B$16)^P$35+(Q$38+R26*Q$39/1000000-MAX(R26*Q$39/1000000-Q$41,0)*Q$43+Q$46)/(1+$B$16)^Q$35+(R$38+R26*R$39/1000000-MAX(R26*R$39/1000000-R$41,0)*R$43+R$46)/(1+$B$16)^R$35+(S$38+R26*S$39/1000000-MAX(R26*S$39/1000000-S$41,0)*S$43+S$46)/(1+$B$16)^S$35+(T$38+R26*T$39/1000000-MAX(R26*T$39/1000000-T$41,0)*T$43+T$46)/(1+$B$16)^T$35+(U$38+R26*U$39/1000000-MAX(R26*U$39/1000000-U$41,0)*U$43+U$46)/(1+$B$16)^U$35+(V$38+R26*V$39/1000000-MAX(R26*V$39/1000000-V$41,0)*V$43+V$46)/(1+$B$16)^V$35+(W$38+R26*W$39/1000000-MAX(R26*W$39/1000000-W$41,0)*W$43+W$46)/(1+$B$16)^W$35+(X$38+R26*X$39/1000000-MAX(R26*X$39/1000000-X$41,0)*X$43+X$46)/(1+$B$16)^X$35+(Y$38+R26*Y$39/1000000-MAX(R26*Y$39/1000000-Y$41,0)*Y$43+Y$46)/(1+$B$16)^Y$35+(Z$38+R26*Z$39/1000000-MAX(R26*Z$39/1000000-Z$41,0)*Z$43+Z$46)/(1+$B$16)^Z$35+(AA$38+R26*AA$39/1000000-MAX(R26*AA$39/1000000-AA$41,0)*AA$43+AA$46)/(1+$B$16)^AA$35</x:f>
        <x:v>-0.007032217462324297</x:v>
      </x:c>
      <x:c r="R26" s="485" t="n">
        <x:f>(O26+P26)/2</x:f>
        <x:v>1705.8038711547852</x:v>
      </x:c>
      <x:c r="S26" s="467"/>
      <x:c r="T26" s="467"/>
      <x:c r="U26" s="467"/>
      <x:c r="V26" s="467"/>
      <x:c r="W26" s="467"/>
      <x:c r="X26" s="467"/>
      <x:c r="Y26" s="467"/>
      <x:c r="Z26" s="467"/>
      <x:c r="AA26" s="467"/>
    </x:row>
    <x:row r="27">
      <x:c r="A27" s="467"/>
      <x:c r="B27" s="467"/>
      <x:c r="C27" s="467"/>
      <x:c r="D27" s="467"/>
      <x:c r="E27" s="467"/>
      <x:c r="F27" s="467"/>
      <x:c r="G27" s="467"/>
      <x:c r="H27" s="467"/>
      <x:c r="I27" s="467"/>
      <x:c r="J27" s="467"/>
      <x:c r="K27" s="467"/>
      <x:c r="L27" s="467"/>
      <x:c r="M27" s="467"/>
      <x:c r="N27" s="484" t="n">
        <x:v>21</x:v>
      </x:c>
      <x:c r="O27" s="485" t="n">
        <x:f>IF(Q26&lt;0,R26,O26)</x:f>
        <x:v>1705.8038711547852</x:v>
      </x:c>
      <x:c r="P27" s="485" t="n">
        <x:f>IF(Q26&gt;=0,R26,P26)</x:f>
        <x:v>1705.8086395263672</x:v>
      </x:c>
      <x:c r="Q27" s="485" t="n">
        <x:f>(C$38+R27*C$39/1000000-MAX(R27*C$39/1000000-C$41,0)*C$43+C$46)/(1+$B$16)^C$35+(D$38+R27*D$39/1000000-MAX(R27*D$39/1000000-D$41,0)*D$43+D$46)/(1+$B$16)^D$35+(E$38+R27*E$39/1000000-MAX(R27*E$39/1000000-E$41,0)*E$43+E$46)/(1+$B$16)^E$35+(F$38+R27*F$39/1000000-MAX(R27*F$39/1000000-F$41,0)*F$43+F$46)/(1+$B$16)^F$35+(G$38+R27*G$39/1000000-MAX(R27*G$39/1000000-G$41,0)*G$43+G$46)/(1+$B$16)^G$35+(H$38+R27*H$39/1000000-MAX(R27*H$39/1000000-H$41,0)*H$43+H$46)/(1+$B$16)^H$35+(I$38+R27*I$39/1000000-MAX(R27*I$39/1000000-I$41,0)*I$43+I$46)/(1+$B$16)^I$35+(J$38+R27*J$39/1000000-MAX(R27*J$39/1000000-J$41,0)*J$43+J$46)/(1+$B$16)^J$35+(K$38+R27*K$39/1000000-MAX(R27*K$39/1000000-K$41,0)*K$43+K$46)/(1+$B$16)^K$35+(L$38+R27*L$39/1000000-MAX(R27*L$39/1000000-L$41,0)*L$43+L$46)/(1+$B$16)^L$35+(M$38+R27*M$39/1000000-MAX(R27*M$39/1000000-M$41,0)*M$43+M$46)/(1+$B$16)^M$35+(N$38+R27*N$39/1000000-MAX(R27*N$39/1000000-N$41,0)*N$43+N$46)/(1+$B$16)^N$35+(O$38+R27*O$39/1000000-MAX(R27*O$39/1000000-O$41,0)*O$43+O$46)/(1+$B$16)^O$35+(P$38+R27*P$39/1000000-MAX(R27*P$39/1000000-P$41,0)*P$43+P$46)/(1+$B$16)^P$35+(Q$38+R27*Q$39/1000000-MAX(R27*Q$39/1000000-Q$41,0)*Q$43+Q$46)/(1+$B$16)^Q$35+(R$38+R27*R$39/1000000-MAX(R27*R$39/1000000-R$41,0)*R$43+R$46)/(1+$B$16)^R$35+(S$38+R27*S$39/1000000-MAX(R27*S$39/1000000-S$41,0)*S$43+S$46)/(1+$B$16)^S$35+(T$38+R27*T$39/1000000-MAX(R27*T$39/1000000-T$41,0)*T$43+T$46)/(1+$B$16)^T$35+(U$38+R27*U$39/1000000-MAX(R27*U$39/1000000-U$41,0)*U$43+U$46)/(1+$B$16)^U$35+(V$38+R27*V$39/1000000-MAX(R27*V$39/1000000-V$41,0)*V$43+V$46)/(1+$B$16)^V$35+(W$38+R27*W$39/1000000-MAX(R27*W$39/1000000-W$41,0)*W$43+W$46)/(1+$B$16)^W$35+(X$38+R27*X$39/1000000-MAX(R27*X$39/1000000-X$41,0)*X$43+X$46)/(1+$B$16)^X$35+(Y$38+R27*Y$39/1000000-MAX(R27*Y$39/1000000-Y$41,0)*Y$43+Y$46)/(1+$B$16)^Y$35+(Z$38+R27*Z$39/1000000-MAX(R27*Z$39/1000000-Z$41,0)*Z$43+Z$46)/(1+$B$16)^Z$35+(AA$38+R27*AA$39/1000000-MAX(R27*AA$39/1000000-AA$41,0)*AA$43+AA$46)/(1+$B$16)^AA$35</x:f>
        <x:v>0.0001472190026561293</x:v>
      </x:c>
      <x:c r="R27" s="485" t="n">
        <x:f>(O27+P27)/2</x:f>
        <x:v>1705.8062553405762</x:v>
      </x:c>
      <x:c r="S27" s="467"/>
      <x:c r="T27" s="467"/>
      <x:c r="U27" s="467"/>
      <x:c r="V27" s="467"/>
      <x:c r="W27" s="467"/>
      <x:c r="X27" s="467"/>
      <x:c r="Y27" s="467"/>
      <x:c r="Z27" s="467"/>
      <x:c r="AA27" s="467"/>
    </x:row>
    <x:row r="28">
      <x:c r="A28" s="467"/>
      <x:c r="B28" s="467"/>
      <x:c r="C28" s="467"/>
      <x:c r="D28" s="467"/>
      <x:c r="E28" s="467"/>
      <x:c r="F28" s="467"/>
      <x:c r="G28" s="467"/>
      <x:c r="H28" s="467"/>
      <x:c r="I28" s="467"/>
      <x:c r="J28" s="467"/>
      <x:c r="K28" s="467"/>
      <x:c r="L28" s="467"/>
      <x:c r="M28" s="467"/>
      <x:c r="N28" s="484" t="n">
        <x:v>22</x:v>
      </x:c>
      <x:c r="O28" s="485" t="n">
        <x:f>IF(Q27&lt;0,R27,O27)</x:f>
        <x:v>1705.8038711547852</x:v>
      </x:c>
      <x:c r="P28" s="485" t="n">
        <x:f>IF(Q27&gt;=0,R27,P27)</x:f>
        <x:v>1705.8062553405762</x:v>
      </x:c>
      <x:c r="Q28" s="485" t="n">
        <x:f>(C$38+R28*C$39/1000000-MAX(R28*C$39/1000000-C$41,0)*C$43+C$46)/(1+$B$16)^C$35+(D$38+R28*D$39/1000000-MAX(R28*D$39/1000000-D$41,0)*D$43+D$46)/(1+$B$16)^D$35+(E$38+R28*E$39/1000000-MAX(R28*E$39/1000000-E$41,0)*E$43+E$46)/(1+$B$16)^E$35+(F$38+R28*F$39/1000000-MAX(R28*F$39/1000000-F$41,0)*F$43+F$46)/(1+$B$16)^F$35+(G$38+R28*G$39/1000000-MAX(R28*G$39/1000000-G$41,0)*G$43+G$46)/(1+$B$16)^G$35+(H$38+R28*H$39/1000000-MAX(R28*H$39/1000000-H$41,0)*H$43+H$46)/(1+$B$16)^H$35+(I$38+R28*I$39/1000000-MAX(R28*I$39/1000000-I$41,0)*I$43+I$46)/(1+$B$16)^I$35+(J$38+R28*J$39/1000000-MAX(R28*J$39/1000000-J$41,0)*J$43+J$46)/(1+$B$16)^J$35+(K$38+R28*K$39/1000000-MAX(R28*K$39/1000000-K$41,0)*K$43+K$46)/(1+$B$16)^K$35+(L$38+R28*L$39/1000000-MAX(R28*L$39/1000000-L$41,0)*L$43+L$46)/(1+$B$16)^L$35+(M$38+R28*M$39/1000000-MAX(R28*M$39/1000000-M$41,0)*M$43+M$46)/(1+$B$16)^M$35+(N$38+R28*N$39/1000000-MAX(R28*N$39/1000000-N$41,0)*N$43+N$46)/(1+$B$16)^N$35+(O$38+R28*O$39/1000000-MAX(R28*O$39/1000000-O$41,0)*O$43+O$46)/(1+$B$16)^O$35+(P$38+R28*P$39/1000000-MAX(R28*P$39/1000000-P$41,0)*P$43+P$46)/(1+$B$16)^P$35+(Q$38+R28*Q$39/1000000-MAX(R28*Q$39/1000000-Q$41,0)*Q$43+Q$46)/(1+$B$16)^Q$35+(R$38+R28*R$39/1000000-MAX(R28*R$39/1000000-R$41,0)*R$43+R$46)/(1+$B$16)^R$35+(S$38+R28*S$39/1000000-MAX(R28*S$39/1000000-S$41,0)*S$43+S$46)/(1+$B$16)^S$35+(T$38+R28*T$39/1000000-MAX(R28*T$39/1000000-T$41,0)*T$43+T$46)/(1+$B$16)^T$35+(U$38+R28*U$39/1000000-MAX(R28*U$39/1000000-U$41,0)*U$43+U$46)/(1+$B$16)^U$35+(V$38+R28*V$39/1000000-MAX(R28*V$39/1000000-V$41,0)*V$43+V$46)/(1+$B$16)^V$35+(W$38+R28*W$39/1000000-MAX(R28*W$39/1000000-W$41,0)*W$43+W$46)/(1+$B$16)^W$35+(X$38+R28*X$39/1000000-MAX(R28*X$39/1000000-X$41,0)*X$43+X$46)/(1+$B$16)^X$35+(Y$38+R28*Y$39/1000000-MAX(R28*Y$39/1000000-Y$41,0)*Y$43+Y$46)/(1+$B$16)^Y$35+(Z$38+R28*Z$39/1000000-MAX(R28*Z$39/1000000-Z$41,0)*Z$43+Z$46)/(1+$B$16)^Z$35+(AA$38+R28*AA$39/1000000-MAX(R28*AA$39/1000000-AA$41,0)*AA$43+AA$46)/(1+$B$16)^AA$35</x:f>
        <x:v>-0.003442499230700946</x:v>
      </x:c>
      <x:c r="R28" s="485" t="n">
        <x:f>(O28+P28)/2</x:f>
        <x:v>1705.8050632476807</x:v>
      </x:c>
      <x:c r="S28" s="467"/>
      <x:c r="T28" s="467"/>
      <x:c r="U28" s="467"/>
      <x:c r="V28" s="467"/>
      <x:c r="W28" s="467"/>
      <x:c r="X28" s="467"/>
      <x:c r="Y28" s="467"/>
      <x:c r="Z28" s="467"/>
      <x:c r="AA28" s="467"/>
    </x:row>
    <x:row r="29">
      <x:c r="A29" s="467"/>
      <x:c r="B29" s="467"/>
      <x:c r="C29" s="467"/>
      <x:c r="D29" s="467"/>
      <x:c r="E29" s="467"/>
      <x:c r="F29" s="467"/>
      <x:c r="G29" s="467"/>
      <x:c r="H29" s="467"/>
      <x:c r="I29" s="467"/>
      <x:c r="J29" s="467"/>
      <x:c r="K29" s="467"/>
      <x:c r="L29" s="467"/>
      <x:c r="M29" s="467"/>
      <x:c r="N29" s="484" t="n">
        <x:v>23</x:v>
      </x:c>
      <x:c r="O29" s="485" t="n">
        <x:f>IF(Q28&lt;0,R28,O28)</x:f>
        <x:v>1705.8050632476807</x:v>
      </x:c>
      <x:c r="P29" s="485" t="n">
        <x:f>IF(Q28&gt;=0,R28,P28)</x:f>
        <x:v>1705.8062553405762</x:v>
      </x:c>
      <x:c r="Q29" s="485" t="n">
        <x:f>(C$38+R29*C$39/1000000-MAX(R29*C$39/1000000-C$41,0)*C$43+C$46)/(1+$B$16)^C$35+(D$38+R29*D$39/1000000-MAX(R29*D$39/1000000-D$41,0)*D$43+D$46)/(1+$B$16)^D$35+(E$38+R29*E$39/1000000-MAX(R29*E$39/1000000-E$41,0)*E$43+E$46)/(1+$B$16)^E$35+(F$38+R29*F$39/1000000-MAX(R29*F$39/1000000-F$41,0)*F$43+F$46)/(1+$B$16)^F$35+(G$38+R29*G$39/1000000-MAX(R29*G$39/1000000-G$41,0)*G$43+G$46)/(1+$B$16)^G$35+(H$38+R29*H$39/1000000-MAX(R29*H$39/1000000-H$41,0)*H$43+H$46)/(1+$B$16)^H$35+(I$38+R29*I$39/1000000-MAX(R29*I$39/1000000-I$41,0)*I$43+I$46)/(1+$B$16)^I$35+(J$38+R29*J$39/1000000-MAX(R29*J$39/1000000-J$41,0)*J$43+J$46)/(1+$B$16)^J$35+(K$38+R29*K$39/1000000-MAX(R29*K$39/1000000-K$41,0)*K$43+K$46)/(1+$B$16)^K$35+(L$38+R29*L$39/1000000-MAX(R29*L$39/1000000-L$41,0)*L$43+L$46)/(1+$B$16)^L$35+(M$38+R29*M$39/1000000-MAX(R29*M$39/1000000-M$41,0)*M$43+M$46)/(1+$B$16)^M$35+(N$38+R29*N$39/1000000-MAX(R29*N$39/1000000-N$41,0)*N$43+N$46)/(1+$B$16)^N$35+(O$38+R29*O$39/1000000-MAX(R29*O$39/1000000-O$41,0)*O$43+O$46)/(1+$B$16)^O$35+(P$38+R29*P$39/1000000-MAX(R29*P$39/1000000-P$41,0)*P$43+P$46)/(1+$B$16)^P$35+(Q$38+R29*Q$39/1000000-MAX(R29*Q$39/1000000-Q$41,0)*Q$43+Q$46)/(1+$B$16)^Q$35+(R$38+R29*R$39/1000000-MAX(R29*R$39/1000000-R$41,0)*R$43+R$46)/(1+$B$16)^R$35+(S$38+R29*S$39/1000000-MAX(R29*S$39/1000000-S$41,0)*S$43+S$46)/(1+$B$16)^S$35+(T$38+R29*T$39/1000000-MAX(R29*T$39/1000000-T$41,0)*T$43+T$46)/(1+$B$16)^T$35+(U$38+R29*U$39/1000000-MAX(R29*U$39/1000000-U$41,0)*U$43+U$46)/(1+$B$16)^U$35+(V$38+R29*V$39/1000000-MAX(R29*V$39/1000000-V$41,0)*V$43+V$46)/(1+$B$16)^V$35+(W$38+R29*W$39/1000000-MAX(R29*W$39/1000000-W$41,0)*W$43+W$46)/(1+$B$16)^W$35+(X$38+R29*X$39/1000000-MAX(R29*X$39/1000000-X$41,0)*X$43+X$46)/(1+$B$16)^X$35+(Y$38+R29*Y$39/1000000-MAX(R29*Y$39/1000000-Y$41,0)*Y$43+Y$46)/(1+$B$16)^Y$35+(Z$38+R29*Z$39/1000000-MAX(R29*Z$39/1000000-Z$41,0)*Z$43+Z$46)/(1+$B$16)^Z$35+(AA$38+R29*AA$39/1000000-MAX(R29*AA$39/1000000-AA$41,0)*AA$43+AA$46)/(1+$B$16)^AA$35</x:f>
        <x:v>-0.0016476401140295138</x:v>
      </x:c>
      <x:c r="R29" s="485" t="n">
        <x:f>(O29+P29)/2</x:f>
        <x:v>1705.8056592941284</x:v>
      </x:c>
      <x:c r="S29" s="467"/>
      <x:c r="T29" s="467"/>
      <x:c r="U29" s="467"/>
      <x:c r="V29" s="467"/>
      <x:c r="W29" s="467"/>
      <x:c r="X29" s="467"/>
      <x:c r="Y29" s="467"/>
      <x:c r="Z29" s="467"/>
      <x:c r="AA29" s="467"/>
    </x:row>
    <x:row r="30">
      <x:c r="A30" s="467"/>
      <x:c r="B30" s="467"/>
      <x:c r="C30" s="467"/>
      <x:c r="D30" s="467"/>
      <x:c r="E30" s="467"/>
      <x:c r="F30" s="467"/>
      <x:c r="G30" s="467"/>
      <x:c r="H30" s="467"/>
      <x:c r="I30" s="467"/>
      <x:c r="J30" s="467"/>
      <x:c r="K30" s="467"/>
      <x:c r="L30" s="467"/>
      <x:c r="M30" s="467"/>
      <x:c r="N30" s="467"/>
      <x:c r="O30" s="467"/>
      <x:c r="P30" s="467"/>
      <x:c r="Q30" s="467"/>
      <x:c r="R30" s="467"/>
      <x:c r="S30" s="467"/>
      <x:c r="T30" s="467"/>
      <x:c r="U30" s="467"/>
      <x:c r="V30" s="467"/>
      <x:c r="W30" s="467"/>
      <x:c r="X30" s="467"/>
      <x:c r="Y30" s="467"/>
      <x:c r="Z30" s="467"/>
      <x:c r="AA30" s="467"/>
    </x:row>
    <x:row r="31">
      <x:c r="A31" s="467"/>
      <x:c r="B31" s="467"/>
      <x:c r="C31" s="467"/>
      <x:c r="D31" s="467"/>
      <x:c r="E31" s="467"/>
      <x:c r="F31" s="467"/>
      <x:c r="G31" s="467"/>
      <x:c r="H31" s="467"/>
      <x:c r="I31" s="467"/>
      <x:c r="J31" s="467"/>
      <x:c r="K31" s="467"/>
      <x:c r="L31" s="467"/>
      <x:c r="M31" s="467"/>
      <x:c r="N31" s="467"/>
      <x:c r="O31" s="467"/>
      <x:c r="P31" s="467"/>
      <x:c r="Q31" s="467"/>
      <x:c r="R31" s="467"/>
      <x:c r="S31" s="467"/>
      <x:c r="T31" s="467"/>
      <x:c r="U31" s="467"/>
      <x:c r="V31" s="467"/>
      <x:c r="W31" s="467"/>
      <x:c r="X31" s="467"/>
      <x:c r="Y31" s="467"/>
      <x:c r="Z31" s="467"/>
      <x:c r="AA31" s="467"/>
    </x:row>
    <x:row r="32">
      <x:c r="A32" s="467"/>
      <x:c r="B32" s="467"/>
      <x:c r="C32" s="467"/>
      <x:c r="D32" s="467"/>
      <x:c r="E32" s="467"/>
      <x:c r="F32" s="467"/>
      <x:c r="G32" s="467"/>
      <x:c r="H32" s="467"/>
      <x:c r="I32" s="467"/>
      <x:c r="J32" s="467"/>
      <x:c r="K32" s="467"/>
      <x:c r="L32" s="467"/>
      <x:c r="M32" s="467"/>
      <x:c r="N32" s="467"/>
      <x:c r="O32" s="467"/>
      <x:c r="P32" s="467"/>
      <x:c r="Q32" s="467"/>
      <x:c r="R32" s="467"/>
      <x:c r="S32" s="467"/>
      <x:c r="T32" s="467"/>
      <x:c r="U32" s="467"/>
      <x:c r="V32" s="467"/>
      <x:c r="W32" s="467"/>
      <x:c r="X32" s="467"/>
      <x:c r="Y32" s="467"/>
      <x:c r="Z32" s="467"/>
      <x:c r="AA32" s="467"/>
    </x:row>
    <x:row r="33">
      <x:c r="A33" s="405" t="str">
        <x:v>4. DÒNG TIỀN KIỂM TRA FC VÀ PROJECT IRR</x:v>
      </x:c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  <x:c r="AA33" s="405"/>
    </x:row>
    <x:row r="34">
      <x:c r="A34" s="508" t="str">
        <x:v>Mã</x:v>
      </x:c>
      <x:c r="B34" s="508" t="str">
        <x:v>Chỉ tiêu</x:v>
      </x:c>
      <x:c r="C34" s="508" t="str">
        <x:v>Năm 0</x:v>
      </x:c>
      <x:c r="D34" s="508" t="str">
        <x:v>Năm 1</x:v>
      </x:c>
      <x:c r="E34" s="508" t="str">
        <x:v>Năm 2</x:v>
      </x:c>
      <x:c r="F34" s="508" t="str">
        <x:v>Năm 3</x:v>
      </x:c>
      <x:c r="G34" s="508" t="str">
        <x:v>Năm 4</x:v>
      </x:c>
      <x:c r="H34" s="508" t="str">
        <x:v>Năm 5</x:v>
      </x:c>
      <x:c r="I34" s="508" t="str">
        <x:v>Năm 6</x:v>
      </x:c>
      <x:c r="J34" s="508" t="str">
        <x:v>Năm 7</x:v>
      </x:c>
      <x:c r="K34" s="508" t="str">
        <x:v>Năm 8</x:v>
      </x:c>
      <x:c r="L34" s="508" t="str">
        <x:v>Năm 9</x:v>
      </x:c>
      <x:c r="M34" s="508" t="str">
        <x:v>Năm 10</x:v>
      </x:c>
      <x:c r="N34" s="508" t="str">
        <x:v>Năm 11</x:v>
      </x:c>
      <x:c r="O34" s="508" t="str">
        <x:v>Năm 12</x:v>
      </x:c>
      <x:c r="P34" s="508" t="str">
        <x:v>Năm 13</x:v>
      </x:c>
      <x:c r="Q34" s="508" t="str">
        <x:v>Năm 14</x:v>
      </x:c>
      <x:c r="R34" s="508" t="str">
        <x:v>Năm 15</x:v>
      </x:c>
      <x:c r="S34" s="508" t="str">
        <x:v>Năm 16</x:v>
      </x:c>
      <x:c r="T34" s="508" t="str">
        <x:v>Năm 17</x:v>
      </x:c>
      <x:c r="U34" s="508" t="str">
        <x:v>Năm 18</x:v>
      </x:c>
      <x:c r="V34" s="508" t="str">
        <x:v>Năm 19</x:v>
      </x:c>
      <x:c r="W34" s="508" t="str">
        <x:v>Năm 20</x:v>
      </x:c>
      <x:c r="X34" s="508" t="str">
        <x:v>Năm 21</x:v>
      </x:c>
      <x:c r="Y34" s="508" t="str">
        <x:v>Năm 22</x:v>
      </x:c>
      <x:c r="Z34" s="508" t="str">
        <x:v>Năm 23</x:v>
      </x:c>
      <x:c r="AA34" s="508" t="str">
        <x:v>Năm 24</x:v>
      </x:c>
    </x:row>
    <x:row r="35">
      <x:c r="A35" s="473" t="str">
        <x:v>CF-01</x:v>
      </x:c>
      <x:c r="B35" s="472" t="str">
        <x:v>Năm mô hình</x:v>
      </x:c>
      <x:c r="C35" s="509" t="n">
        <x:v>0</x:v>
      </x:c>
      <x:c r="D35" s="509" t="n">
        <x:v>1</x:v>
      </x:c>
      <x:c r="E35" s="509" t="n">
        <x:v>2</x:v>
      </x:c>
      <x:c r="F35" s="509" t="n">
        <x:v>3</x:v>
      </x:c>
      <x:c r="G35" s="509" t="n">
        <x:v>4</x:v>
      </x:c>
      <x:c r="H35" s="509" t="n">
        <x:v>5</x:v>
      </x:c>
      <x:c r="I35" s="509" t="n">
        <x:v>6</x:v>
      </x:c>
      <x:c r="J35" s="509" t="n">
        <x:v>7</x:v>
      </x:c>
      <x:c r="K35" s="509" t="n">
        <x:v>8</x:v>
      </x:c>
      <x:c r="L35" s="509" t="n">
        <x:v>9</x:v>
      </x:c>
      <x:c r="M35" s="509" t="n">
        <x:v>10</x:v>
      </x:c>
      <x:c r="N35" s="509" t="n">
        <x:v>11</x:v>
      </x:c>
      <x:c r="O35" s="509" t="n">
        <x:v>12</x:v>
      </x:c>
      <x:c r="P35" s="509" t="n">
        <x:v>13</x:v>
      </x:c>
      <x:c r="Q35" s="509" t="n">
        <x:v>14</x:v>
      </x:c>
      <x:c r="R35" s="509" t="n">
        <x:v>15</x:v>
      </x:c>
      <x:c r="S35" s="509" t="n">
        <x:v>16</x:v>
      </x:c>
      <x:c r="T35" s="509" t="n">
        <x:v>17</x:v>
      </x:c>
      <x:c r="U35" s="509" t="n">
        <x:v>18</x:v>
      </x:c>
      <x:c r="V35" s="509" t="n">
        <x:v>19</x:v>
      </x:c>
      <x:c r="W35" s="509" t="n">
        <x:v>20</x:v>
      </x:c>
      <x:c r="X35" s="509" t="n">
        <x:v>21</x:v>
      </x:c>
      <x:c r="Y35" s="509" t="n">
        <x:v>22</x:v>
      </x:c>
      <x:c r="Z35" s="509" t="n">
        <x:v>23</x:v>
      </x:c>
      <x:c r="AA35" s="509" t="n">
        <x:v>24</x:v>
      </x:c>
    </x:row>
    <x:row r="36">
      <x:c r="A36" s="482" t="str">
        <x:v>CF-02</x:v>
      </x:c>
      <x:c r="B36" s="481" t="str">
        <x:v>Năm dương lịch</x:v>
      </x:c>
      <x:c r="C36" s="509" t="n">
        <x:f>$B$10+C35</x:f>
        <x:v>2025</x:v>
      </x:c>
      <x:c r="D36" s="509" t="n">
        <x:f>$B$10+D35</x:f>
        <x:v>2026</x:v>
      </x:c>
      <x:c r="E36" s="509" t="n">
        <x:f>$B$10+E35</x:f>
        <x:v>2027</x:v>
      </x:c>
      <x:c r="F36" s="509" t="n">
        <x:f>$B$10+F35</x:f>
        <x:v>2028</x:v>
      </x:c>
      <x:c r="G36" s="509" t="n">
        <x:f>$B$10+G35</x:f>
        <x:v>2029</x:v>
      </x:c>
      <x:c r="H36" s="509" t="n">
        <x:f>$B$10+H35</x:f>
        <x:v>2030</x:v>
      </x:c>
      <x:c r="I36" s="509" t="n">
        <x:f>$B$10+I35</x:f>
        <x:v>2031</x:v>
      </x:c>
      <x:c r="J36" s="509" t="n">
        <x:f>$B$10+J35</x:f>
        <x:v>2032</x:v>
      </x:c>
      <x:c r="K36" s="509" t="n">
        <x:f>$B$10+K35</x:f>
        <x:v>2033</x:v>
      </x:c>
      <x:c r="L36" s="509" t="n">
        <x:f>$B$10+L35</x:f>
        <x:v>2034</x:v>
      </x:c>
      <x:c r="M36" s="509" t="n">
        <x:f>$B$10+M35</x:f>
        <x:v>2035</x:v>
      </x:c>
      <x:c r="N36" s="509" t="n">
        <x:f>$B$10+N35</x:f>
        <x:v>2036</x:v>
      </x:c>
      <x:c r="O36" s="509" t="n">
        <x:f>$B$10+O35</x:f>
        <x:v>2037</x:v>
      </x:c>
      <x:c r="P36" s="509" t="n">
        <x:f>$B$10+P35</x:f>
        <x:v>2038</x:v>
      </x:c>
      <x:c r="Q36" s="509" t="n">
        <x:f>$B$10+Q35</x:f>
        <x:v>2039</x:v>
      </x:c>
      <x:c r="R36" s="509" t="n">
        <x:f>$B$10+R35</x:f>
        <x:v>2040</x:v>
      </x:c>
      <x:c r="S36" s="509" t="n">
        <x:f>$B$10+S35</x:f>
        <x:v>2041</x:v>
      </x:c>
      <x:c r="T36" s="509" t="n">
        <x:f>$B$10+T35</x:f>
        <x:v>2042</x:v>
      </x:c>
      <x:c r="U36" s="509" t="n">
        <x:f>$B$10+U35</x:f>
        <x:v>2043</x:v>
      </x:c>
      <x:c r="V36" s="509" t="n">
        <x:f>$B$10+V35</x:f>
        <x:v>2044</x:v>
      </x:c>
      <x:c r="W36" s="509" t="n">
        <x:f>$B$10+W35</x:f>
        <x:v>2045</x:v>
      </x:c>
      <x:c r="X36" s="509" t="n">
        <x:f>$B$10+X35</x:f>
        <x:v>2046</x:v>
      </x:c>
      <x:c r="Y36" s="509" t="n">
        <x:f>$B$10+Y35</x:f>
        <x:v>2047</x:v>
      </x:c>
      <x:c r="Z36" s="509" t="n">
        <x:f>$B$10+Z35</x:f>
        <x:v>2048</x:v>
      </x:c>
      <x:c r="AA36" s="509" t="n">
        <x:f>$B$10+AA35</x:f>
        <x:v>2049</x:v>
      </x:c>
    </x:row>
    <x:row r="37">
      <x:c r="A37" s="482" t="str">
        <x:v>CF-03</x:v>
      </x:c>
      <x:c r="B37" s="481" t="str">
        <x:v>Giai đoạn</x:v>
      </x:c>
      <x:c r="C37" s="510" t="str">
        <x:f>IF(C35&lt;$E$19,"Xây dựng",IF(C35&lt;$E$19+$B$12,"Vận hành","Sau dự án"))</x:f>
        <x:v>Xây dựng</x:v>
      </x:c>
      <x:c r="D37" s="510" t="str">
        <x:f>IF(D35&lt;$E$19,"Xây dựng",IF(D35&lt;$E$19+$B$12,"Vận hành","Sau dự án"))</x:f>
        <x:v>Xây dựng</x:v>
      </x:c>
      <x:c r="E37" s="510" t="str">
        <x:f>IF(E35&lt;$E$19,"Xây dựng",IF(E35&lt;$E$19+$B$12,"Vận hành","Sau dự án"))</x:f>
        <x:v>Vận hành</x:v>
      </x:c>
      <x:c r="F37" s="510" t="str">
        <x:f>IF(F35&lt;$E$19,"Xây dựng",IF(F35&lt;$E$19+$B$12,"Vận hành","Sau dự án"))</x:f>
        <x:v>Vận hành</x:v>
      </x:c>
      <x:c r="G37" s="510" t="str">
        <x:f>IF(G35&lt;$E$19,"Xây dựng",IF(G35&lt;$E$19+$B$12,"Vận hành","Sau dự án"))</x:f>
        <x:v>Vận hành</x:v>
      </x:c>
      <x:c r="H37" s="510" t="str">
        <x:f>IF(H35&lt;$E$19,"Xây dựng",IF(H35&lt;$E$19+$B$12,"Vận hành","Sau dự án"))</x:f>
        <x:v>Vận hành</x:v>
      </x:c>
      <x:c r="I37" s="510" t="str">
        <x:f>IF(I35&lt;$E$19,"Xây dựng",IF(I35&lt;$E$19+$B$12,"Vận hành","Sau dự án"))</x:f>
        <x:v>Vận hành</x:v>
      </x:c>
      <x:c r="J37" s="510" t="str">
        <x:f>IF(J35&lt;$E$19,"Xây dựng",IF(J35&lt;$E$19+$B$12,"Vận hành","Sau dự án"))</x:f>
        <x:v>Vận hành</x:v>
      </x:c>
      <x:c r="K37" s="510" t="str">
        <x:f>IF(K35&lt;$E$19,"Xây dựng",IF(K35&lt;$E$19+$B$12,"Vận hành","Sau dự án"))</x:f>
        <x:v>Vận hành</x:v>
      </x:c>
      <x:c r="L37" s="510" t="str">
        <x:f>IF(L35&lt;$E$19,"Xây dựng",IF(L35&lt;$E$19+$B$12,"Vận hành","Sau dự án"))</x:f>
        <x:v>Vận hành</x:v>
      </x:c>
      <x:c r="M37" s="510" t="str">
        <x:f>IF(M35&lt;$E$19,"Xây dựng",IF(M35&lt;$E$19+$B$12,"Vận hành","Sau dự án"))</x:f>
        <x:v>Vận hành</x:v>
      </x:c>
      <x:c r="N37" s="510" t="str">
        <x:f>IF(N35&lt;$E$19,"Xây dựng",IF(N35&lt;$E$19+$B$12,"Vận hành","Sau dự án"))</x:f>
        <x:v>Vận hành</x:v>
      </x:c>
      <x:c r="O37" s="510" t="str">
        <x:f>IF(O35&lt;$E$19,"Xây dựng",IF(O35&lt;$E$19+$B$12,"Vận hành","Sau dự án"))</x:f>
        <x:v>Vận hành</x:v>
      </x:c>
      <x:c r="P37" s="510" t="str">
        <x:f>IF(P35&lt;$E$19,"Xây dựng",IF(P35&lt;$E$19+$B$12,"Vận hành","Sau dự án"))</x:f>
        <x:v>Vận hành</x:v>
      </x:c>
      <x:c r="Q37" s="510" t="str">
        <x:f>IF(Q35&lt;$E$19,"Xây dựng",IF(Q35&lt;$E$19+$B$12,"Vận hành","Sau dự án"))</x:f>
        <x:v>Vận hành</x:v>
      </x:c>
      <x:c r="R37" s="510" t="str">
        <x:f>IF(R35&lt;$E$19,"Xây dựng",IF(R35&lt;$E$19+$B$12,"Vận hành","Sau dự án"))</x:f>
        <x:v>Vận hành</x:v>
      </x:c>
      <x:c r="S37" s="510" t="str">
        <x:f>IF(S35&lt;$E$19,"Xây dựng",IF(S35&lt;$E$19+$B$12,"Vận hành","Sau dự án"))</x:f>
        <x:v>Vận hành</x:v>
      </x:c>
      <x:c r="T37" s="510" t="str">
        <x:f>IF(T35&lt;$E$19,"Xây dựng",IF(T35&lt;$E$19+$B$12,"Vận hành","Sau dự án"))</x:f>
        <x:v>Vận hành</x:v>
      </x:c>
      <x:c r="U37" s="510" t="str">
        <x:f>IF(U35&lt;$E$19,"Xây dựng",IF(U35&lt;$E$19+$B$12,"Vận hành","Sau dự án"))</x:f>
        <x:v>Vận hành</x:v>
      </x:c>
      <x:c r="V37" s="510" t="str">
        <x:f>IF(V35&lt;$E$19,"Xây dựng",IF(V35&lt;$E$19+$B$12,"Vận hành","Sau dự án"))</x:f>
        <x:v>Vận hành</x:v>
      </x:c>
      <x:c r="W37" s="510" t="str">
        <x:f>IF(W35&lt;$E$19,"Xây dựng",IF(W35&lt;$E$19+$B$12,"Vận hành","Sau dự án"))</x:f>
        <x:v>Vận hành</x:v>
      </x:c>
      <x:c r="X37" s="510" t="str">
        <x:f>IF(X35&lt;$E$19,"Xây dựng",IF(X35&lt;$E$19+$B$12,"Vận hành","Sau dự án"))</x:f>
        <x:v>Vận hành</x:v>
      </x:c>
      <x:c r="Y37" s="510" t="str">
        <x:f>IF(Y35&lt;$E$19,"Xây dựng",IF(Y35&lt;$E$19+$B$12,"Vận hành","Sau dự án"))</x:f>
        <x:v>Sau dự án</x:v>
      </x:c>
      <x:c r="Z37" s="510" t="str">
        <x:f>IF(Z35&lt;$E$19,"Xây dựng",IF(Z35&lt;$E$19+$B$12,"Vận hành","Sau dự án"))</x:f>
        <x:v>Sau dự án</x:v>
      </x:c>
      <x:c r="AA37" s="510" t="str">
        <x:f>IF(AA35&lt;$E$19,"Xây dựng",IF(AA35&lt;$E$19+$B$12,"Vận hành","Sau dự án"))</x:f>
        <x:v>Sau dự án</x:v>
      </x:c>
    </x:row>
    <x:row r="38">
      <x:c r="A38" s="482" t="str">
        <x:v>CF-04</x:v>
      </x:c>
      <x:c r="B38" s="481" t="str">
        <x:v>Chi đầu tư</x:v>
      </x:c>
      <x:c r="C38" s="511" t="n">
        <x:f>IF(C35&lt;$E$19,-INDEX($B$23:$F$23,1,C35+1)*$E$6,0)</x:f>
        <x:v>-2232</x:v>
      </x:c>
      <x:c r="D38" s="511" t="n">
        <x:f>IF(D35&lt;$E$19,-INDEX($B$23:$F$23,1,D35+1)*$E$6,0)</x:f>
        <x:v>-3348</x:v>
      </x:c>
      <x:c r="E38" s="511" t="n">
        <x:f>IF(E35&lt;$E$19,-INDEX($B$23:$F$23,1,E35+1)*$E$6,0)</x:f>
        <x:v>0</x:v>
      </x:c>
      <x:c r="F38" s="511" t="n">
        <x:f>IF(F35&lt;$E$19,-INDEX($B$23:$F$23,1,F35+1)*$E$6,0)</x:f>
        <x:v>0</x:v>
      </x:c>
      <x:c r="G38" s="511" t="n">
        <x:f>IF(G35&lt;$E$19,-INDEX($B$23:$F$23,1,G35+1)*$E$6,0)</x:f>
        <x:v>0</x:v>
      </x:c>
      <x:c r="H38" s="511" t="n">
        <x:f>IF(H35&lt;$E$19,-INDEX($B$23:$F$23,1,H35+1)*$E$6,0)</x:f>
        <x:v>0</x:v>
      </x:c>
      <x:c r="I38" s="511" t="n">
        <x:f>IF(I35&lt;$E$19,-INDEX($B$23:$F$23,1,I35+1)*$E$6,0)</x:f>
        <x:v>0</x:v>
      </x:c>
      <x:c r="J38" s="511" t="n">
        <x:f>IF(J35&lt;$E$19,-INDEX($B$23:$F$23,1,J35+1)*$E$6,0)</x:f>
        <x:v>0</x:v>
      </x:c>
      <x:c r="K38" s="511" t="n">
        <x:f>IF(K35&lt;$E$19,-INDEX($B$23:$F$23,1,K35+1)*$E$6,0)</x:f>
        <x:v>0</x:v>
      </x:c>
      <x:c r="L38" s="511" t="n">
        <x:f>IF(L35&lt;$E$19,-INDEX($B$23:$F$23,1,L35+1)*$E$6,0)</x:f>
        <x:v>0</x:v>
      </x:c>
      <x:c r="M38" s="511" t="n">
        <x:f>IF(M35&lt;$E$19,-INDEX($B$23:$F$23,1,M35+1)*$E$6,0)</x:f>
        <x:v>0</x:v>
      </x:c>
      <x:c r="N38" s="511" t="n">
        <x:f>IF(N35&lt;$E$19,-INDEX($B$23:$F$23,1,N35+1)*$E$6,0)</x:f>
        <x:v>0</x:v>
      </x:c>
      <x:c r="O38" s="511" t="n">
        <x:f>IF(O35&lt;$E$19,-INDEX($B$23:$F$23,1,O35+1)*$E$6,0)</x:f>
        <x:v>0</x:v>
      </x:c>
      <x:c r="P38" s="511" t="n">
        <x:f>IF(P35&lt;$E$19,-INDEX($B$23:$F$23,1,P35+1)*$E$6,0)</x:f>
        <x:v>0</x:v>
      </x:c>
      <x:c r="Q38" s="511" t="n">
        <x:f>IF(Q35&lt;$E$19,-INDEX($B$23:$F$23,1,Q35+1)*$E$6,0)</x:f>
        <x:v>0</x:v>
      </x:c>
      <x:c r="R38" s="511" t="n">
        <x:f>IF(R35&lt;$E$19,-INDEX($B$23:$F$23,1,R35+1)*$E$6,0)</x:f>
        <x:v>0</x:v>
      </x:c>
      <x:c r="S38" s="511" t="n">
        <x:f>IF(S35&lt;$E$19,-INDEX($B$23:$F$23,1,S35+1)*$E$6,0)</x:f>
        <x:v>0</x:v>
      </x:c>
      <x:c r="T38" s="511" t="n">
        <x:f>IF(T35&lt;$E$19,-INDEX($B$23:$F$23,1,T35+1)*$E$6,0)</x:f>
        <x:v>0</x:v>
      </x:c>
      <x:c r="U38" s="511" t="n">
        <x:f>IF(U35&lt;$E$19,-INDEX($B$23:$F$23,1,U35+1)*$E$6,0)</x:f>
        <x:v>0</x:v>
      </x:c>
      <x:c r="V38" s="511" t="n">
        <x:f>IF(V35&lt;$E$19,-INDEX($B$23:$F$23,1,V35+1)*$E$6,0)</x:f>
        <x:v>0</x:v>
      </x:c>
      <x:c r="W38" s="511" t="n">
        <x:f>IF(W35&lt;$E$19,-INDEX($B$23:$F$23,1,W35+1)*$E$6,0)</x:f>
        <x:v>0</x:v>
      </x:c>
      <x:c r="X38" s="511" t="n">
        <x:f>IF(X35&lt;$E$19,-INDEX($B$23:$F$23,1,X35+1)*$E$6,0)</x:f>
        <x:v>0</x:v>
      </x:c>
      <x:c r="Y38" s="511" t="n">
        <x:f>IF(Y35&lt;$E$19,-INDEX($B$23:$F$23,1,Y35+1)*$E$6,0)</x:f>
        <x:v>0</x:v>
      </x:c>
      <x:c r="Z38" s="511" t="n">
        <x:f>IF(Z35&lt;$E$19,-INDEX($B$23:$F$23,1,Z35+1)*$E$6,0)</x:f>
        <x:v>0</x:v>
      </x:c>
      <x:c r="AA38" s="511" t="n">
        <x:f>IF(AA35&lt;$E$19,-INDEX($B$23:$F$23,1,AA35+1)*$E$6,0)</x:f>
        <x:v>0</x:v>
      </x:c>
    </x:row>
    <x:row r="39">
      <x:c r="A39" s="482" t="str">
        <x:v>CF-05</x:v>
      </x:c>
      <x:c r="B39" s="481" t="str">
        <x:v>AEP tại điểm giao nhận</x:v>
      </x:c>
      <x:c r="C39" s="512" t="n">
        <x:f>IF(AND(C35&gt;=$E$19,C35&lt;$E$19+$B$12),$B$13*(1-$B$14)^(C35-$E$19),0)</x:f>
        <x:v>0</x:v>
      </x:c>
      <x:c r="D39" s="512" t="n">
        <x:f>IF(AND(D35&gt;=$E$19,D35&lt;$E$19+$B$12),$B$13*(1-$B$14)^(D35-$E$19),0)</x:f>
        <x:v>0</x:v>
      </x:c>
      <x:c r="E39" s="512" t="n">
        <x:f>IF(AND(E35&gt;=$E$19,E35&lt;$E$19+$B$12),$B$13*(1-$B$14)^(E35-$E$19),0)</x:f>
        <x:v>473040</x:v>
      </x:c>
      <x:c r="F39" s="512" t="n">
        <x:f>IF(AND(F35&gt;=$E$19,F35&lt;$E$19+$B$12),$B$13*(1-$B$14)^(F35-$E$19),0)</x:f>
        <x:v>473040</x:v>
      </x:c>
      <x:c r="G39" s="512" t="n">
        <x:f>IF(AND(G35&gt;=$E$19,G35&lt;$E$19+$B$12),$B$13*(1-$B$14)^(G35-$E$19),0)</x:f>
        <x:v>473040</x:v>
      </x:c>
      <x:c r="H39" s="512" t="n">
        <x:f>IF(AND(H35&gt;=$E$19,H35&lt;$E$19+$B$12),$B$13*(1-$B$14)^(H35-$E$19),0)</x:f>
        <x:v>473040</x:v>
      </x:c>
      <x:c r="I39" s="512" t="n">
        <x:f>IF(AND(I35&gt;=$E$19,I35&lt;$E$19+$B$12),$B$13*(1-$B$14)^(I35-$E$19),0)</x:f>
        <x:v>473040</x:v>
      </x:c>
      <x:c r="J39" s="512" t="n">
        <x:f>IF(AND(J35&gt;=$E$19,J35&lt;$E$19+$B$12),$B$13*(1-$B$14)^(J35-$E$19),0)</x:f>
        <x:v>473040</x:v>
      </x:c>
      <x:c r="K39" s="512" t="n">
        <x:f>IF(AND(K35&gt;=$E$19,K35&lt;$E$19+$B$12),$B$13*(1-$B$14)^(K35-$E$19),0)</x:f>
        <x:v>473040</x:v>
      </x:c>
      <x:c r="L39" s="512" t="n">
        <x:f>IF(AND(L35&gt;=$E$19,L35&lt;$E$19+$B$12),$B$13*(1-$B$14)^(L35-$E$19),0)</x:f>
        <x:v>473040</x:v>
      </x:c>
      <x:c r="M39" s="512" t="n">
        <x:f>IF(AND(M35&gt;=$E$19,M35&lt;$E$19+$B$12),$B$13*(1-$B$14)^(M35-$E$19),0)</x:f>
        <x:v>473040</x:v>
      </x:c>
      <x:c r="N39" s="512" t="n">
        <x:f>IF(AND(N35&gt;=$E$19,N35&lt;$E$19+$B$12),$B$13*(1-$B$14)^(N35-$E$19),0)</x:f>
        <x:v>473040</x:v>
      </x:c>
      <x:c r="O39" s="512" t="n">
        <x:f>IF(AND(O35&gt;=$E$19,O35&lt;$E$19+$B$12),$B$13*(1-$B$14)^(O35-$E$19),0)</x:f>
        <x:v>473040</x:v>
      </x:c>
      <x:c r="P39" s="512" t="n">
        <x:f>IF(AND(P35&gt;=$E$19,P35&lt;$E$19+$B$12),$B$13*(1-$B$14)^(P35-$E$19),0)</x:f>
        <x:v>473040</x:v>
      </x:c>
      <x:c r="Q39" s="512" t="n">
        <x:f>IF(AND(Q35&gt;=$E$19,Q35&lt;$E$19+$B$12),$B$13*(1-$B$14)^(Q35-$E$19),0)</x:f>
        <x:v>473040</x:v>
      </x:c>
      <x:c r="R39" s="512" t="n">
        <x:f>IF(AND(R35&gt;=$E$19,R35&lt;$E$19+$B$12),$B$13*(1-$B$14)^(R35-$E$19),0)</x:f>
        <x:v>473040</x:v>
      </x:c>
      <x:c r="S39" s="512" t="n">
        <x:f>IF(AND(S35&gt;=$E$19,S35&lt;$E$19+$B$12),$B$13*(1-$B$14)^(S35-$E$19),0)</x:f>
        <x:v>473040</x:v>
      </x:c>
      <x:c r="T39" s="512" t="n">
        <x:f>IF(AND(T35&gt;=$E$19,T35&lt;$E$19+$B$12),$B$13*(1-$B$14)^(T35-$E$19),0)</x:f>
        <x:v>473040</x:v>
      </x:c>
      <x:c r="U39" s="512" t="n">
        <x:f>IF(AND(U35&gt;=$E$19,U35&lt;$E$19+$B$12),$B$13*(1-$B$14)^(U35-$E$19),0)</x:f>
        <x:v>473040</x:v>
      </x:c>
      <x:c r="V39" s="512" t="n">
        <x:f>IF(AND(V35&gt;=$E$19,V35&lt;$E$19+$B$12),$B$13*(1-$B$14)^(V35-$E$19),0)</x:f>
        <x:v>473040</x:v>
      </x:c>
      <x:c r="W39" s="512" t="n">
        <x:f>IF(AND(W35&gt;=$E$19,W35&lt;$E$19+$B$12),$B$13*(1-$B$14)^(W35-$E$19),0)</x:f>
        <x:v>473040</x:v>
      </x:c>
      <x:c r="X39" s="512" t="n">
        <x:f>IF(AND(X35&gt;=$E$19,X35&lt;$E$19+$B$12),$B$13*(1-$B$14)^(X35-$E$19),0)</x:f>
        <x:v>473040</x:v>
      </x:c>
      <x:c r="Y39" s="512" t="n">
        <x:f>IF(AND(Y35&gt;=$E$19,Y35&lt;$E$19+$B$12),$B$13*(1-$B$14)^(Y35-$E$19),0)</x:f>
        <x:v>0</x:v>
      </x:c>
      <x:c r="Z39" s="512" t="n">
        <x:f>IF(AND(Z35&gt;=$E$19,Z35&lt;$E$19+$B$12),$B$13*(1-$B$14)^(Z35-$E$19),0)</x:f>
        <x:v>0</x:v>
      </x:c>
      <x:c r="AA39" s="512" t="n">
        <x:f>IF(AND(AA35&gt;=$E$19,AA35&lt;$E$19+$B$12),$B$13*(1-$B$14)^(AA35-$E$19),0)</x:f>
        <x:v>0</x:v>
      </x:c>
    </x:row>
    <x:row r="40">
      <x:c r="A40" s="482" t="str">
        <x:v>CF-06</x:v>
      </x:c>
      <x:c r="B40" s="481" t="str">
        <x:v>Doanh thu thành phần FC</x:v>
      </x:c>
      <x:c r="C40" s="511" t="n">
        <x:f>$I$6*C39/1000000</x:f>
        <x:v>0</x:v>
      </x:c>
      <x:c r="D40" s="511" t="n">
        <x:f>$I$6*D39/1000000</x:f>
        <x:v>0</x:v>
      </x:c>
      <x:c r="E40" s="511" t="n">
        <x:f>$I$6*E39/1000000</x:f>
        <x:v>806.9143090724945</x:v>
      </x:c>
      <x:c r="F40" s="511" t="n">
        <x:f>$I$6*F39/1000000</x:f>
        <x:v>806.9143090724945</x:v>
      </x:c>
      <x:c r="G40" s="511" t="n">
        <x:f>$I$6*G39/1000000</x:f>
        <x:v>806.9143090724945</x:v>
      </x:c>
      <x:c r="H40" s="511" t="n">
        <x:f>$I$6*H39/1000000</x:f>
        <x:v>806.9143090724945</x:v>
      </x:c>
      <x:c r="I40" s="511" t="n">
        <x:f>$I$6*I39/1000000</x:f>
        <x:v>806.9143090724945</x:v>
      </x:c>
      <x:c r="J40" s="511" t="n">
        <x:f>$I$6*J39/1000000</x:f>
        <x:v>806.9143090724945</x:v>
      </x:c>
      <x:c r="K40" s="511" t="n">
        <x:f>$I$6*K39/1000000</x:f>
        <x:v>806.9143090724945</x:v>
      </x:c>
      <x:c r="L40" s="511" t="n">
        <x:f>$I$6*L39/1000000</x:f>
        <x:v>806.9143090724945</x:v>
      </x:c>
      <x:c r="M40" s="511" t="n">
        <x:f>$I$6*M39/1000000</x:f>
        <x:v>806.9143090724945</x:v>
      </x:c>
      <x:c r="N40" s="511" t="n">
        <x:f>$I$6*N39/1000000</x:f>
        <x:v>806.9143090724945</x:v>
      </x:c>
      <x:c r="O40" s="511" t="n">
        <x:f>$I$6*O39/1000000</x:f>
        <x:v>806.9143090724945</x:v>
      </x:c>
      <x:c r="P40" s="511" t="n">
        <x:f>$I$6*P39/1000000</x:f>
        <x:v>806.9143090724945</x:v>
      </x:c>
      <x:c r="Q40" s="511" t="n">
        <x:f>$I$6*Q39/1000000</x:f>
        <x:v>806.9143090724945</x:v>
      </x:c>
      <x:c r="R40" s="511" t="n">
        <x:f>$I$6*R39/1000000</x:f>
        <x:v>806.9143090724945</x:v>
      </x:c>
      <x:c r="S40" s="511" t="n">
        <x:f>$I$6*S39/1000000</x:f>
        <x:v>806.9143090724945</x:v>
      </x:c>
      <x:c r="T40" s="511" t="n">
        <x:f>$I$6*T39/1000000</x:f>
        <x:v>806.9143090724945</x:v>
      </x:c>
      <x:c r="U40" s="511" t="n">
        <x:f>$I$6*U39/1000000</x:f>
        <x:v>806.9143090724945</x:v>
      </x:c>
      <x:c r="V40" s="511" t="n">
        <x:f>$I$6*V39/1000000</x:f>
        <x:v>806.9143090724945</x:v>
      </x:c>
      <x:c r="W40" s="511" t="n">
        <x:f>$I$6*W39/1000000</x:f>
        <x:v>806.9143090724945</x:v>
      </x:c>
      <x:c r="X40" s="511" t="n">
        <x:f>$I$6*X39/1000000</x:f>
        <x:v>806.9143090724945</x:v>
      </x:c>
      <x:c r="Y40" s="511" t="n">
        <x:f>$I$6*Y39/1000000</x:f>
        <x:v>0</x:v>
      </x:c>
      <x:c r="Z40" s="511" t="n">
        <x:f>$I$6*Z39/1000000</x:f>
        <x:v>0</x:v>
      </x:c>
      <x:c r="AA40" s="511" t="n">
        <x:f>$I$6*AA39/1000000</x:f>
        <x:v>0</x:v>
      </x:c>
    </x:row>
    <x:row r="41">
      <x:c r="A41" s="482" t="str">
        <x:v>CF-07</x:v>
      </x:c>
      <x:c r="B41" s="481" t="str">
        <x:v>Khấu hao</x:v>
      </x:c>
      <x:c r="C41" s="511" t="n">
        <x:f>IF(C39&gt;0,$E$6/$E$18,0)</x:f>
        <x:v>0</x:v>
      </x:c>
      <x:c r="D41" s="511" t="n">
        <x:f>IF(D39&gt;0,$E$6/$E$18,0)</x:f>
        <x:v>0</x:v>
      </x:c>
      <x:c r="E41" s="511" t="n">
        <x:f>IF(E39&gt;0,$E$6/$E$18,0)</x:f>
        <x:v>279</x:v>
      </x:c>
      <x:c r="F41" s="511" t="n">
        <x:f>IF(F39&gt;0,$E$6/$E$18,0)</x:f>
        <x:v>279</x:v>
      </x:c>
      <x:c r="G41" s="511" t="n">
        <x:f>IF(G39&gt;0,$E$6/$E$18,0)</x:f>
        <x:v>279</x:v>
      </x:c>
      <x:c r="H41" s="511" t="n">
        <x:f>IF(H39&gt;0,$E$6/$E$18,0)</x:f>
        <x:v>279</x:v>
      </x:c>
      <x:c r="I41" s="511" t="n">
        <x:f>IF(I39&gt;0,$E$6/$E$18,0)</x:f>
        <x:v>279</x:v>
      </x:c>
      <x:c r="J41" s="511" t="n">
        <x:f>IF(J39&gt;0,$E$6/$E$18,0)</x:f>
        <x:v>279</x:v>
      </x:c>
      <x:c r="K41" s="511" t="n">
        <x:f>IF(K39&gt;0,$E$6/$E$18,0)</x:f>
        <x:v>279</x:v>
      </x:c>
      <x:c r="L41" s="511" t="n">
        <x:f>IF(L39&gt;0,$E$6/$E$18,0)</x:f>
        <x:v>279</x:v>
      </x:c>
      <x:c r="M41" s="511" t="n">
        <x:f>IF(M39&gt;0,$E$6/$E$18,0)</x:f>
        <x:v>279</x:v>
      </x:c>
      <x:c r="N41" s="511" t="n">
        <x:f>IF(N39&gt;0,$E$6/$E$18,0)</x:f>
        <x:v>279</x:v>
      </x:c>
      <x:c r="O41" s="511" t="n">
        <x:f>IF(O39&gt;0,$E$6/$E$18,0)</x:f>
        <x:v>279</x:v>
      </x:c>
      <x:c r="P41" s="511" t="n">
        <x:f>IF(P39&gt;0,$E$6/$E$18,0)</x:f>
        <x:v>279</x:v>
      </x:c>
      <x:c r="Q41" s="511" t="n">
        <x:f>IF(Q39&gt;0,$E$6/$E$18,0)</x:f>
        <x:v>279</x:v>
      </x:c>
      <x:c r="R41" s="511" t="n">
        <x:f>IF(R39&gt;0,$E$6/$E$18,0)</x:f>
        <x:v>279</x:v>
      </x:c>
      <x:c r="S41" s="511" t="n">
        <x:f>IF(S39&gt;0,$E$6/$E$18,0)</x:f>
        <x:v>279</x:v>
      </x:c>
      <x:c r="T41" s="511" t="n">
        <x:f>IF(T39&gt;0,$E$6/$E$18,0)</x:f>
        <x:v>279</x:v>
      </x:c>
      <x:c r="U41" s="511" t="n">
        <x:f>IF(U39&gt;0,$E$6/$E$18,0)</x:f>
        <x:v>279</x:v>
      </x:c>
      <x:c r="V41" s="511" t="n">
        <x:f>IF(V39&gt;0,$E$6/$E$18,0)</x:f>
        <x:v>279</x:v>
      </x:c>
      <x:c r="W41" s="511" t="n">
        <x:f>IF(W39&gt;0,$E$6/$E$18,0)</x:f>
        <x:v>279</x:v>
      </x:c>
      <x:c r="X41" s="511" t="n">
        <x:f>IF(X39&gt;0,$E$6/$E$18,0)</x:f>
        <x:v>279</x:v>
      </x:c>
      <x:c r="Y41" s="511" t="n">
        <x:f>IF(Y39&gt;0,$E$6/$E$18,0)</x:f>
        <x:v>0</x:v>
      </x:c>
      <x:c r="Z41" s="511" t="n">
        <x:f>IF(Z39&gt;0,$E$6/$E$18,0)</x:f>
        <x:v>0</x:v>
      </x:c>
      <x:c r="AA41" s="511" t="n">
        <x:f>IF(AA39&gt;0,$E$6/$E$18,0)</x:f>
        <x:v>0</x:v>
      </x:c>
    </x:row>
    <x:row r="42">
      <x:c r="A42" s="482" t="str">
        <x:v>CF-08</x:v>
      </x:c>
      <x:c r="B42" s="481" t="str">
        <x:v>Lợi nhuận tính thuế</x:v>
      </x:c>
      <x:c r="C42" s="511" t="n">
        <x:f>C40-C41</x:f>
        <x:v>0</x:v>
      </x:c>
      <x:c r="D42" s="511" t="n">
        <x:f>D40-D41</x:f>
        <x:v>0</x:v>
      </x:c>
      <x:c r="E42" s="511" t="n">
        <x:f>E40-E41</x:f>
        <x:v>527.9143090724945</x:v>
      </x:c>
      <x:c r="F42" s="511" t="n">
        <x:f>F40-F41</x:f>
        <x:v>527.9143090724945</x:v>
      </x:c>
      <x:c r="G42" s="511" t="n">
        <x:f>G40-G41</x:f>
        <x:v>527.9143090724945</x:v>
      </x:c>
      <x:c r="H42" s="511" t="n">
        <x:f>H40-H41</x:f>
        <x:v>527.9143090724945</x:v>
      </x:c>
      <x:c r="I42" s="511" t="n">
        <x:f>I40-I41</x:f>
        <x:v>527.9143090724945</x:v>
      </x:c>
      <x:c r="J42" s="511" t="n">
        <x:f>J40-J41</x:f>
        <x:v>527.9143090724945</x:v>
      </x:c>
      <x:c r="K42" s="511" t="n">
        <x:f>K40-K41</x:f>
        <x:v>527.9143090724945</x:v>
      </x:c>
      <x:c r="L42" s="511" t="n">
        <x:f>L40-L41</x:f>
        <x:v>527.9143090724945</x:v>
      </x:c>
      <x:c r="M42" s="511" t="n">
        <x:f>M40-M41</x:f>
        <x:v>527.9143090724945</x:v>
      </x:c>
      <x:c r="N42" s="511" t="n">
        <x:f>N40-N41</x:f>
        <x:v>527.9143090724945</x:v>
      </x:c>
      <x:c r="O42" s="511" t="n">
        <x:f>O40-O41</x:f>
        <x:v>527.9143090724945</x:v>
      </x:c>
      <x:c r="P42" s="511" t="n">
        <x:f>P40-P41</x:f>
        <x:v>527.9143090724945</x:v>
      </x:c>
      <x:c r="Q42" s="511" t="n">
        <x:f>Q40-Q41</x:f>
        <x:v>527.9143090724945</x:v>
      </x:c>
      <x:c r="R42" s="511" t="n">
        <x:f>R40-R41</x:f>
        <x:v>527.9143090724945</x:v>
      </x:c>
      <x:c r="S42" s="511" t="n">
        <x:f>S40-S41</x:f>
        <x:v>527.9143090724945</x:v>
      </x:c>
      <x:c r="T42" s="511" t="n">
        <x:f>T40-T41</x:f>
        <x:v>527.9143090724945</x:v>
      </x:c>
      <x:c r="U42" s="511" t="n">
        <x:f>U40-U41</x:f>
        <x:v>527.9143090724945</x:v>
      </x:c>
      <x:c r="V42" s="511" t="n">
        <x:f>V40-V41</x:f>
        <x:v>527.9143090724945</x:v>
      </x:c>
      <x:c r="W42" s="511" t="n">
        <x:f>W40-W41</x:f>
        <x:v>527.9143090724945</x:v>
      </x:c>
      <x:c r="X42" s="511" t="n">
        <x:f>X40-X41</x:f>
        <x:v>527.9143090724945</x:v>
      </x:c>
      <x:c r="Y42" s="511" t="n">
        <x:f>Y40-Y41</x:f>
        <x:v>0</x:v>
      </x:c>
      <x:c r="Z42" s="511" t="n">
        <x:f>Z40-Z41</x:f>
        <x:v>0</x:v>
      </x:c>
      <x:c r="AA42" s="511" t="n">
        <x:f>AA40-AA41</x:f>
        <x:v>0</x:v>
      </x:c>
    </x:row>
    <x:row r="43">
      <x:c r="A43" s="482" t="str">
        <x:v>CF-09</x:v>
      </x:c>
      <x:c r="B43" s="481" t="str">
        <x:v>Thuế suất hiệu dụng</x:v>
      </x:c>
      <x:c r="C43" s="513" t="n">
        <x:f>IF(C39=0,0,IF(C35-$E$19+1&lt;=$E$16,0,IF(C35-$E$19+1&lt;=$E$16+$E$17,$E$14*0.5,IF(C35-$E$19+1&lt;=$E$15,$E$14,$E$13))))</x:f>
        <x:v>0</x:v>
      </x:c>
      <x:c r="D43" s="513" t="n">
        <x:f>IF(D39=0,0,IF(D35-$E$19+1&lt;=$E$16,0,IF(D35-$E$19+1&lt;=$E$16+$E$17,$E$14*0.5,IF(D35-$E$19+1&lt;=$E$15,$E$14,$E$13))))</x:f>
        <x:v>0</x:v>
      </x:c>
      <x:c r="E43" s="513" t="n">
        <x:f>IF(E39=0,0,IF(E35-$E$19+1&lt;=$E$16,0,IF(E35-$E$19+1&lt;=$E$16+$E$17,$E$14*0.5,IF(E35-$E$19+1&lt;=$E$15,$E$14,$E$13))))</x:f>
        <x:v>0</x:v>
      </x:c>
      <x:c r="F43" s="513" t="n">
        <x:f>IF(F39=0,0,IF(F35-$E$19+1&lt;=$E$16,0,IF(F35-$E$19+1&lt;=$E$16+$E$17,$E$14*0.5,IF(F35-$E$19+1&lt;=$E$15,$E$14,$E$13))))</x:f>
        <x:v>0</x:v>
      </x:c>
      <x:c r="G43" s="513" t="n">
        <x:f>IF(G39=0,0,IF(G35-$E$19+1&lt;=$E$16,0,IF(G35-$E$19+1&lt;=$E$16+$E$17,$E$14*0.5,IF(G35-$E$19+1&lt;=$E$15,$E$14,$E$13))))</x:f>
        <x:v>0</x:v>
      </x:c>
      <x:c r="H43" s="513" t="n">
        <x:f>IF(H39=0,0,IF(H35-$E$19+1&lt;=$E$16,0,IF(H35-$E$19+1&lt;=$E$16+$E$17,$E$14*0.5,IF(H35-$E$19+1&lt;=$E$15,$E$14,$E$13))))</x:f>
        <x:v>0</x:v>
      </x:c>
      <x:c r="I43" s="513" t="n">
        <x:f>IF(I39=0,0,IF(I35-$E$19+1&lt;=$E$16,0,IF(I35-$E$19+1&lt;=$E$16+$E$17,$E$14*0.5,IF(I35-$E$19+1&lt;=$E$15,$E$14,$E$13))))</x:f>
        <x:v>0.05</x:v>
      </x:c>
      <x:c r="J43" s="513" t="n">
        <x:f>IF(J39=0,0,IF(J35-$E$19+1&lt;=$E$16,0,IF(J35-$E$19+1&lt;=$E$16+$E$17,$E$14*0.5,IF(J35-$E$19+1&lt;=$E$15,$E$14,$E$13))))</x:f>
        <x:v>0.05</x:v>
      </x:c>
      <x:c r="K43" s="513" t="n">
        <x:f>IF(K39=0,0,IF(K35-$E$19+1&lt;=$E$16,0,IF(K35-$E$19+1&lt;=$E$16+$E$17,$E$14*0.5,IF(K35-$E$19+1&lt;=$E$15,$E$14,$E$13))))</x:f>
        <x:v>0.05</x:v>
      </x:c>
      <x:c r="L43" s="513" t="n">
        <x:f>IF(L39=0,0,IF(L35-$E$19+1&lt;=$E$16,0,IF(L35-$E$19+1&lt;=$E$16+$E$17,$E$14*0.5,IF(L35-$E$19+1&lt;=$E$15,$E$14,$E$13))))</x:f>
        <x:v>0.05</x:v>
      </x:c>
      <x:c r="M43" s="513" t="n">
        <x:f>IF(M39=0,0,IF(M35-$E$19+1&lt;=$E$16,0,IF(M35-$E$19+1&lt;=$E$16+$E$17,$E$14*0.5,IF(M35-$E$19+1&lt;=$E$15,$E$14,$E$13))))</x:f>
        <x:v>0.05</x:v>
      </x:c>
      <x:c r="N43" s="513" t="n">
        <x:f>IF(N39=0,0,IF(N35-$E$19+1&lt;=$E$16,0,IF(N35-$E$19+1&lt;=$E$16+$E$17,$E$14*0.5,IF(N35-$E$19+1&lt;=$E$15,$E$14,$E$13))))</x:f>
        <x:v>0.05</x:v>
      </x:c>
      <x:c r="O43" s="513" t="n">
        <x:f>IF(O39=0,0,IF(O35-$E$19+1&lt;=$E$16,0,IF(O35-$E$19+1&lt;=$E$16+$E$17,$E$14*0.5,IF(O35-$E$19+1&lt;=$E$15,$E$14,$E$13))))</x:f>
        <x:v>0.05</x:v>
      </x:c>
      <x:c r="P43" s="513" t="n">
        <x:f>IF(P39=0,0,IF(P35-$E$19+1&lt;=$E$16,0,IF(P35-$E$19+1&lt;=$E$16+$E$17,$E$14*0.5,IF(P35-$E$19+1&lt;=$E$15,$E$14,$E$13))))</x:f>
        <x:v>0.05</x:v>
      </x:c>
      <x:c r="Q43" s="513" t="n">
        <x:f>IF(Q39=0,0,IF(Q35-$E$19+1&lt;=$E$16,0,IF(Q35-$E$19+1&lt;=$E$16+$E$17,$E$14*0.5,IF(Q35-$E$19+1&lt;=$E$15,$E$14,$E$13))))</x:f>
        <x:v>0.05</x:v>
      </x:c>
      <x:c r="R43" s="513" t="n">
        <x:f>IF(R39=0,0,IF(R35-$E$19+1&lt;=$E$16,0,IF(R35-$E$19+1&lt;=$E$16+$E$17,$E$14*0.5,IF(R35-$E$19+1&lt;=$E$15,$E$14,$E$13))))</x:f>
        <x:v>0.1</x:v>
      </x:c>
      <x:c r="S43" s="513" t="n">
        <x:f>IF(S39=0,0,IF(S35-$E$19+1&lt;=$E$16,0,IF(S35-$E$19+1&lt;=$E$16+$E$17,$E$14*0.5,IF(S35-$E$19+1&lt;=$E$15,$E$14,$E$13))))</x:f>
        <x:v>0.1</x:v>
      </x:c>
      <x:c r="T43" s="513" t="n">
        <x:f>IF(T39=0,0,IF(T35-$E$19+1&lt;=$E$16,0,IF(T35-$E$19+1&lt;=$E$16+$E$17,$E$14*0.5,IF(T35-$E$19+1&lt;=$E$15,$E$14,$E$13))))</x:f>
        <x:v>0.2</x:v>
      </x:c>
      <x:c r="U43" s="513" t="n">
        <x:f>IF(U39=0,0,IF(U35-$E$19+1&lt;=$E$16,0,IF(U35-$E$19+1&lt;=$E$16+$E$17,$E$14*0.5,IF(U35-$E$19+1&lt;=$E$15,$E$14,$E$13))))</x:f>
        <x:v>0.2</x:v>
      </x:c>
      <x:c r="V43" s="513" t="n">
        <x:f>IF(V39=0,0,IF(V35-$E$19+1&lt;=$E$16,0,IF(V35-$E$19+1&lt;=$E$16+$E$17,$E$14*0.5,IF(V35-$E$19+1&lt;=$E$15,$E$14,$E$13))))</x:f>
        <x:v>0.2</x:v>
      </x:c>
      <x:c r="W43" s="513" t="n">
        <x:f>IF(W39=0,0,IF(W35-$E$19+1&lt;=$E$16,0,IF(W35-$E$19+1&lt;=$E$16+$E$17,$E$14*0.5,IF(W35-$E$19+1&lt;=$E$15,$E$14,$E$13))))</x:f>
        <x:v>0.2</x:v>
      </x:c>
      <x:c r="X43" s="513" t="n">
        <x:f>IF(X39=0,0,IF(X35-$E$19+1&lt;=$E$16,0,IF(X35-$E$19+1&lt;=$E$16+$E$17,$E$14*0.5,IF(X35-$E$19+1&lt;=$E$15,$E$14,$E$13))))</x:f>
        <x:v>0.2</x:v>
      </x:c>
      <x:c r="Y43" s="513" t="n">
        <x:f>IF(Y39=0,0,IF(Y35-$E$19+1&lt;=$E$16,0,IF(Y35-$E$19+1&lt;=$E$16+$E$17,$E$14*0.5,IF(Y35-$E$19+1&lt;=$E$15,$E$14,$E$13))))</x:f>
        <x:v>0</x:v>
      </x:c>
      <x:c r="Z43" s="513" t="n">
        <x:f>IF(Z39=0,0,IF(Z35-$E$19+1&lt;=$E$16,0,IF(Z35-$E$19+1&lt;=$E$16+$E$17,$E$14*0.5,IF(Z35-$E$19+1&lt;=$E$15,$E$14,$E$13))))</x:f>
        <x:v>0</x:v>
      </x:c>
      <x:c r="AA43" s="513" t="n">
        <x:f>IF(AA39=0,0,IF(AA35-$E$19+1&lt;=$E$16,0,IF(AA35-$E$19+1&lt;=$E$16+$E$17,$E$14*0.5,IF(AA35-$E$19+1&lt;=$E$15,$E$14,$E$13))))</x:f>
        <x:v>0</x:v>
      </x:c>
    </x:row>
    <x:row r="44">
      <x:c r="A44" s="482" t="str">
        <x:v>CF-10</x:v>
      </x:c>
      <x:c r="B44" s="481" t="str">
        <x:v>Thuế TNDN</x:v>
      </x:c>
      <x:c r="C44" s="511" t="n">
        <x:f>MAX(C42,0)*C43</x:f>
        <x:v>0</x:v>
      </x:c>
      <x:c r="D44" s="511" t="n">
        <x:f>MAX(D42,0)*D43</x:f>
        <x:v>0</x:v>
      </x:c>
      <x:c r="E44" s="511" t="n">
        <x:f>MAX(E42,0)*E43</x:f>
        <x:v>0</x:v>
      </x:c>
      <x:c r="F44" s="511" t="n">
        <x:f>MAX(F42,0)*F43</x:f>
        <x:v>0</x:v>
      </x:c>
      <x:c r="G44" s="511" t="n">
        <x:f>MAX(G42,0)*G43</x:f>
        <x:v>0</x:v>
      </x:c>
      <x:c r="H44" s="511" t="n">
        <x:f>MAX(H42,0)*H43</x:f>
        <x:v>0</x:v>
      </x:c>
      <x:c r="I44" s="511" t="n">
        <x:f>MAX(I42,0)*I43</x:f>
        <x:v>26.395715453624724</x:v>
      </x:c>
      <x:c r="J44" s="511" t="n">
        <x:f>MAX(J42,0)*J43</x:f>
        <x:v>26.395715453624724</x:v>
      </x:c>
      <x:c r="K44" s="511" t="n">
        <x:f>MAX(K42,0)*K43</x:f>
        <x:v>26.395715453624724</x:v>
      </x:c>
      <x:c r="L44" s="511" t="n">
        <x:f>MAX(L42,0)*L43</x:f>
        <x:v>26.395715453624724</x:v>
      </x:c>
      <x:c r="M44" s="511" t="n">
        <x:f>MAX(M42,0)*M43</x:f>
        <x:v>26.395715453624724</x:v>
      </x:c>
      <x:c r="N44" s="511" t="n">
        <x:f>MAX(N42,0)*N43</x:f>
        <x:v>26.395715453624724</x:v>
      </x:c>
      <x:c r="O44" s="511" t="n">
        <x:f>MAX(O42,0)*O43</x:f>
        <x:v>26.395715453624724</x:v>
      </x:c>
      <x:c r="P44" s="511" t="n">
        <x:f>MAX(P42,0)*P43</x:f>
        <x:v>26.395715453624724</x:v>
      </x:c>
      <x:c r="Q44" s="511" t="n">
        <x:f>MAX(Q42,0)*Q43</x:f>
        <x:v>26.395715453624724</x:v>
      </x:c>
      <x:c r="R44" s="511" t="n">
        <x:f>MAX(R42,0)*R43</x:f>
        <x:v>52.79143090724945</x:v>
      </x:c>
      <x:c r="S44" s="511" t="n">
        <x:f>MAX(S42,0)*S43</x:f>
        <x:v>52.79143090724945</x:v>
      </x:c>
      <x:c r="T44" s="511" t="n">
        <x:f>MAX(T42,0)*T43</x:f>
        <x:v>105.5828618144989</x:v>
      </x:c>
      <x:c r="U44" s="511" t="n">
        <x:f>MAX(U42,0)*U43</x:f>
        <x:v>105.5828618144989</x:v>
      </x:c>
      <x:c r="V44" s="511" t="n">
        <x:f>MAX(V42,0)*V43</x:f>
        <x:v>105.5828618144989</x:v>
      </x:c>
      <x:c r="W44" s="511" t="n">
        <x:f>MAX(W42,0)*W43</x:f>
        <x:v>105.5828618144989</x:v>
      </x:c>
      <x:c r="X44" s="511" t="n">
        <x:f>MAX(X42,0)*X43</x:f>
        <x:v>105.5828618144989</x:v>
      </x:c>
      <x:c r="Y44" s="511" t="n">
        <x:f>MAX(Y42,0)*Y43</x:f>
        <x:v>0</x:v>
      </x:c>
      <x:c r="Z44" s="511" t="n">
        <x:f>MAX(Z42,0)*Z43</x:f>
        <x:v>0</x:v>
      </x:c>
      <x:c r="AA44" s="511" t="n">
        <x:f>MAX(AA42,0)*AA43</x:f>
        <x:v>0</x:v>
      </x:c>
    </x:row>
    <x:row r="45">
      <x:c r="A45" s="482" t="str">
        <x:v>CF-11</x:v>
      </x:c>
      <x:c r="B45" s="481" t="str">
        <x:v>Dòng tiền FC sau thuế</x:v>
      </x:c>
      <x:c r="C45" s="511" t="n">
        <x:f>C40-C44</x:f>
        <x:v>0</x:v>
      </x:c>
      <x:c r="D45" s="511" t="n">
        <x:f>D40-D44</x:f>
        <x:v>0</x:v>
      </x:c>
      <x:c r="E45" s="511" t="n">
        <x:f>E40-E44</x:f>
        <x:v>806.9143090724945</x:v>
      </x:c>
      <x:c r="F45" s="511" t="n">
        <x:f>F40-F44</x:f>
        <x:v>806.9143090724945</x:v>
      </x:c>
      <x:c r="G45" s="511" t="n">
        <x:f>G40-G44</x:f>
        <x:v>806.9143090724945</x:v>
      </x:c>
      <x:c r="H45" s="511" t="n">
        <x:f>H40-H44</x:f>
        <x:v>806.9143090724945</x:v>
      </x:c>
      <x:c r="I45" s="511" t="n">
        <x:f>I40-I44</x:f>
        <x:v>780.5185936188698</x:v>
      </x:c>
      <x:c r="J45" s="511" t="n">
        <x:f>J40-J44</x:f>
        <x:v>780.5185936188698</x:v>
      </x:c>
      <x:c r="K45" s="511" t="n">
        <x:f>K40-K44</x:f>
        <x:v>780.5185936188698</x:v>
      </x:c>
      <x:c r="L45" s="511" t="n">
        <x:f>L40-L44</x:f>
        <x:v>780.5185936188698</x:v>
      </x:c>
      <x:c r="M45" s="511" t="n">
        <x:f>M40-M44</x:f>
        <x:v>780.5185936188698</x:v>
      </x:c>
      <x:c r="N45" s="511" t="n">
        <x:f>N40-N44</x:f>
        <x:v>780.5185936188698</x:v>
      </x:c>
      <x:c r="O45" s="511" t="n">
        <x:f>O40-O44</x:f>
        <x:v>780.5185936188698</x:v>
      </x:c>
      <x:c r="P45" s="511" t="n">
        <x:f>P40-P44</x:f>
        <x:v>780.5185936188698</x:v>
      </x:c>
      <x:c r="Q45" s="511" t="n">
        <x:f>Q40-Q44</x:f>
        <x:v>780.5185936188698</x:v>
      </x:c>
      <x:c r="R45" s="511" t="n">
        <x:f>R40-R44</x:f>
        <x:v>754.122878165245</x:v>
      </x:c>
      <x:c r="S45" s="511" t="n">
        <x:f>S40-S44</x:f>
        <x:v>754.122878165245</x:v>
      </x:c>
      <x:c r="T45" s="511" t="n">
        <x:f>T40-T44</x:f>
        <x:v>701.3314472579956</x:v>
      </x:c>
      <x:c r="U45" s="511" t="n">
        <x:f>U40-U44</x:f>
        <x:v>701.3314472579956</x:v>
      </x:c>
      <x:c r="V45" s="511" t="n">
        <x:f>V40-V44</x:f>
        <x:v>701.3314472579956</x:v>
      </x:c>
      <x:c r="W45" s="511" t="n">
        <x:f>W40-W44</x:f>
        <x:v>701.3314472579956</x:v>
      </x:c>
      <x:c r="X45" s="511" t="n">
        <x:f>X40-X44</x:f>
        <x:v>701.3314472579956</x:v>
      </x:c>
      <x:c r="Y45" s="511" t="n">
        <x:f>Y40-Y44</x:f>
        <x:v>0</x:v>
      </x:c>
      <x:c r="Z45" s="511" t="n">
        <x:f>Z40-Z44</x:f>
        <x:v>0</x:v>
      </x:c>
      <x:c r="AA45" s="511" t="n">
        <x:f>AA40-AA44</x:f>
        <x:v>0</x:v>
      </x:c>
    </x:row>
    <x:row r="46">
      <x:c r="A46" s="482" t="str">
        <x:v>CF-12</x:v>
      </x:c>
      <x:c r="B46" s="481" t="str">
        <x:v>Giá trị thu hồi</x:v>
      </x:c>
      <x:c r="C46" s="511" t="n">
        <x:f>IF(C35=$E$19+$B$12-1,$B$18,0)</x:f>
        <x:v>0</x:v>
      </x:c>
      <x:c r="D46" s="511" t="n">
        <x:f>IF(D35=$E$19+$B$12-1,$B$18,0)</x:f>
        <x:v>0</x:v>
      </x:c>
      <x:c r="E46" s="511" t="n">
        <x:f>IF(E35=$E$19+$B$12-1,$B$18,0)</x:f>
        <x:v>0</x:v>
      </x:c>
      <x:c r="F46" s="511" t="n">
        <x:f>IF(F35=$E$19+$B$12-1,$B$18,0)</x:f>
        <x:v>0</x:v>
      </x:c>
      <x:c r="G46" s="511" t="n">
        <x:f>IF(G35=$E$19+$B$12-1,$B$18,0)</x:f>
        <x:v>0</x:v>
      </x:c>
      <x:c r="H46" s="511" t="n">
        <x:f>IF(H35=$E$19+$B$12-1,$B$18,0)</x:f>
        <x:v>0</x:v>
      </x:c>
      <x:c r="I46" s="511" t="n">
        <x:f>IF(I35=$E$19+$B$12-1,$B$18,0)</x:f>
        <x:v>0</x:v>
      </x:c>
      <x:c r="J46" s="511" t="n">
        <x:f>IF(J35=$E$19+$B$12-1,$B$18,0)</x:f>
        <x:v>0</x:v>
      </x:c>
      <x:c r="K46" s="511" t="n">
        <x:f>IF(K35=$E$19+$B$12-1,$B$18,0)</x:f>
        <x:v>0</x:v>
      </x:c>
      <x:c r="L46" s="511" t="n">
        <x:f>IF(L35=$E$19+$B$12-1,$B$18,0)</x:f>
        <x:v>0</x:v>
      </x:c>
      <x:c r="M46" s="511" t="n">
        <x:f>IF(M35=$E$19+$B$12-1,$B$18,0)</x:f>
        <x:v>0</x:v>
      </x:c>
      <x:c r="N46" s="511" t="n">
        <x:f>IF(N35=$E$19+$B$12-1,$B$18,0)</x:f>
        <x:v>0</x:v>
      </x:c>
      <x:c r="O46" s="511" t="n">
        <x:f>IF(O35=$E$19+$B$12-1,$B$18,0)</x:f>
        <x:v>0</x:v>
      </x:c>
      <x:c r="P46" s="511" t="n">
        <x:f>IF(P35=$E$19+$B$12-1,$B$18,0)</x:f>
        <x:v>0</x:v>
      </x:c>
      <x:c r="Q46" s="511" t="n">
        <x:f>IF(Q35=$E$19+$B$12-1,$B$18,0)</x:f>
        <x:v>0</x:v>
      </x:c>
      <x:c r="R46" s="511" t="n">
        <x:f>IF(R35=$E$19+$B$12-1,$B$18,0)</x:f>
        <x:v>0</x:v>
      </x:c>
      <x:c r="S46" s="511" t="n">
        <x:f>IF(S35=$E$19+$B$12-1,$B$18,0)</x:f>
        <x:v>0</x:v>
      </x:c>
      <x:c r="T46" s="511" t="n">
        <x:f>IF(T35=$E$19+$B$12-1,$B$18,0)</x:f>
        <x:v>0</x:v>
      </x:c>
      <x:c r="U46" s="511" t="n">
        <x:f>IF(U35=$E$19+$B$12-1,$B$18,0)</x:f>
        <x:v>0</x:v>
      </x:c>
      <x:c r="V46" s="511" t="n">
        <x:f>IF(V35=$E$19+$B$12-1,$B$18,0)</x:f>
        <x:v>0</x:v>
      </x:c>
      <x:c r="W46" s="511" t="n">
        <x:f>IF(W35=$E$19+$B$12-1,$B$18,0)</x:f>
        <x:v>0</x:v>
      </x:c>
      <x:c r="X46" s="511" t="n">
        <x:f>IF(X35=$E$19+$B$12-1,$B$18,0)</x:f>
        <x:v>0</x:v>
      </x:c>
      <x:c r="Y46" s="511" t="n">
        <x:f>IF(Y35=$E$19+$B$12-1,$B$18,0)</x:f>
        <x:v>0</x:v>
      </x:c>
      <x:c r="Z46" s="511" t="n">
        <x:f>IF(Z35=$E$19+$B$12-1,$B$18,0)</x:f>
        <x:v>0</x:v>
      </x:c>
      <x:c r="AA46" s="511" t="n">
        <x:f>IF(AA35=$E$19+$B$12-1,$B$18,0)</x:f>
        <x:v>0</x:v>
      </x:c>
    </x:row>
    <x:row r="47">
      <x:c r="A47" s="514" t="str">
        <x:v>CF-13</x:v>
      </x:c>
      <x:c r="B47" s="515" t="str">
        <x:v>Dòng tiền dự án</x:v>
      </x:c>
      <x:c r="C47" s="516" t="n">
        <x:f>SUM(C38,C45,C46)</x:f>
        <x:v>-2232</x:v>
      </x:c>
      <x:c r="D47" s="516" t="n">
        <x:f>SUM(D38,D45,D46)</x:f>
        <x:v>-3348</x:v>
      </x:c>
      <x:c r="E47" s="516" t="n">
        <x:f>SUM(E38,E45,E46)</x:f>
        <x:v>806.9143090724945</x:v>
      </x:c>
      <x:c r="F47" s="516" t="n">
        <x:f>SUM(F38,F45,F46)</x:f>
        <x:v>806.9143090724945</x:v>
      </x:c>
      <x:c r="G47" s="516" t="n">
        <x:f>SUM(G38,G45,G46)</x:f>
        <x:v>806.9143090724945</x:v>
      </x:c>
      <x:c r="H47" s="516" t="n">
        <x:f>SUM(H38,H45,H46)</x:f>
        <x:v>806.9143090724945</x:v>
      </x:c>
      <x:c r="I47" s="516" t="n">
        <x:f>SUM(I38,I45,I46)</x:f>
        <x:v>780.5185936188698</x:v>
      </x:c>
      <x:c r="J47" s="516" t="n">
        <x:f>SUM(J38,J45,J46)</x:f>
        <x:v>780.5185936188698</x:v>
      </x:c>
      <x:c r="K47" s="516" t="n">
        <x:f>SUM(K38,K45,K46)</x:f>
        <x:v>780.5185936188698</x:v>
      </x:c>
      <x:c r="L47" s="516" t="n">
        <x:f>SUM(L38,L45,L46)</x:f>
        <x:v>780.5185936188698</x:v>
      </x:c>
      <x:c r="M47" s="516" t="n">
        <x:f>SUM(M38,M45,M46)</x:f>
        <x:v>780.5185936188698</x:v>
      </x:c>
      <x:c r="N47" s="516" t="n">
        <x:f>SUM(N38,N45,N46)</x:f>
        <x:v>780.5185936188698</x:v>
      </x:c>
      <x:c r="O47" s="516" t="n">
        <x:f>SUM(O38,O45,O46)</x:f>
        <x:v>780.5185936188698</x:v>
      </x:c>
      <x:c r="P47" s="516" t="n">
        <x:f>SUM(P38,P45,P46)</x:f>
        <x:v>780.5185936188698</x:v>
      </x:c>
      <x:c r="Q47" s="516" t="n">
        <x:f>SUM(Q38,Q45,Q46)</x:f>
        <x:v>780.5185936188698</x:v>
      </x:c>
      <x:c r="R47" s="516" t="n">
        <x:f>SUM(R38,R45,R46)</x:f>
        <x:v>754.122878165245</x:v>
      </x:c>
      <x:c r="S47" s="516" t="n">
        <x:f>SUM(S38,S45,S46)</x:f>
        <x:v>754.122878165245</x:v>
      </x:c>
      <x:c r="T47" s="516" t="n">
        <x:f>SUM(T38,T45,T46)</x:f>
        <x:v>701.3314472579956</x:v>
      </x:c>
      <x:c r="U47" s="516" t="n">
        <x:f>SUM(U38,U45,U46)</x:f>
        <x:v>701.3314472579956</x:v>
      </x:c>
      <x:c r="V47" s="516" t="n">
        <x:f>SUM(V38,V45,V46)</x:f>
        <x:v>701.3314472579956</x:v>
      </x:c>
      <x:c r="W47" s="516" t="n">
        <x:f>SUM(W38,W45,W46)</x:f>
        <x:v>701.3314472579956</x:v>
      </x:c>
      <x:c r="X47" s="516" t="n">
        <x:f>SUM(X38,X45,X46)</x:f>
        <x:v>701.3314472579956</x:v>
      </x:c>
      <x:c r="Y47" s="516" t="n">
        <x:f>SUM(Y38,Y45,Y46)</x:f>
        <x:v>0</x:v>
      </x:c>
      <x:c r="Z47" s="516" t="n">
        <x:f>SUM(Z38,Z45,Z46)</x:f>
        <x:v>0</x:v>
      </x:c>
      <x:c r="AA47" s="517" t="n">
        <x:f>SUM(AA38,AA45,AA46)</x:f>
        <x:v>0</x:v>
      </x:c>
    </x:row>
    <x:row r="48">
      <x:c r="A48" s="482" t="str">
        <x:v>CF-14</x:v>
      </x:c>
      <x:c r="B48" s="481" t="str">
        <x:v>Hệ số chiết khấu</x:v>
      </x:c>
      <x:c r="C48" s="518" t="n">
        <x:f>1/(1+$B$16)^C35</x:f>
        <x:v>1</x:v>
      </x:c>
      <x:c r="D48" s="518" t="n">
        <x:f>1/(1+$B$16)^D35</x:f>
        <x:v>0.8928571428571428</x:v>
      </x:c>
      <x:c r="E48" s="518" t="n">
        <x:f>1/(1+$B$16)^E35</x:f>
        <x:v>0.7971938775510203</x:v>
      </x:c>
      <x:c r="F48" s="518" t="n">
        <x:f>1/(1+$B$16)^F35</x:f>
        <x:v>0.7117802478134109</x:v>
      </x:c>
      <x:c r="G48" s="518" t="n">
        <x:f>1/(1+$B$16)^G35</x:f>
        <x:v>0.6355180784048311</x:v>
      </x:c>
      <x:c r="H48" s="518" t="n">
        <x:f>1/(1+$B$16)^H35</x:f>
        <x:v>0.5674268557185992</x:v>
      </x:c>
      <x:c r="I48" s="518" t="n">
        <x:f>1/(1+$B$16)^I35</x:f>
        <x:v>0.5066311211773206</x:v>
      </x:c>
      <x:c r="J48" s="518" t="n">
        <x:f>1/(1+$B$16)^J35</x:f>
        <x:v>0.4523492153368934</x:v>
      </x:c>
      <x:c r="K48" s="518" t="n">
        <x:f>1/(1+$B$16)^K35</x:f>
        <x:v>0.40388322797936904</x:v>
      </x:c>
      <x:c r="L48" s="518" t="n">
        <x:f>1/(1+$B$16)^L35</x:f>
        <x:v>0.36061002498157946</x:v>
      </x:c>
      <x:c r="M48" s="518" t="n">
        <x:f>1/(1+$B$16)^M35</x:f>
        <x:v>0.32197323659069593</x:v>
      </x:c>
      <x:c r="N48" s="518" t="n">
        <x:f>1/(1+$B$16)^N35</x:f>
        <x:v>0.2874761040988356</x:v>
      </x:c>
      <x:c r="O48" s="518" t="n">
        <x:f>1/(1+$B$16)^O35</x:f>
        <x:v>0.25667509294538887</x:v>
      </x:c>
      <x:c r="P48" s="518" t="n">
        <x:f>1/(1+$B$16)^P35</x:f>
        <x:v>0.2291741901298115</x:v>
      </x:c>
      <x:c r="Q48" s="518" t="n">
        <x:f>1/(1+$B$16)^Q35</x:f>
        <x:v>0.20461981261590312</x:v>
      </x:c>
      <x:c r="R48" s="518" t="n">
        <x:f>1/(1+$B$16)^R35</x:f>
        <x:v>0.1826962612641992</x:v>
      </x:c>
      <x:c r="S48" s="518" t="n">
        <x:f>1/(1+$B$16)^S35</x:f>
        <x:v>0.16312166184303498</x:v>
      </x:c>
      <x:c r="T48" s="518" t="n">
        <x:f>1/(1+$B$16)^T35</x:f>
        <x:v>0.14564434093128123</x:v>
      </x:c>
      <x:c r="U48" s="518" t="n">
        <x:f>1/(1+$B$16)^U35</x:f>
        <x:v>0.13003959011721536</x:v>
      </x:c>
      <x:c r="V48" s="518" t="n">
        <x:f>1/(1+$B$16)^V35</x:f>
        <x:v>0.11610677689037084</x:v>
      </x:c>
      <x:c r="W48" s="518" t="n">
        <x:f>1/(1+$B$16)^W35</x:f>
        <x:v>0.10366676508068824</x:v>
      </x:c>
      <x:c r="X48" s="518" t="n">
        <x:f>1/(1+$B$16)^X35</x:f>
        <x:v>0.09255961167918592</x:v>
      </x:c>
      <x:c r="Y48" s="518" t="n">
        <x:f>1/(1+$B$16)^Y35</x:f>
        <x:v>0.08264251042784457</x:v>
      </x:c>
      <x:c r="Z48" s="518" t="n">
        <x:f>1/(1+$B$16)^Z35</x:f>
        <x:v>0.07378795573914693</x:v>
      </x:c>
      <x:c r="AA48" s="518" t="n">
        <x:f>1/(1+$B$16)^AA35</x:f>
        <x:v>0.06588210333852404</x:v>
      </x:c>
    </x:row>
    <x:row r="49">
      <x:c r="A49" s="519" t="str">
        <x:v>CF-15</x:v>
      </x:c>
      <x:c r="B49" s="503" t="str">
        <x:v>Giá trị hiện tại</x:v>
      </x:c>
      <x:c r="C49" s="511" t="n">
        <x:f>C47*C48</x:f>
        <x:v>-2232</x:v>
      </x:c>
      <x:c r="D49" s="511" t="n">
        <x:f>D47*D48</x:f>
        <x:v>-2989.285714285714</x:v>
      </x:c>
      <x:c r="E49" s="511" t="n">
        <x:f>E47*E48</x:f>
        <x:v>643.2671469009043</x:v>
      </x:c>
      <x:c r="F49" s="511" t="n">
        <x:f>F47*F48</x:f>
        <x:v>574.3456668758073</x:v>
      </x:c>
      <x:c r="G49" s="511" t="n">
        <x:f>G47*G48</x:f>
        <x:v>512.8086311391137</x:v>
      </x:c>
      <x:c r="H49" s="511" t="n">
        <x:f>H47*H48</x:f>
        <x:v>457.86484923135146</x:v>
      </x:c>
      <x:c r="I49" s="511" t="n">
        <x:f>I47*I48</x:f>
        <x:v>395.4350101848734</x:v>
      </x:c>
      <x:c r="J49" s="511" t="n">
        <x:f>J47*J48</x:f>
        <x:v>353.0669733793513</x:v>
      </x:c>
      <x:c r="K49" s="511" t="n">
        <x:f>K47*K48</x:f>
        <x:v>315.23836908870646</x:v>
      </x:c>
      <x:c r="L49" s="511" t="n">
        <x:f>L47*L48</x:f>
        <x:v>281.4628295434879</x:v>
      </x:c>
      <x:c r="M49" s="511" t="n">
        <x:f>M47*M48</x:f>
        <x:v>251.3060978066856</x:v>
      </x:c>
      <x:c r="N49" s="511" t="n">
        <x:f>N47*N48</x:f>
        <x:v>224.380444470255</x:v>
      </x:c>
      <x:c r="O49" s="511" t="n">
        <x:f>O47*O48</x:f>
        <x:v>200.3396825627276</x:v>
      </x:c>
      <x:c r="P49" s="511" t="n">
        <x:f>P47*P48</x:f>
        <x:v>178.87471657386394</x:v>
      </x:c>
      <x:c r="Q49" s="511" t="n">
        <x:f>Q47*Q48</x:f>
        <x:v>159.70956836952138</x:v>
      </x:c>
      <x:c r="R49" s="511" t="n">
        <x:f>R47*R48</x:f>
        <x:v>137.77543037458744</x:v>
      </x:c>
      <x:c r="S49" s="511" t="n">
        <x:f>S47*S48</x:f>
        <x:v>123.01377712016736</x:v>
      </x:c>
      <x:c r="T49" s="511" t="n">
        <x:f>T47*T48</x:f>
        <x:v>102.14495641027239</x:v>
      </x:c>
      <x:c r="U49" s="511" t="n">
        <x:f>U47*U48</x:f>
        <x:v>91.20085393774319</x:v>
      </x:c>
      <x:c r="V49" s="511" t="n">
        <x:f>V47*V48</x:f>
        <x:v>81.42933387298498</x:v>
      </x:c>
      <x:c r="W49" s="511" t="n">
        <x:f>W47*W48</x:f>
        <x:v>72.70476238659373</x:v>
      </x:c>
      <x:c r="X49" s="511" t="n">
        <x:f>X47*X48</x:f>
        <x:v>64.91496641660153</x:v>
      </x:c>
      <x:c r="Y49" s="511" t="n">
        <x:f>Y47*Y48</x:f>
        <x:v>0</x:v>
      </x:c>
      <x:c r="Z49" s="511" t="n">
        <x:f>Z47*Z48</x:f>
        <x:v>0</x:v>
      </x:c>
      <x:c r="AA49" s="511" t="n">
        <x:f>AA47*AA48</x:f>
        <x:v>0</x:v>
      </x:c>
    </x:row>
    <x:row r="50">
      <x:c r="A50" s="467"/>
      <x:c r="B50" s="467"/>
      <x:c r="C50" s="467"/>
      <x:c r="D50" s="467"/>
      <x:c r="E50" s="467"/>
      <x:c r="F50" s="467"/>
      <x:c r="G50" s="467"/>
      <x:c r="H50" s="467"/>
      <x:c r="I50" s="467"/>
      <x:c r="J50" s="467"/>
      <x:c r="K50" s="467"/>
      <x:c r="L50" s="467"/>
      <x:c r="M50" s="467"/>
      <x:c r="N50" s="467"/>
      <x:c r="O50" s="467"/>
      <x:c r="P50" s="467"/>
      <x:c r="Q50" s="467"/>
      <x:c r="R50" s="467"/>
      <x:c r="S50" s="467"/>
      <x:c r="T50" s="467"/>
      <x:c r="U50" s="467"/>
      <x:c r="V50" s="467"/>
      <x:c r="W50" s="467"/>
      <x:c r="X50" s="467"/>
      <x:c r="Y50" s="467"/>
      <x:c r="Z50" s="467"/>
      <x:c r="AA50" s="467"/>
    </x:row>
    <x:row r="51">
      <x:c r="A51" s="467"/>
      <x:c r="B51" s="467"/>
      <x:c r="C51" s="467"/>
      <x:c r="D51" s="467"/>
      <x:c r="E51" s="467"/>
      <x:c r="F51" s="467"/>
      <x:c r="G51" s="467"/>
      <x:c r="H51" s="467"/>
      <x:c r="I51" s="467"/>
      <x:c r="J51" s="467"/>
      <x:c r="K51" s="467"/>
      <x:c r="L51" s="467"/>
      <x:c r="M51" s="467"/>
      <x:c r="N51" s="467"/>
      <x:c r="O51" s="467"/>
      <x:c r="P51" s="467"/>
      <x:c r="Q51" s="467"/>
      <x:c r="R51" s="467"/>
      <x:c r="S51" s="467"/>
      <x:c r="T51" s="467"/>
      <x:c r="U51" s="467"/>
      <x:c r="V51" s="467"/>
      <x:c r="W51" s="467"/>
      <x:c r="X51" s="467"/>
      <x:c r="Y51" s="467"/>
      <x:c r="Z51" s="467"/>
      <x:c r="AA51" s="467"/>
    </x:row>
    <x:row r="52">
      <x:c r="A52" s="405" t="str">
        <x:v>5. KIỂM TRA VÀ NGUỒN PHÁP LÝ</x:v>
      </x:c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67"/>
      <x:c r="M52" s="467"/>
      <x:c r="N52" s="467"/>
      <x:c r="O52" s="467"/>
      <x:c r="P52" s="467"/>
      <x:c r="Q52" s="467"/>
      <x:c r="R52" s="467"/>
      <x:c r="S52" s="467"/>
      <x:c r="T52" s="467"/>
      <x:c r="U52" s="467"/>
      <x:c r="V52" s="467"/>
      <x:c r="W52" s="467"/>
      <x:c r="X52" s="467"/>
      <x:c r="Y52" s="467"/>
      <x:c r="Z52" s="467"/>
      <x:c r="AA52" s="467"/>
    </x:row>
    <x:row r="53">
      <x:c r="A53" s="476" t="str">
        <x:v>Kiểm tra</x:v>
      </x:c>
      <x:c r="B53" s="476" t="str">
        <x:v>Kết quả</x:v>
      </x:c>
      <x:c r="C53" s="476" t="str">
        <x:v>Ghi chú</x:v>
      </x:c>
      <x:c r="D53" s="467"/>
      <x:c r="E53" s="508" t="str">
        <x:v>Nguồn pháp lý và lưu ý sử dụng</x:v>
      </x:c>
      <x:c r="F53" s="508"/>
      <x:c r="G53" s="508"/>
      <x:c r="H53" s="508"/>
      <x:c r="I53" s="508"/>
      <x:c r="J53" s="508"/>
      <x:c r="K53" s="508"/>
      <x:c r="L53" s="467"/>
      <x:c r="M53" s="467"/>
      <x:c r="N53" s="467"/>
      <x:c r="O53" s="467"/>
      <x:c r="P53" s="467"/>
      <x:c r="Q53" s="467"/>
      <x:c r="R53" s="467"/>
      <x:c r="S53" s="467"/>
      <x:c r="T53" s="467"/>
      <x:c r="U53" s="467"/>
      <x:c r="V53" s="467"/>
      <x:c r="W53" s="467"/>
      <x:c r="X53" s="467"/>
      <x:c r="Y53" s="467"/>
      <x:c r="Z53" s="467"/>
      <x:c r="AA53" s="467"/>
    </x:row>
    <x:row r="54" ht="28" customHeight="1">
      <x:c r="A54" s="520" t="str">
        <x:v>Tổng tỷ lệ giải ngân</x:v>
      </x:c>
      <x:c r="B54" s="521" t="str">
        <x:f>IF(ABS($B$24-1)&lt;0.000001,"OK","LỖI")</x:f>
        <x:v>OK</x:v>
      </x:c>
      <x:c r="C54" s="520" t="str">
        <x:v>Phải bằng 100%.</x:v>
      </x:c>
      <x:c r="D54" s="467"/>
      <x:c r="E54" s="522" t="str">
        <x:v>Thông tư 12/2025/TT-BCT: https://vanban.chinhphu.vn/?classid=1&amp;docid=213048&amp;orggroupid=4&amp;pageid=27160</x:v>
      </x:c>
      <x:c r="F54" s="522"/>
      <x:c r="G54" s="522"/>
      <x:c r="H54" s="522"/>
      <x:c r="I54" s="522"/>
      <x:c r="J54" s="522"/>
      <x:c r="K54" s="522"/>
      <x:c r="L54" s="467"/>
      <x:c r="M54" s="467"/>
      <x:c r="N54" s="467"/>
      <x:c r="O54" s="467"/>
      <x:c r="P54" s="467"/>
      <x:c r="Q54" s="467"/>
      <x:c r="R54" s="467"/>
      <x:c r="S54" s="467"/>
      <x:c r="T54" s="467"/>
      <x:c r="U54" s="467"/>
      <x:c r="V54" s="467"/>
      <x:c r="W54" s="467"/>
      <x:c r="X54" s="467"/>
      <x:c r="Y54" s="467"/>
      <x:c r="Z54" s="467"/>
      <x:c r="AA54" s="467"/>
    </x:row>
    <x:row r="55" ht="28" customHeight="1">
      <x:c r="A55" s="520" t="str">
        <x:v>IRR mục tiêu không vượt IRR tối đa</x:v>
      </x:c>
      <x:c r="B55" s="521" t="str">
        <x:f>IF($B$16&lt;=$B$17,"OK","LỖI")</x:f>
        <x:v>OK</x:v>
      </x:c>
      <x:c r="C55" s="520" t="str">
        <x:v>IRR dùng tính FC không được vượt 12%.</x:v>
      </x:c>
      <x:c r="D55" s="467"/>
      <x:c r="E55" s="522" t="str">
        <x:v>Thông tư 54/2025/TT-BCT: https://vanban.chinhphu.vn/?docid=216020&amp;pageid=27160</x:v>
      </x:c>
      <x:c r="F55" s="522"/>
      <x:c r="G55" s="522"/>
      <x:c r="H55" s="522"/>
      <x:c r="I55" s="522"/>
      <x:c r="J55" s="522"/>
      <x:c r="K55" s="522"/>
      <x:c r="L55" s="467"/>
      <x:c r="M55" s="467"/>
      <x:c r="N55" s="467"/>
      <x:c r="O55" s="467"/>
      <x:c r="P55" s="467"/>
      <x:c r="Q55" s="467"/>
      <x:c r="R55" s="467"/>
      <x:c r="S55" s="467"/>
      <x:c r="T55" s="467"/>
      <x:c r="U55" s="467"/>
      <x:c r="V55" s="467"/>
      <x:c r="W55" s="467"/>
      <x:c r="X55" s="467"/>
      <x:c r="Y55" s="467"/>
      <x:c r="Z55" s="467"/>
      <x:c r="AA55" s="467"/>
    </x:row>
    <x:row r="56" ht="28" customHeight="1">
      <x:c r="A56" s="520" t="str">
        <x:v>FC được giải theo NPV tại IRR mục tiêu</x:v>
      </x:c>
      <x:c r="B56" s="521" t="str">
        <x:f>IF(ABS(SUM(C49:AA49))&lt;=0.01,"OK","LỖI")</x:f>
        <x:v>OK</x:v>
      </x:c>
      <x:c r="C56" s="520" t="str">
        <x:v>Sai số cho phép 0,01 tỷ VND.</x:v>
      </x:c>
      <x:c r="D56" s="467"/>
      <x:c r="E56" s="522" t="str">
        <x:v>Quyết định 1508/QĐ-BCT năm 2025: https://moit.gov.vn/upload/2005517/20250602/1_QD-BCT_2025_1508_71a56.pdf</x:v>
      </x:c>
      <x:c r="F56" s="522"/>
      <x:c r="G56" s="522"/>
      <x:c r="H56" s="522"/>
      <x:c r="I56" s="522"/>
      <x:c r="J56" s="522"/>
      <x:c r="K56" s="522"/>
      <x:c r="L56" s="467"/>
      <x:c r="M56" s="467"/>
      <x:c r="N56" s="467"/>
      <x:c r="O56" s="467"/>
      <x:c r="P56" s="467"/>
      <x:c r="Q56" s="467"/>
      <x:c r="R56" s="467"/>
      <x:c r="S56" s="467"/>
      <x:c r="T56" s="467"/>
      <x:c r="U56" s="467"/>
      <x:c r="V56" s="467"/>
      <x:c r="W56" s="467"/>
      <x:c r="X56" s="467"/>
      <x:c r="Y56" s="467"/>
      <x:c r="Z56" s="467"/>
      <x:c r="AA56" s="467"/>
    </x:row>
    <x:row r="57" ht="34" customHeight="1">
      <x:c r="A57" s="520" t="str">
        <x:v>Giá PPA so với khung giá</x:v>
      </x:c>
      <x:c r="B57" s="521" t="str">
        <x:f>IF($I$10&lt;=$I$11+0.01,"OK","VƯỢT KHUNG")</x:f>
        <x:v>VƯỢT KHUNG</x:v>
      </x:c>
      <x:c r="C57" s="520" t="str">
        <x:v>Giá năm cơ sở không vượt khung tương ứng.</x:v>
      </x:c>
      <x:c r="D57" s="467"/>
      <x:c r="E57" s="559" t="str">
        <x:v>Với dự án điện gió mới, kscl và knc là thông số đàm phán theo Điều 6; tỷ lệ 2,0%/1,8% tại Phụ lục I Bảng 2 chỉ áp dụng cho dự án chuyển tiếp theo Điều 10.</x:v>
      </x:c>
      <x:c r="F57" s="560" t="str">
        <x:v>Với dự án điện gió mới, kscl và knc là thông số đàm phán theo Điều 6; tỷ lệ 2,0%/1,8% tại Phụ lục I Bảng 2 chỉ áp dụng cho dự án chuyển tiếp theo Điều 10.</x:v>
      </x:c>
      <x:c r="G57" s="560" t="str">
        <x:v>Với dự án điện gió mới, kscl và knc là thông số đàm phán theo Điều 6; tỷ lệ 2,0%/1,8% tại Phụ lục I Bảng 2 chỉ áp dụng cho dự án chuyển tiếp theo Điều 10.</x:v>
      </x:c>
      <x:c r="H57" s="560" t="str">
        <x:v>Với dự án điện gió mới, kscl và knc là thông số đàm phán theo Điều 6; tỷ lệ 2,0%/1,8% tại Phụ lục I Bảng 2 chỉ áp dụng cho dự án chuyển tiếp theo Điều 10.</x:v>
      </x:c>
      <x:c r="I57" s="560" t="str">
        <x:v>Với dự án điện gió mới, kscl và knc là thông số đàm phán theo Điều 6; tỷ lệ 2,0%/1,8% tại Phụ lục I Bảng 2 chỉ áp dụng cho dự án chuyển tiếp theo Điều 10.</x:v>
      </x:c>
      <x:c r="J57" s="560" t="str">
        <x:v>Với dự án điện gió mới, kscl và knc là thông số đàm phán theo Điều 6; tỷ lệ 2,0%/1,8% tại Phụ lục I Bảng 2 chỉ áp dụng cho dự án chuyển tiếp theo Điều 10.</x:v>
      </x:c>
      <x:c r="K57" s="561" t="str">
        <x:v>Với dự án điện gió mới, kscl và knc là thông số đàm phán theo Điều 6; tỷ lệ 2,0%/1,8% tại Phụ lục I Bảng 2 chỉ áp dụng cho dự án chuyển tiếp theo Điều 10.</x:v>
      </x:c>
      <x:c r="L57" s="467"/>
      <x:c r="M57" s="467"/>
      <x:c r="N57" s="467"/>
      <x:c r="O57" s="467"/>
      <x:c r="P57" s="467"/>
      <x:c r="Q57" s="467"/>
      <x:c r="R57" s="467"/>
      <x:c r="S57" s="467"/>
      <x:c r="T57" s="467"/>
      <x:c r="U57" s="467"/>
      <x:c r="V57" s="467"/>
      <x:c r="W57" s="467"/>
      <x:c r="X57" s="467"/>
      <x:c r="Y57" s="467"/>
      <x:c r="Z57" s="467"/>
      <x:c r="AA57" s="467"/>
    </x:row>
    <x:row r="58">
      <x:c r="A58" s="467"/>
      <x:c r="B58" s="467"/>
      <x:c r="C58" s="467"/>
      <x:c r="D58" s="467"/>
      <x:c r="E58" s="467"/>
      <x:c r="F58" s="467"/>
      <x:c r="G58" s="467"/>
      <x:c r="H58" s="467"/>
      <x:c r="I58" s="467"/>
      <x:c r="J58" s="467"/>
      <x:c r="K58" s="467"/>
      <x:c r="L58" s="467"/>
      <x:c r="M58" s="467"/>
      <x:c r="N58" s="467"/>
      <x:c r="O58" s="467"/>
      <x:c r="P58" s="467"/>
      <x:c r="Q58" s="467"/>
      <x:c r="R58" s="467"/>
      <x:c r="S58" s="467"/>
      <x:c r="T58" s="467"/>
      <x:c r="U58" s="467"/>
      <x:c r="V58" s="467"/>
      <x:c r="W58" s="467"/>
      <x:c r="X58" s="467"/>
      <x:c r="Y58" s="467"/>
      <x:c r="Z58" s="467"/>
      <x:c r="AA58" s="467"/>
    </x:row>
    <x:row r="59" ht="28" customHeight="1">
      <x:c r="A59" s="461" t="str">
        <x:v>Lưu ý pháp lý: Giá tính toán không mặc nhiên là giá EVN phải mua. Giá PPA chính thức do bên bán và bên mua đàm phán, không vượt khung giá tương ứng; các chi phí, sản lượng P50 và thông số tài chính phải hợp lý, hợp lệ và phù hợp hồ sơ dự án.</x:v>
      </x:c>
      <x:c r="B59" s="462"/>
      <x:c r="C59" s="462"/>
      <x:c r="D59" s="462"/>
      <x:c r="E59" s="462"/>
      <x:c r="F59" s="462"/>
      <x:c r="G59" s="462"/>
      <x:c r="H59" s="462"/>
      <x:c r="I59" s="462"/>
      <x:c r="J59" s="462"/>
      <x:c r="K59" s="463"/>
      <x:c r="L59" s="467"/>
      <x:c r="M59" s="467"/>
      <x:c r="N59" s="467"/>
      <x:c r="O59" s="467"/>
      <x:c r="P59" s="467"/>
      <x:c r="Q59" s="467"/>
      <x:c r="R59" s="467"/>
      <x:c r="S59" s="467"/>
      <x:c r="T59" s="467"/>
      <x:c r="U59" s="467"/>
      <x:c r="V59" s="467"/>
      <x:c r="W59" s="467"/>
      <x:c r="X59" s="467"/>
      <x:c r="Y59" s="467"/>
      <x:c r="Z59" s="467"/>
      <x:c r="AA59" s="467"/>
    </x:row>
    <x:row r="60" ht="28" customHeight="1">
      <x:c r="A60" s="464"/>
      <x:c r="B60" s="465"/>
      <x:c r="C60" s="465"/>
      <x:c r="D60" s="465"/>
      <x:c r="E60" s="465"/>
      <x:c r="F60" s="465"/>
      <x:c r="G60" s="465"/>
      <x:c r="H60" s="465"/>
      <x:c r="I60" s="465"/>
      <x:c r="J60" s="465"/>
      <x:c r="K60" s="466"/>
      <x:c r="L60" s="467"/>
      <x:c r="M60" s="467"/>
      <x:c r="N60" s="467"/>
      <x:c r="O60" s="467"/>
      <x:c r="P60" s="467"/>
      <x:c r="Q60" s="467"/>
      <x:c r="R60" s="467"/>
      <x:c r="S60" s="467"/>
      <x:c r="T60" s="467"/>
      <x:c r="U60" s="467"/>
      <x:c r="V60" s="467"/>
      <x:c r="W60" s="467"/>
      <x:c r="X60" s="467"/>
      <x:c r="Y60" s="467"/>
      <x:c r="Z60" s="467"/>
      <x:c r="AA60" s="467"/>
    </x:row>
  </x:sheetData>
  <x:mergeCells>
    <x:mergeCell ref="A1:K1"/>
    <x:mergeCell ref="A2:K2"/>
    <x:mergeCell ref="A3:K3"/>
    <x:mergeCell ref="A5:F5"/>
    <x:mergeCell ref="H5:K5"/>
    <x:mergeCell ref="A21:F21"/>
    <x:mergeCell ref="H21:K21"/>
    <x:mergeCell ref="I26:K26"/>
    <x:mergeCell ref="N5:R5"/>
    <x:mergeCell ref="A33:AA33"/>
    <x:mergeCell ref="A52:K52"/>
    <x:mergeCell ref="E53:K53"/>
    <x:mergeCell ref="E54:K54"/>
    <x:mergeCell ref="E55:K55"/>
    <x:mergeCell ref="E56:K56"/>
    <x:mergeCell ref="E57:K57"/>
    <x:mergeCell ref="A59:K60"/>
  </x:mergeCells>
  <x:conditionalFormatting sqref="I16:I18">
    <x:cfRule type="containsText" dxfId="20" priority="1" operator="containsText" text="OK"/>
    <x:cfRule type="containsText" dxfId="21" priority="2" operator="containsText" text="VƯỢT"/>
  </x:conditionalFormatting>
  <x:conditionalFormatting sqref="I18:I18">
    <x:cfRule type="containsText" dxfId="22" priority="3" operator="containsText" text="ĐỦ ĐIỀU KIỆN"/>
    <x:cfRule type="containsText" dxfId="23" priority="4" operator="containsText" text="CẦN"/>
  </x:conditionalFormatting>
  <x:dataValidations count="3">
    <x:dataValidation type="list" sqref="B6">
      <x:formula1>"Dự án mới,Dự án chuyển tiếp"</x:formula1>
    </x:dataValidation>
    <x:dataValidation type="list" sqref="B7">
      <x:formula1>"Điện gió trên đất liền,Điện gió gần bờ"</x:formula1>
    </x:dataValidation>
    <x:dataValidation type="list" sqref="B8">
      <x:formula1>"Miền Bắc,Miền Trung,Miền Nam"</x:formula1>
    </x:dataValidation>
  </x:dataValidations>
  <x:pageMargins left="0.7" right="0.7" top="0.75" bottom="0.75" header="0.3" footer="0.3"/>
  <x:legacyDrawing xmlns:r="http://schemas.openxmlformats.org/officeDocument/2006/relationships" r:id="Rae42509c323f4a4b"/>
</x:worksheet>
</file>